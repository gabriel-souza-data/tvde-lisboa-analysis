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bri\Documents\Projetos\tvde-lisboa-analysis\data\raw\"/>
    </mc:Choice>
  </mc:AlternateContent>
  <bookViews>
    <workbookView xWindow="0" yWindow="0" windowWidth="16380" windowHeight="8196" tabRatio="500"/>
  </bookViews>
  <sheets>
    <sheet name="Rides" sheetId="1" r:id="rId1"/>
    <sheet name="Fuel" sheetId="2" r:id="rId2"/>
    <sheet name="Monthly_Summary" sheetId="3" r:id="rId3"/>
    <sheet name="Data_Dictionary" sheetId="4" r:id="rId4"/>
  </sheets>
  <definedNames>
    <definedName name="_xlnm._FilterDatabase" localSheetId="0" hidden="1">Rides!$C$1:$C$2500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525" i="1" l="1"/>
  <c r="P2525" i="1" s="1"/>
  <c r="M2525" i="1"/>
  <c r="N2525" i="1" s="1"/>
  <c r="O2525" i="1"/>
  <c r="G2526" i="1"/>
  <c r="M2526" i="1"/>
  <c r="N2526" i="1" s="1"/>
  <c r="O2526" i="1"/>
  <c r="P2526" i="1"/>
  <c r="G2527" i="1"/>
  <c r="M2527" i="1"/>
  <c r="N2527" i="1" s="1"/>
  <c r="O2527" i="1"/>
  <c r="P2527" i="1"/>
  <c r="G2528" i="1"/>
  <c r="P2528" i="1" s="1"/>
  <c r="M2528" i="1"/>
  <c r="N2528" i="1" s="1"/>
  <c r="O2528" i="1"/>
  <c r="G2529" i="1"/>
  <c r="P2529" i="1" s="1"/>
  <c r="M2529" i="1"/>
  <c r="N2529" i="1" s="1"/>
  <c r="O2529" i="1"/>
  <c r="G2530" i="1"/>
  <c r="M2530" i="1"/>
  <c r="N2530" i="1" s="1"/>
  <c r="O2530" i="1"/>
  <c r="P2530" i="1"/>
  <c r="G2531" i="1"/>
  <c r="P2531" i="1" s="1"/>
  <c r="M2531" i="1"/>
  <c r="N2531" i="1" s="1"/>
  <c r="O2531" i="1"/>
  <c r="G2532" i="1"/>
  <c r="M2532" i="1"/>
  <c r="N2532" i="1" s="1"/>
  <c r="O2532" i="1"/>
  <c r="P2532" i="1"/>
  <c r="G2533" i="1"/>
  <c r="P2533" i="1" s="1"/>
  <c r="M2533" i="1"/>
  <c r="N2533" i="1" s="1"/>
  <c r="O2533" i="1"/>
  <c r="G2534" i="1"/>
  <c r="P2534" i="1" s="1"/>
  <c r="M2534" i="1"/>
  <c r="N2534" i="1" s="1"/>
  <c r="O2534" i="1"/>
  <c r="G2535" i="1"/>
  <c r="M2535" i="1"/>
  <c r="N2535" i="1" s="1"/>
  <c r="O2535" i="1"/>
  <c r="P2535" i="1"/>
  <c r="G2536" i="1"/>
  <c r="M2536" i="1"/>
  <c r="N2536" i="1" s="1"/>
  <c r="O2536" i="1"/>
  <c r="P2536" i="1"/>
  <c r="G2537" i="1"/>
  <c r="P2537" i="1" s="1"/>
  <c r="M2537" i="1"/>
  <c r="N2537" i="1"/>
  <c r="O2537" i="1"/>
  <c r="G2538" i="1"/>
  <c r="P2538" i="1" s="1"/>
  <c r="M2538" i="1"/>
  <c r="N2538" i="1" s="1"/>
  <c r="O2538" i="1"/>
  <c r="G2539" i="1"/>
  <c r="M2539" i="1"/>
  <c r="N2539" i="1" s="1"/>
  <c r="O2539" i="1"/>
  <c r="P2539" i="1"/>
  <c r="G2540" i="1"/>
  <c r="M2540" i="1"/>
  <c r="N2540" i="1" s="1"/>
  <c r="O2540" i="1"/>
  <c r="P2540" i="1"/>
  <c r="G2541" i="1"/>
  <c r="P2541" i="1" s="1"/>
  <c r="M2541" i="1"/>
  <c r="N2541" i="1" s="1"/>
  <c r="O2541" i="1"/>
  <c r="G2542" i="1"/>
  <c r="P2542" i="1" s="1"/>
  <c r="M2542" i="1"/>
  <c r="N2542" i="1" s="1"/>
  <c r="O2542" i="1"/>
  <c r="G2543" i="1"/>
  <c r="P2543" i="1" s="1"/>
  <c r="M2543" i="1"/>
  <c r="N2543" i="1" s="1"/>
  <c r="O2543" i="1"/>
  <c r="G2544" i="1"/>
  <c r="P2544" i="1" s="1"/>
  <c r="M2544" i="1"/>
  <c r="N2544" i="1" s="1"/>
  <c r="O2544" i="1"/>
  <c r="G2545" i="1"/>
  <c r="M2545" i="1"/>
  <c r="N2545" i="1"/>
  <c r="O2545" i="1"/>
  <c r="P2545" i="1"/>
  <c r="G2546" i="1"/>
  <c r="P2546" i="1" s="1"/>
  <c r="M2546" i="1"/>
  <c r="N2546" i="1" s="1"/>
  <c r="O2546" i="1"/>
  <c r="G2547" i="1"/>
  <c r="P2547" i="1" s="1"/>
  <c r="M2547" i="1"/>
  <c r="N2547" i="1" s="1"/>
  <c r="O2547" i="1"/>
  <c r="G2548" i="1"/>
  <c r="M2548" i="1"/>
  <c r="N2548" i="1"/>
  <c r="O2548" i="1"/>
  <c r="P2548" i="1"/>
  <c r="G2549" i="1"/>
  <c r="P2549" i="1" s="1"/>
  <c r="M2549" i="1"/>
  <c r="N2549" i="1"/>
  <c r="O2549" i="1"/>
  <c r="G2550" i="1"/>
  <c r="P2550" i="1" s="1"/>
  <c r="M2550" i="1"/>
  <c r="N2550" i="1"/>
  <c r="O2550" i="1"/>
  <c r="G2551" i="1"/>
  <c r="P2551" i="1" s="1"/>
  <c r="M2551" i="1"/>
  <c r="N2551" i="1" s="1"/>
  <c r="O2551" i="1"/>
  <c r="G2552" i="1"/>
  <c r="M2552" i="1"/>
  <c r="N2552" i="1" s="1"/>
  <c r="O2552" i="1"/>
  <c r="P2552" i="1"/>
  <c r="G2553" i="1"/>
  <c r="P2553" i="1" s="1"/>
  <c r="M2553" i="1"/>
  <c r="N2553" i="1" s="1"/>
  <c r="O2553" i="1"/>
  <c r="G2554" i="1"/>
  <c r="P2554" i="1" s="1"/>
  <c r="M2554" i="1"/>
  <c r="N2554" i="1" s="1"/>
  <c r="O2554" i="1"/>
  <c r="G2555" i="1"/>
  <c r="P2555" i="1" s="1"/>
  <c r="M2555" i="1"/>
  <c r="N2555" i="1" s="1"/>
  <c r="O2555" i="1"/>
  <c r="G2556" i="1"/>
  <c r="P2556" i="1" s="1"/>
  <c r="M2556" i="1"/>
  <c r="N2556" i="1" s="1"/>
  <c r="O2556" i="1"/>
  <c r="G2557" i="1"/>
  <c r="P2557" i="1" s="1"/>
  <c r="M2557" i="1"/>
  <c r="N2557" i="1"/>
  <c r="O2557" i="1"/>
  <c r="G2558" i="1"/>
  <c r="M2558" i="1"/>
  <c r="N2558" i="1"/>
  <c r="O2558" i="1"/>
  <c r="P2558" i="1"/>
  <c r="G2559" i="1"/>
  <c r="P2559" i="1" s="1"/>
  <c r="M2559" i="1"/>
  <c r="N2559" i="1" s="1"/>
  <c r="O2559" i="1"/>
  <c r="G2560" i="1"/>
  <c r="P2560" i="1" s="1"/>
  <c r="M2560" i="1"/>
  <c r="N2560" i="1" s="1"/>
  <c r="O2560" i="1"/>
  <c r="G2561" i="1"/>
  <c r="P2561" i="1" s="1"/>
  <c r="M2561" i="1"/>
  <c r="N2561" i="1" s="1"/>
  <c r="O2561" i="1"/>
  <c r="G2562" i="1"/>
  <c r="M2562" i="1"/>
  <c r="N2562" i="1"/>
  <c r="O2562" i="1"/>
  <c r="P2562" i="1"/>
  <c r="G2563" i="1"/>
  <c r="P2563" i="1" s="1"/>
  <c r="M2563" i="1"/>
  <c r="N2563" i="1" s="1"/>
  <c r="O2563" i="1"/>
  <c r="G2564" i="1"/>
  <c r="P2564" i="1" s="1"/>
  <c r="M2564" i="1"/>
  <c r="N2564" i="1" s="1"/>
  <c r="O2564" i="1"/>
  <c r="G2565" i="1"/>
  <c r="P2565" i="1" s="1"/>
  <c r="M2565" i="1"/>
  <c r="N2565" i="1" s="1"/>
  <c r="O2565" i="1"/>
  <c r="G2566" i="1"/>
  <c r="P2566" i="1" s="1"/>
  <c r="M2566" i="1"/>
  <c r="N2566" i="1"/>
  <c r="O2566" i="1"/>
  <c r="G2567" i="1"/>
  <c r="P2567" i="1" s="1"/>
  <c r="M2567" i="1"/>
  <c r="N2567" i="1" s="1"/>
  <c r="O2567" i="1"/>
  <c r="G2568" i="1"/>
  <c r="P2568" i="1" s="1"/>
  <c r="M2568" i="1"/>
  <c r="N2568" i="1" s="1"/>
  <c r="O2568" i="1"/>
  <c r="G2569" i="1"/>
  <c r="P2569" i="1" s="1"/>
  <c r="M2569" i="1"/>
  <c r="N2569" i="1" s="1"/>
  <c r="O2569" i="1"/>
  <c r="G2570" i="1"/>
  <c r="P2570" i="1" s="1"/>
  <c r="M2570" i="1"/>
  <c r="N2570" i="1" s="1"/>
  <c r="O2570" i="1"/>
  <c r="G2571" i="1"/>
  <c r="P2571" i="1" s="1"/>
  <c r="M2571" i="1"/>
  <c r="N2571" i="1" s="1"/>
  <c r="O2571" i="1"/>
  <c r="G2572" i="1"/>
  <c r="P2572" i="1" s="1"/>
  <c r="M2572" i="1"/>
  <c r="N2572" i="1"/>
  <c r="O2572" i="1"/>
  <c r="G2573" i="1"/>
  <c r="P2573" i="1" s="1"/>
  <c r="M2573" i="1"/>
  <c r="N2573" i="1"/>
  <c r="O2573" i="1"/>
  <c r="G2574" i="1"/>
  <c r="P2574" i="1" s="1"/>
  <c r="M2574" i="1"/>
  <c r="N2574" i="1" s="1"/>
  <c r="O2574" i="1"/>
  <c r="G2575" i="1"/>
  <c r="P2575" i="1" s="1"/>
  <c r="M2575" i="1"/>
  <c r="N2575" i="1"/>
  <c r="O2575" i="1"/>
  <c r="G2576" i="1"/>
  <c r="P2576" i="1" s="1"/>
  <c r="M2576" i="1"/>
  <c r="N2576" i="1" s="1"/>
  <c r="O2576" i="1"/>
  <c r="G2577" i="1"/>
  <c r="M2577" i="1"/>
  <c r="N2577" i="1"/>
  <c r="O2577" i="1"/>
  <c r="P2577" i="1"/>
  <c r="G2578" i="1"/>
  <c r="P2578" i="1" s="1"/>
  <c r="M2578" i="1"/>
  <c r="N2578" i="1" s="1"/>
  <c r="O2578" i="1"/>
  <c r="G2579" i="1"/>
  <c r="P2579" i="1" s="1"/>
  <c r="M2579" i="1"/>
  <c r="N2579" i="1" s="1"/>
  <c r="O2579" i="1"/>
  <c r="G2580" i="1"/>
  <c r="P2580" i="1" s="1"/>
  <c r="M2580" i="1"/>
  <c r="N2580" i="1"/>
  <c r="O2580" i="1"/>
  <c r="G2581" i="1"/>
  <c r="M2581" i="1"/>
  <c r="N2581" i="1"/>
  <c r="O2581" i="1"/>
  <c r="P2581" i="1"/>
  <c r="G2582" i="1"/>
  <c r="P2582" i="1" s="1"/>
  <c r="M2582" i="1"/>
  <c r="N2582" i="1"/>
  <c r="O2582" i="1"/>
  <c r="G2583" i="1"/>
  <c r="P2583" i="1" s="1"/>
  <c r="M2583" i="1"/>
  <c r="N2583" i="1" s="1"/>
  <c r="O2583" i="1"/>
  <c r="G2584" i="1"/>
  <c r="P2584" i="1" s="1"/>
  <c r="M2584" i="1"/>
  <c r="N2584" i="1" s="1"/>
  <c r="O2584" i="1"/>
  <c r="G2585" i="1"/>
  <c r="P2585" i="1" s="1"/>
  <c r="M2585" i="1"/>
  <c r="N2585" i="1"/>
  <c r="O2585" i="1"/>
  <c r="G2586" i="1"/>
  <c r="M2586" i="1"/>
  <c r="N2586" i="1"/>
  <c r="O2586" i="1"/>
  <c r="P2586" i="1"/>
  <c r="G2587" i="1"/>
  <c r="P2587" i="1" s="1"/>
  <c r="M2587" i="1"/>
  <c r="N2587" i="1" s="1"/>
  <c r="O2587" i="1"/>
  <c r="G2588" i="1"/>
  <c r="P2588" i="1" s="1"/>
  <c r="M2588" i="1"/>
  <c r="N2588" i="1" s="1"/>
  <c r="O2588" i="1"/>
  <c r="G2589" i="1"/>
  <c r="P2589" i="1" s="1"/>
  <c r="M2589" i="1"/>
  <c r="N2589" i="1" s="1"/>
  <c r="O2589" i="1"/>
  <c r="G2590" i="1"/>
  <c r="M2590" i="1"/>
  <c r="N2590" i="1"/>
  <c r="O2590" i="1"/>
  <c r="P2590" i="1"/>
  <c r="G2591" i="1"/>
  <c r="P2591" i="1" s="1"/>
  <c r="M2591" i="1"/>
  <c r="N2591" i="1" s="1"/>
  <c r="O2591" i="1"/>
  <c r="G2592" i="1"/>
  <c r="P2592" i="1" s="1"/>
  <c r="M2592" i="1"/>
  <c r="N2592" i="1" s="1"/>
  <c r="O2592" i="1"/>
  <c r="G2593" i="1"/>
  <c r="M2593" i="1"/>
  <c r="N2593" i="1"/>
  <c r="O2593" i="1"/>
  <c r="P2593" i="1"/>
  <c r="G2594" i="1"/>
  <c r="M2594" i="1"/>
  <c r="N2594" i="1"/>
  <c r="O2594" i="1"/>
  <c r="P2594" i="1"/>
  <c r="G2595" i="1"/>
  <c r="P2595" i="1" s="1"/>
  <c r="M2595" i="1"/>
  <c r="N2595" i="1" s="1"/>
  <c r="O2595" i="1"/>
  <c r="G2596" i="1"/>
  <c r="P2596" i="1" s="1"/>
  <c r="M2596" i="1"/>
  <c r="N2596" i="1" s="1"/>
  <c r="O2596" i="1"/>
  <c r="G2597" i="1"/>
  <c r="M2597" i="1"/>
  <c r="N2597" i="1"/>
  <c r="O2597" i="1"/>
  <c r="P2597" i="1"/>
  <c r="G2598" i="1"/>
  <c r="P2598" i="1" s="1"/>
  <c r="M2598" i="1"/>
  <c r="N2598" i="1"/>
  <c r="O2598" i="1"/>
  <c r="G2599" i="1"/>
  <c r="P2599" i="1" s="1"/>
  <c r="M2599" i="1"/>
  <c r="N2599" i="1" s="1"/>
  <c r="O2599" i="1"/>
  <c r="G2600" i="1"/>
  <c r="P2600" i="1" s="1"/>
  <c r="M2600" i="1"/>
  <c r="N2600" i="1" s="1"/>
  <c r="O2600" i="1"/>
  <c r="G2601" i="1"/>
  <c r="P2601" i="1" s="1"/>
  <c r="M2601" i="1"/>
  <c r="N2601" i="1"/>
  <c r="O2601" i="1"/>
  <c r="M2501" i="1"/>
  <c r="N2501" i="1" s="1"/>
  <c r="O2501" i="1"/>
  <c r="M2502" i="1"/>
  <c r="N2502" i="1"/>
  <c r="O2502" i="1"/>
  <c r="M2503" i="1"/>
  <c r="N2503" i="1" s="1"/>
  <c r="O2503" i="1"/>
  <c r="M2504" i="1"/>
  <c r="N2504" i="1" s="1"/>
  <c r="O2504" i="1"/>
  <c r="M2505" i="1"/>
  <c r="N2505" i="1" s="1"/>
  <c r="O2505" i="1"/>
  <c r="M2506" i="1"/>
  <c r="N2506" i="1"/>
  <c r="O2506" i="1"/>
  <c r="M2507" i="1"/>
  <c r="N2507" i="1" s="1"/>
  <c r="O2507" i="1"/>
  <c r="M2508" i="1"/>
  <c r="N2508" i="1" s="1"/>
  <c r="O2508" i="1"/>
  <c r="M2509" i="1"/>
  <c r="N2509" i="1" s="1"/>
  <c r="O2509" i="1"/>
  <c r="M2510" i="1"/>
  <c r="N2510" i="1" s="1"/>
  <c r="O2510" i="1"/>
  <c r="M2511" i="1"/>
  <c r="N2511" i="1" s="1"/>
  <c r="O2511" i="1"/>
  <c r="M2512" i="1"/>
  <c r="N2512" i="1" s="1"/>
  <c r="O2512" i="1"/>
  <c r="M2513" i="1"/>
  <c r="N2513" i="1" s="1"/>
  <c r="O2513" i="1"/>
  <c r="M2514" i="1"/>
  <c r="N2514" i="1"/>
  <c r="O2514" i="1"/>
  <c r="M2515" i="1"/>
  <c r="N2515" i="1" s="1"/>
  <c r="O2515" i="1"/>
  <c r="M2516" i="1"/>
  <c r="N2516" i="1" s="1"/>
  <c r="O2516" i="1"/>
  <c r="M2517" i="1"/>
  <c r="N2517" i="1" s="1"/>
  <c r="O2517" i="1"/>
  <c r="M2518" i="1"/>
  <c r="N2518" i="1" s="1"/>
  <c r="O2518" i="1"/>
  <c r="M2519" i="1"/>
  <c r="N2519" i="1" s="1"/>
  <c r="O2519" i="1"/>
  <c r="M2520" i="1"/>
  <c r="N2520" i="1" s="1"/>
  <c r="O2520" i="1"/>
  <c r="M2521" i="1"/>
  <c r="N2521" i="1" s="1"/>
  <c r="O2521" i="1"/>
  <c r="M2522" i="1"/>
  <c r="N2522" i="1" s="1"/>
  <c r="O2522" i="1"/>
  <c r="M2523" i="1"/>
  <c r="N2523" i="1" s="1"/>
  <c r="O2523" i="1"/>
  <c r="P2523" i="1"/>
  <c r="M2524" i="1"/>
  <c r="N2524" i="1" s="1"/>
  <c r="O2524" i="1"/>
  <c r="G2501" i="1"/>
  <c r="P2501" i="1" s="1"/>
  <c r="G2502" i="1"/>
  <c r="P2502" i="1" s="1"/>
  <c r="G2503" i="1"/>
  <c r="P2503" i="1" s="1"/>
  <c r="G2504" i="1"/>
  <c r="P2504" i="1" s="1"/>
  <c r="G2505" i="1"/>
  <c r="P2505" i="1" s="1"/>
  <c r="G2506" i="1"/>
  <c r="P2506" i="1" s="1"/>
  <c r="G2507" i="1"/>
  <c r="P2507" i="1" s="1"/>
  <c r="G2508" i="1"/>
  <c r="P2508" i="1" s="1"/>
  <c r="G2509" i="1"/>
  <c r="P2509" i="1" s="1"/>
  <c r="G2510" i="1"/>
  <c r="P2510" i="1" s="1"/>
  <c r="G2511" i="1"/>
  <c r="P2511" i="1" s="1"/>
  <c r="G2512" i="1"/>
  <c r="P2512" i="1" s="1"/>
  <c r="G2513" i="1"/>
  <c r="P2513" i="1" s="1"/>
  <c r="G2514" i="1"/>
  <c r="P2514" i="1" s="1"/>
  <c r="G2515" i="1"/>
  <c r="P2515" i="1" s="1"/>
  <c r="G2516" i="1"/>
  <c r="P2516" i="1" s="1"/>
  <c r="G2517" i="1"/>
  <c r="P2517" i="1" s="1"/>
  <c r="G2518" i="1"/>
  <c r="P2518" i="1" s="1"/>
  <c r="G2519" i="1"/>
  <c r="P2519" i="1" s="1"/>
  <c r="G2520" i="1"/>
  <c r="P2520" i="1" s="1"/>
  <c r="G2521" i="1"/>
  <c r="P2521" i="1" s="1"/>
  <c r="G2522" i="1"/>
  <c r="P2522" i="1" s="1"/>
  <c r="G2523" i="1"/>
  <c r="G2524" i="1"/>
  <c r="P2524" i="1" s="1"/>
  <c r="G2298" i="1" l="1"/>
  <c r="P2298" i="1" s="1"/>
  <c r="G2277" i="1"/>
  <c r="G2249" i="1"/>
  <c r="M2221" i="1"/>
  <c r="N2221" i="1" s="1"/>
  <c r="O2221" i="1"/>
  <c r="M2222" i="1"/>
  <c r="N2222" i="1"/>
  <c r="O2222" i="1"/>
  <c r="M2223" i="1"/>
  <c r="N2223" i="1"/>
  <c r="O2223" i="1"/>
  <c r="M2224" i="1"/>
  <c r="N2224" i="1" s="1"/>
  <c r="O2224" i="1"/>
  <c r="M2225" i="1"/>
  <c r="N2225" i="1" s="1"/>
  <c r="O2225" i="1"/>
  <c r="M2226" i="1"/>
  <c r="N2226" i="1" s="1"/>
  <c r="O2226" i="1"/>
  <c r="M2227" i="1"/>
  <c r="N2227" i="1" s="1"/>
  <c r="O2227" i="1"/>
  <c r="M2228" i="1"/>
  <c r="N2228" i="1"/>
  <c r="O2228" i="1"/>
  <c r="M2229" i="1"/>
  <c r="N2229" i="1" s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 s="1"/>
  <c r="O2233" i="1"/>
  <c r="M2234" i="1"/>
  <c r="N2234" i="1" s="1"/>
  <c r="O2234" i="1"/>
  <c r="M2235" i="1"/>
  <c r="N2235" i="1"/>
  <c r="O2235" i="1"/>
  <c r="M2236" i="1"/>
  <c r="N2236" i="1" s="1"/>
  <c r="O2236" i="1"/>
  <c r="M2237" i="1"/>
  <c r="N2237" i="1"/>
  <c r="O2237" i="1"/>
  <c r="M2238" i="1"/>
  <c r="N2238" i="1" s="1"/>
  <c r="O2238" i="1"/>
  <c r="M2239" i="1"/>
  <c r="N2239" i="1" s="1"/>
  <c r="O2239" i="1"/>
  <c r="M2240" i="1"/>
  <c r="N2240" i="1" s="1"/>
  <c r="O2240" i="1"/>
  <c r="M2241" i="1"/>
  <c r="N2241" i="1" s="1"/>
  <c r="O2241" i="1"/>
  <c r="M2242" i="1"/>
  <c r="N2242" i="1"/>
  <c r="O2242" i="1"/>
  <c r="P2242" i="1"/>
  <c r="M2243" i="1"/>
  <c r="N2243" i="1" s="1"/>
  <c r="O2243" i="1"/>
  <c r="M2244" i="1"/>
  <c r="N2244" i="1" s="1"/>
  <c r="O2244" i="1"/>
  <c r="M2245" i="1"/>
  <c r="N2245" i="1"/>
  <c r="O2245" i="1"/>
  <c r="M2246" i="1"/>
  <c r="N2246" i="1" s="1"/>
  <c r="O2246" i="1"/>
  <c r="M2247" i="1"/>
  <c r="N2247" i="1"/>
  <c r="O2247" i="1"/>
  <c r="M2248" i="1"/>
  <c r="N2248" i="1" s="1"/>
  <c r="O2248" i="1"/>
  <c r="M2249" i="1"/>
  <c r="N2249" i="1" s="1"/>
  <c r="O2249" i="1"/>
  <c r="M2250" i="1"/>
  <c r="N2250" i="1" s="1"/>
  <c r="O2250" i="1"/>
  <c r="M2251" i="1"/>
  <c r="N2251" i="1" s="1"/>
  <c r="O2251" i="1"/>
  <c r="M2252" i="1"/>
  <c r="N2252" i="1"/>
  <c r="O2252" i="1"/>
  <c r="M2253" i="1"/>
  <c r="N2253" i="1" s="1"/>
  <c r="O2253" i="1"/>
  <c r="M2254" i="1"/>
  <c r="N2254" i="1" s="1"/>
  <c r="O2254" i="1"/>
  <c r="M2255" i="1"/>
  <c r="N2255" i="1"/>
  <c r="O2255" i="1"/>
  <c r="M2256" i="1"/>
  <c r="N2256" i="1" s="1"/>
  <c r="O2256" i="1"/>
  <c r="M2257" i="1"/>
  <c r="N2257" i="1" s="1"/>
  <c r="O2257" i="1"/>
  <c r="M2258" i="1"/>
  <c r="N2258" i="1"/>
  <c r="O2258" i="1"/>
  <c r="M2259" i="1"/>
  <c r="N2259" i="1" s="1"/>
  <c r="O2259" i="1"/>
  <c r="M2260" i="1"/>
  <c r="N2260" i="1" s="1"/>
  <c r="O2260" i="1"/>
  <c r="M2261" i="1"/>
  <c r="N2261" i="1"/>
  <c r="O2261" i="1"/>
  <c r="M2262" i="1"/>
  <c r="N2262" i="1" s="1"/>
  <c r="O2262" i="1"/>
  <c r="M2263" i="1"/>
  <c r="N2263" i="1"/>
  <c r="O2263" i="1"/>
  <c r="M2264" i="1"/>
  <c r="N2264" i="1" s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 s="1"/>
  <c r="O2268" i="1"/>
  <c r="M2269" i="1"/>
  <c r="N2269" i="1" s="1"/>
  <c r="O2269" i="1"/>
  <c r="M2270" i="1"/>
  <c r="N2270" i="1" s="1"/>
  <c r="O2270" i="1"/>
  <c r="M2271" i="1"/>
  <c r="N2271" i="1"/>
  <c r="O2271" i="1"/>
  <c r="M2272" i="1"/>
  <c r="N2272" i="1" s="1"/>
  <c r="O2272" i="1"/>
  <c r="M2273" i="1"/>
  <c r="N2273" i="1" s="1"/>
  <c r="O2273" i="1"/>
  <c r="M2274" i="1"/>
  <c r="N2274" i="1" s="1"/>
  <c r="O2274" i="1"/>
  <c r="M2275" i="1"/>
  <c r="N2275" i="1" s="1"/>
  <c r="O2275" i="1"/>
  <c r="M2276" i="1"/>
  <c r="N2276" i="1"/>
  <c r="O2276" i="1"/>
  <c r="M2277" i="1"/>
  <c r="N2277" i="1"/>
  <c r="O2277" i="1"/>
  <c r="P2277" i="1"/>
  <c r="M2278" i="1"/>
  <c r="N2278" i="1" s="1"/>
  <c r="O2278" i="1"/>
  <c r="M2279" i="1"/>
  <c r="N2279" i="1" s="1"/>
  <c r="O2279" i="1"/>
  <c r="M2280" i="1"/>
  <c r="N2280" i="1"/>
  <c r="O2280" i="1"/>
  <c r="M2281" i="1"/>
  <c r="N2281" i="1"/>
  <c r="O2281" i="1"/>
  <c r="M2282" i="1"/>
  <c r="N2282" i="1" s="1"/>
  <c r="O2282" i="1"/>
  <c r="M2283" i="1"/>
  <c r="N2283" i="1"/>
  <c r="O2283" i="1"/>
  <c r="M2284" i="1"/>
  <c r="N2284" i="1" s="1"/>
  <c r="O2284" i="1"/>
  <c r="M2285" i="1"/>
  <c r="N2285" i="1" s="1"/>
  <c r="O2285" i="1"/>
  <c r="M2286" i="1"/>
  <c r="N2286" i="1"/>
  <c r="O2286" i="1"/>
  <c r="M2287" i="1"/>
  <c r="N2287" i="1" s="1"/>
  <c r="O2287" i="1"/>
  <c r="M2288" i="1"/>
  <c r="N2288" i="1"/>
  <c r="O2288" i="1"/>
  <c r="M2289" i="1"/>
  <c r="N2289" i="1"/>
  <c r="O2289" i="1"/>
  <c r="M2290" i="1"/>
  <c r="N2290" i="1" s="1"/>
  <c r="O2290" i="1"/>
  <c r="M2291" i="1"/>
  <c r="N2291" i="1" s="1"/>
  <c r="O2291" i="1"/>
  <c r="M2292" i="1"/>
  <c r="N2292" i="1" s="1"/>
  <c r="O2292" i="1"/>
  <c r="M2293" i="1"/>
  <c r="N2293" i="1" s="1"/>
  <c r="O2293" i="1"/>
  <c r="M2294" i="1"/>
  <c r="N2294" i="1"/>
  <c r="O2294" i="1"/>
  <c r="M2295" i="1"/>
  <c r="N2295" i="1"/>
  <c r="O2295" i="1"/>
  <c r="M2296" i="1"/>
  <c r="N2296" i="1" s="1"/>
  <c r="O2296" i="1"/>
  <c r="M2297" i="1"/>
  <c r="N2297" i="1" s="1"/>
  <c r="O2297" i="1"/>
  <c r="M2298" i="1"/>
  <c r="N2298" i="1" s="1"/>
  <c r="O2298" i="1"/>
  <c r="M2299" i="1"/>
  <c r="N2299" i="1"/>
  <c r="O2299" i="1"/>
  <c r="M2300" i="1"/>
  <c r="N2300" i="1"/>
  <c r="O2300" i="1"/>
  <c r="M2301" i="1"/>
  <c r="N2301" i="1" s="1"/>
  <c r="O2301" i="1"/>
  <c r="M2302" i="1"/>
  <c r="N2302" i="1"/>
  <c r="O2302" i="1"/>
  <c r="M2303" i="1"/>
  <c r="N2303" i="1" s="1"/>
  <c r="O2303" i="1"/>
  <c r="M2304" i="1"/>
  <c r="N2304" i="1" s="1"/>
  <c r="O2304" i="1"/>
  <c r="M2305" i="1"/>
  <c r="N2305" i="1" s="1"/>
  <c r="O2305" i="1"/>
  <c r="M2306" i="1"/>
  <c r="N2306" i="1" s="1"/>
  <c r="O2306" i="1"/>
  <c r="M2307" i="1"/>
  <c r="N2307" i="1" s="1"/>
  <c r="O2307" i="1"/>
  <c r="M2308" i="1"/>
  <c r="N2308" i="1" s="1"/>
  <c r="O2308" i="1"/>
  <c r="M2309" i="1"/>
  <c r="N2309" i="1"/>
  <c r="O2309" i="1"/>
  <c r="M2310" i="1"/>
  <c r="N2310" i="1" s="1"/>
  <c r="O2310" i="1"/>
  <c r="M2311" i="1"/>
  <c r="N2311" i="1" s="1"/>
  <c r="O2311" i="1"/>
  <c r="M2312" i="1"/>
  <c r="N2312" i="1" s="1"/>
  <c r="O2312" i="1"/>
  <c r="M2313" i="1"/>
  <c r="N2313" i="1" s="1"/>
  <c r="O2313" i="1"/>
  <c r="M2314" i="1"/>
  <c r="N2314" i="1" s="1"/>
  <c r="O2314" i="1"/>
  <c r="M2315" i="1"/>
  <c r="N2315" i="1"/>
  <c r="O2315" i="1"/>
  <c r="M2316" i="1"/>
  <c r="N2316" i="1" s="1"/>
  <c r="O2316" i="1"/>
  <c r="M2317" i="1"/>
  <c r="N2317" i="1" s="1"/>
  <c r="O2317" i="1"/>
  <c r="M2318" i="1"/>
  <c r="N2318" i="1" s="1"/>
  <c r="O2318" i="1"/>
  <c r="M2319" i="1"/>
  <c r="N2319" i="1" s="1"/>
  <c r="O2319" i="1"/>
  <c r="M2320" i="1"/>
  <c r="N2320" i="1" s="1"/>
  <c r="O2320" i="1"/>
  <c r="M2321" i="1"/>
  <c r="N2321" i="1" s="1"/>
  <c r="O2321" i="1"/>
  <c r="M2322" i="1"/>
  <c r="N2322" i="1" s="1"/>
  <c r="O2322" i="1"/>
  <c r="M2323" i="1"/>
  <c r="N2323" i="1" s="1"/>
  <c r="O2323" i="1"/>
  <c r="M2324" i="1"/>
  <c r="N2324" i="1" s="1"/>
  <c r="O2324" i="1"/>
  <c r="M2325" i="1"/>
  <c r="N2325" i="1" s="1"/>
  <c r="O2325" i="1"/>
  <c r="M2326" i="1"/>
  <c r="N2326" i="1" s="1"/>
  <c r="O2326" i="1"/>
  <c r="M2327" i="1"/>
  <c r="N2327" i="1"/>
  <c r="O2327" i="1"/>
  <c r="M2328" i="1"/>
  <c r="N2328" i="1" s="1"/>
  <c r="O2328" i="1"/>
  <c r="M2329" i="1"/>
  <c r="N2329" i="1" s="1"/>
  <c r="O2329" i="1"/>
  <c r="M2330" i="1"/>
  <c r="N2330" i="1" s="1"/>
  <c r="O2330" i="1"/>
  <c r="M2331" i="1"/>
  <c r="N2331" i="1" s="1"/>
  <c r="O2331" i="1"/>
  <c r="M2332" i="1"/>
  <c r="N2332" i="1" s="1"/>
  <c r="O2332" i="1"/>
  <c r="M2333" i="1"/>
  <c r="N2333" i="1" s="1"/>
  <c r="O2333" i="1"/>
  <c r="M2334" i="1"/>
  <c r="N2334" i="1" s="1"/>
  <c r="O2334" i="1"/>
  <c r="M2335" i="1"/>
  <c r="N2335" i="1"/>
  <c r="O2335" i="1"/>
  <c r="M2336" i="1"/>
  <c r="N2336" i="1" s="1"/>
  <c r="O2336" i="1"/>
  <c r="M2337" i="1"/>
  <c r="N2337" i="1" s="1"/>
  <c r="O2337" i="1"/>
  <c r="M2338" i="1"/>
  <c r="N2338" i="1" s="1"/>
  <c r="O2338" i="1"/>
  <c r="M2339" i="1"/>
  <c r="N2339" i="1" s="1"/>
  <c r="O2339" i="1"/>
  <c r="M2340" i="1"/>
  <c r="N2340" i="1" s="1"/>
  <c r="O2340" i="1"/>
  <c r="M2341" i="1"/>
  <c r="N2341" i="1" s="1"/>
  <c r="O2341" i="1"/>
  <c r="M2342" i="1"/>
  <c r="N2342" i="1" s="1"/>
  <c r="O2342" i="1"/>
  <c r="M2343" i="1"/>
  <c r="N2343" i="1"/>
  <c r="O2343" i="1"/>
  <c r="M2344" i="1"/>
  <c r="N2344" i="1" s="1"/>
  <c r="O2344" i="1"/>
  <c r="M2345" i="1"/>
  <c r="N2345" i="1" s="1"/>
  <c r="O2345" i="1"/>
  <c r="M2346" i="1"/>
  <c r="N2346" i="1" s="1"/>
  <c r="O2346" i="1"/>
  <c r="M2347" i="1"/>
  <c r="N2347" i="1" s="1"/>
  <c r="O2347" i="1"/>
  <c r="M2348" i="1"/>
  <c r="N2348" i="1" s="1"/>
  <c r="O2348" i="1"/>
  <c r="M2349" i="1"/>
  <c r="N2349" i="1"/>
  <c r="O2349" i="1"/>
  <c r="M2350" i="1"/>
  <c r="N2350" i="1" s="1"/>
  <c r="O2350" i="1"/>
  <c r="M2351" i="1"/>
  <c r="N2351" i="1" s="1"/>
  <c r="O2351" i="1"/>
  <c r="M2352" i="1"/>
  <c r="N2352" i="1" s="1"/>
  <c r="O2352" i="1"/>
  <c r="M2353" i="1"/>
  <c r="N2353" i="1" s="1"/>
  <c r="O2353" i="1"/>
  <c r="M2354" i="1"/>
  <c r="N2354" i="1" s="1"/>
  <c r="O2354" i="1"/>
  <c r="M2355" i="1"/>
  <c r="N2355" i="1" s="1"/>
  <c r="O2355" i="1"/>
  <c r="M2356" i="1"/>
  <c r="N2356" i="1" s="1"/>
  <c r="O2356" i="1"/>
  <c r="P2356" i="1"/>
  <c r="M2357" i="1"/>
  <c r="N2357" i="1" s="1"/>
  <c r="O2357" i="1"/>
  <c r="M2358" i="1"/>
  <c r="N2358" i="1" s="1"/>
  <c r="O2358" i="1"/>
  <c r="M2359" i="1"/>
  <c r="N2359" i="1" s="1"/>
  <c r="O2359" i="1"/>
  <c r="M2360" i="1"/>
  <c r="N2360" i="1" s="1"/>
  <c r="O2360" i="1"/>
  <c r="M2361" i="1"/>
  <c r="N2361" i="1" s="1"/>
  <c r="O2361" i="1"/>
  <c r="M2362" i="1"/>
  <c r="N2362" i="1" s="1"/>
  <c r="O2362" i="1"/>
  <c r="M2363" i="1"/>
  <c r="N2363" i="1" s="1"/>
  <c r="O2363" i="1"/>
  <c r="M2364" i="1"/>
  <c r="N2364" i="1" s="1"/>
  <c r="O2364" i="1"/>
  <c r="M2365" i="1"/>
  <c r="N2365" i="1" s="1"/>
  <c r="O2365" i="1"/>
  <c r="M2366" i="1"/>
  <c r="N2366" i="1" s="1"/>
  <c r="O2366" i="1"/>
  <c r="M2367" i="1"/>
  <c r="N2367" i="1" s="1"/>
  <c r="O2367" i="1"/>
  <c r="M2368" i="1"/>
  <c r="N2368" i="1" s="1"/>
  <c r="O2368" i="1"/>
  <c r="M2369" i="1"/>
  <c r="N2369" i="1" s="1"/>
  <c r="O2369" i="1"/>
  <c r="M2370" i="1"/>
  <c r="N2370" i="1" s="1"/>
  <c r="O2370" i="1"/>
  <c r="M2371" i="1"/>
  <c r="N2371" i="1"/>
  <c r="O2371" i="1"/>
  <c r="M2372" i="1"/>
  <c r="N2372" i="1" s="1"/>
  <c r="O2372" i="1"/>
  <c r="M2373" i="1"/>
  <c r="N2373" i="1" s="1"/>
  <c r="O2373" i="1"/>
  <c r="M2374" i="1"/>
  <c r="N2374" i="1" s="1"/>
  <c r="O2374" i="1"/>
  <c r="M2375" i="1"/>
  <c r="N2375" i="1"/>
  <c r="O2375" i="1"/>
  <c r="M2376" i="1"/>
  <c r="N2376" i="1" s="1"/>
  <c r="O2376" i="1"/>
  <c r="M2377" i="1"/>
  <c r="N2377" i="1" s="1"/>
  <c r="O2377" i="1"/>
  <c r="M2378" i="1"/>
  <c r="N2378" i="1" s="1"/>
  <c r="O2378" i="1"/>
  <c r="M2379" i="1"/>
  <c r="N2379" i="1" s="1"/>
  <c r="O2379" i="1"/>
  <c r="M2380" i="1"/>
  <c r="N2380" i="1" s="1"/>
  <c r="O2380" i="1"/>
  <c r="M2381" i="1"/>
  <c r="N2381" i="1" s="1"/>
  <c r="O2381" i="1"/>
  <c r="M2382" i="1"/>
  <c r="N2382" i="1" s="1"/>
  <c r="O2382" i="1"/>
  <c r="M2383" i="1"/>
  <c r="N2383" i="1"/>
  <c r="O2383" i="1"/>
  <c r="M2384" i="1"/>
  <c r="N2384" i="1" s="1"/>
  <c r="O2384" i="1"/>
  <c r="M2385" i="1"/>
  <c r="N2385" i="1" s="1"/>
  <c r="O2385" i="1"/>
  <c r="M2386" i="1"/>
  <c r="N2386" i="1" s="1"/>
  <c r="O2386" i="1"/>
  <c r="M2387" i="1"/>
  <c r="N2387" i="1" s="1"/>
  <c r="O2387" i="1"/>
  <c r="M2388" i="1"/>
  <c r="N2388" i="1" s="1"/>
  <c r="O2388" i="1"/>
  <c r="M2389" i="1"/>
  <c r="N2389" i="1" s="1"/>
  <c r="O2389" i="1"/>
  <c r="M2390" i="1"/>
  <c r="N2390" i="1" s="1"/>
  <c r="O2390" i="1"/>
  <c r="M2391" i="1"/>
  <c r="N2391" i="1" s="1"/>
  <c r="O2391" i="1"/>
  <c r="M2392" i="1"/>
  <c r="N2392" i="1" s="1"/>
  <c r="O2392" i="1"/>
  <c r="M2393" i="1"/>
  <c r="N2393" i="1" s="1"/>
  <c r="O2393" i="1"/>
  <c r="M2394" i="1"/>
  <c r="N2394" i="1" s="1"/>
  <c r="O2394" i="1"/>
  <c r="M2395" i="1"/>
  <c r="N2395" i="1" s="1"/>
  <c r="O2395" i="1"/>
  <c r="M2396" i="1"/>
  <c r="N2396" i="1" s="1"/>
  <c r="O2396" i="1"/>
  <c r="M2397" i="1"/>
  <c r="N2397" i="1" s="1"/>
  <c r="O2397" i="1"/>
  <c r="M2398" i="1"/>
  <c r="N2398" i="1" s="1"/>
  <c r="O2398" i="1"/>
  <c r="M2399" i="1"/>
  <c r="N2399" i="1" s="1"/>
  <c r="O2399" i="1"/>
  <c r="M2400" i="1"/>
  <c r="N2400" i="1" s="1"/>
  <c r="O2400" i="1"/>
  <c r="M2401" i="1"/>
  <c r="N2401" i="1"/>
  <c r="O2401" i="1"/>
  <c r="M2402" i="1"/>
  <c r="N2402" i="1" s="1"/>
  <c r="O2402" i="1"/>
  <c r="M2403" i="1"/>
  <c r="N2403" i="1"/>
  <c r="O2403" i="1"/>
  <c r="M2404" i="1"/>
  <c r="N2404" i="1"/>
  <c r="O2404" i="1"/>
  <c r="M2405" i="1"/>
  <c r="N2405" i="1" s="1"/>
  <c r="O2405" i="1"/>
  <c r="M2406" i="1"/>
  <c r="N2406" i="1" s="1"/>
  <c r="O2406" i="1"/>
  <c r="M2407" i="1"/>
  <c r="N2407" i="1"/>
  <c r="O2407" i="1"/>
  <c r="M2408" i="1"/>
  <c r="N2408" i="1" s="1"/>
  <c r="O2408" i="1"/>
  <c r="M2409" i="1"/>
  <c r="N2409" i="1" s="1"/>
  <c r="O2409" i="1"/>
  <c r="M2410" i="1"/>
  <c r="N2410" i="1"/>
  <c r="O2410" i="1"/>
  <c r="M2411" i="1"/>
  <c r="N2411" i="1" s="1"/>
  <c r="O2411" i="1"/>
  <c r="M2412" i="1"/>
  <c r="N2412" i="1" s="1"/>
  <c r="O2412" i="1"/>
  <c r="M2413" i="1"/>
  <c r="N2413" i="1" s="1"/>
  <c r="O2413" i="1"/>
  <c r="M2414" i="1"/>
  <c r="N2414" i="1" s="1"/>
  <c r="O2414" i="1"/>
  <c r="M2415" i="1"/>
  <c r="N2415" i="1" s="1"/>
  <c r="O2415" i="1"/>
  <c r="M2416" i="1"/>
  <c r="N2416" i="1" s="1"/>
  <c r="O2416" i="1"/>
  <c r="M2417" i="1"/>
  <c r="N2417" i="1" s="1"/>
  <c r="O2417" i="1"/>
  <c r="M2418" i="1"/>
  <c r="N2418" i="1" s="1"/>
  <c r="O2418" i="1"/>
  <c r="M2419" i="1"/>
  <c r="N2419" i="1" s="1"/>
  <c r="O2419" i="1"/>
  <c r="M2420" i="1"/>
  <c r="N2420" i="1" s="1"/>
  <c r="O2420" i="1"/>
  <c r="M2421" i="1"/>
  <c r="N2421" i="1"/>
  <c r="O2421" i="1"/>
  <c r="M2422" i="1"/>
  <c r="N2422" i="1" s="1"/>
  <c r="O2422" i="1"/>
  <c r="M2423" i="1"/>
  <c r="N2423" i="1" s="1"/>
  <c r="O2423" i="1"/>
  <c r="M2424" i="1"/>
  <c r="N2424" i="1" s="1"/>
  <c r="O2424" i="1"/>
  <c r="M2425" i="1"/>
  <c r="N2425" i="1"/>
  <c r="O2425" i="1"/>
  <c r="M2426" i="1"/>
  <c r="N2426" i="1" s="1"/>
  <c r="O2426" i="1"/>
  <c r="M2427" i="1"/>
  <c r="N2427" i="1"/>
  <c r="O2427" i="1"/>
  <c r="M2428" i="1"/>
  <c r="N2428" i="1" s="1"/>
  <c r="O2428" i="1"/>
  <c r="M2429" i="1"/>
  <c r="N2429" i="1" s="1"/>
  <c r="O2429" i="1"/>
  <c r="M2430" i="1"/>
  <c r="N2430" i="1" s="1"/>
  <c r="O2430" i="1"/>
  <c r="M2431" i="1"/>
  <c r="N2431" i="1"/>
  <c r="O2431" i="1"/>
  <c r="M2432" i="1"/>
  <c r="N2432" i="1" s="1"/>
  <c r="O2432" i="1"/>
  <c r="M2433" i="1"/>
  <c r="N2433" i="1" s="1"/>
  <c r="O2433" i="1"/>
  <c r="M2434" i="1"/>
  <c r="N2434" i="1" s="1"/>
  <c r="O2434" i="1"/>
  <c r="M2435" i="1"/>
  <c r="N2435" i="1" s="1"/>
  <c r="O2435" i="1"/>
  <c r="M2436" i="1"/>
  <c r="N2436" i="1" s="1"/>
  <c r="O2436" i="1"/>
  <c r="M2437" i="1"/>
  <c r="N2437" i="1"/>
  <c r="O2437" i="1"/>
  <c r="M2438" i="1"/>
  <c r="N2438" i="1" s="1"/>
  <c r="O2438" i="1"/>
  <c r="M2439" i="1"/>
  <c r="N2439" i="1" s="1"/>
  <c r="O2439" i="1"/>
  <c r="M2440" i="1"/>
  <c r="N2440" i="1" s="1"/>
  <c r="O2440" i="1"/>
  <c r="M2441" i="1"/>
  <c r="N2441" i="1"/>
  <c r="O2441" i="1"/>
  <c r="M2442" i="1"/>
  <c r="N2442" i="1" s="1"/>
  <c r="O2442" i="1"/>
  <c r="M2443" i="1"/>
  <c r="N2443" i="1" s="1"/>
  <c r="O2443" i="1"/>
  <c r="M2444" i="1"/>
  <c r="N2444" i="1" s="1"/>
  <c r="O2444" i="1"/>
  <c r="M2445" i="1"/>
  <c r="N2445" i="1"/>
  <c r="O2445" i="1"/>
  <c r="M2446" i="1"/>
  <c r="N2446" i="1" s="1"/>
  <c r="O2446" i="1"/>
  <c r="M2447" i="1"/>
  <c r="N2447" i="1"/>
  <c r="O2447" i="1"/>
  <c r="M2448" i="1"/>
  <c r="N2448" i="1" s="1"/>
  <c r="O2448" i="1"/>
  <c r="M2449" i="1"/>
  <c r="N2449" i="1" s="1"/>
  <c r="O2449" i="1"/>
  <c r="M2450" i="1"/>
  <c r="N2450" i="1" s="1"/>
  <c r="O2450" i="1"/>
  <c r="M2451" i="1"/>
  <c r="N2451" i="1" s="1"/>
  <c r="O2451" i="1"/>
  <c r="M2452" i="1"/>
  <c r="N2452" i="1" s="1"/>
  <c r="O2452" i="1"/>
  <c r="M2453" i="1"/>
  <c r="N2453" i="1" s="1"/>
  <c r="O2453" i="1"/>
  <c r="M2454" i="1"/>
  <c r="N2454" i="1" s="1"/>
  <c r="O2454" i="1"/>
  <c r="M2455" i="1"/>
  <c r="N2455" i="1" s="1"/>
  <c r="O2455" i="1"/>
  <c r="M2456" i="1"/>
  <c r="N2456" i="1" s="1"/>
  <c r="O2456" i="1"/>
  <c r="M2457" i="1"/>
  <c r="N2457" i="1" s="1"/>
  <c r="O2457" i="1"/>
  <c r="M2458" i="1"/>
  <c r="N2458" i="1" s="1"/>
  <c r="O2458" i="1"/>
  <c r="M2459" i="1"/>
  <c r="N2459" i="1"/>
  <c r="O2459" i="1"/>
  <c r="M2460" i="1"/>
  <c r="N2460" i="1"/>
  <c r="O2460" i="1"/>
  <c r="M2461" i="1"/>
  <c r="N2461" i="1" s="1"/>
  <c r="O2461" i="1"/>
  <c r="M2462" i="1"/>
  <c r="N2462" i="1" s="1"/>
  <c r="O2462" i="1"/>
  <c r="M2463" i="1"/>
  <c r="N2463" i="1" s="1"/>
  <c r="O2463" i="1"/>
  <c r="M2464" i="1"/>
  <c r="N2464" i="1" s="1"/>
  <c r="O2464" i="1"/>
  <c r="M2465" i="1"/>
  <c r="N2465" i="1"/>
  <c r="O2465" i="1"/>
  <c r="M2466" i="1"/>
  <c r="N2466" i="1" s="1"/>
  <c r="O2466" i="1"/>
  <c r="M2467" i="1"/>
  <c r="N2467" i="1"/>
  <c r="O2467" i="1"/>
  <c r="M2468" i="1"/>
  <c r="N2468" i="1" s="1"/>
  <c r="O2468" i="1"/>
  <c r="M2469" i="1"/>
  <c r="N2469" i="1" s="1"/>
  <c r="O2469" i="1"/>
  <c r="M2470" i="1"/>
  <c r="N2470" i="1" s="1"/>
  <c r="O2470" i="1"/>
  <c r="M2471" i="1"/>
  <c r="N2471" i="1" s="1"/>
  <c r="O2471" i="1"/>
  <c r="M2472" i="1"/>
  <c r="N2472" i="1"/>
  <c r="O2472" i="1"/>
  <c r="M2473" i="1"/>
  <c r="N2473" i="1"/>
  <c r="O2473" i="1"/>
  <c r="M2474" i="1"/>
  <c r="N2474" i="1" s="1"/>
  <c r="O2474" i="1"/>
  <c r="M2475" i="1"/>
  <c r="N2475" i="1" s="1"/>
  <c r="O2475" i="1"/>
  <c r="M2476" i="1"/>
  <c r="N2476" i="1" s="1"/>
  <c r="O2476" i="1"/>
  <c r="M2477" i="1"/>
  <c r="N2477" i="1" s="1"/>
  <c r="O2477" i="1"/>
  <c r="M2478" i="1"/>
  <c r="N2478" i="1" s="1"/>
  <c r="O2478" i="1"/>
  <c r="M2479" i="1"/>
  <c r="N2479" i="1"/>
  <c r="O2479" i="1"/>
  <c r="M2480" i="1"/>
  <c r="N2480" i="1"/>
  <c r="O2480" i="1"/>
  <c r="M2481" i="1"/>
  <c r="N2481" i="1" s="1"/>
  <c r="O2481" i="1"/>
  <c r="M2482" i="1"/>
  <c r="N2482" i="1" s="1"/>
  <c r="O2482" i="1"/>
  <c r="M2483" i="1"/>
  <c r="N2483" i="1" s="1"/>
  <c r="O2483" i="1"/>
  <c r="M2484" i="1"/>
  <c r="N2484" i="1"/>
  <c r="O2484" i="1"/>
  <c r="P2484" i="1"/>
  <c r="M2485" i="1"/>
  <c r="N2485" i="1"/>
  <c r="O2485" i="1"/>
  <c r="M2486" i="1"/>
  <c r="N2486" i="1" s="1"/>
  <c r="O2486" i="1"/>
  <c r="M2487" i="1"/>
  <c r="N2487" i="1" s="1"/>
  <c r="O2487" i="1"/>
  <c r="M2488" i="1"/>
  <c r="N2488" i="1" s="1"/>
  <c r="O2488" i="1"/>
  <c r="M2489" i="1"/>
  <c r="N2489" i="1" s="1"/>
  <c r="O2489" i="1"/>
  <c r="M2490" i="1"/>
  <c r="N2490" i="1" s="1"/>
  <c r="O2490" i="1"/>
  <c r="M2491" i="1"/>
  <c r="N2491" i="1"/>
  <c r="O2491" i="1"/>
  <c r="M2492" i="1"/>
  <c r="N2492" i="1"/>
  <c r="O2492" i="1"/>
  <c r="M2493" i="1"/>
  <c r="N2493" i="1" s="1"/>
  <c r="O2493" i="1"/>
  <c r="M2494" i="1"/>
  <c r="N2494" i="1" s="1"/>
  <c r="O2494" i="1"/>
  <c r="M2495" i="1"/>
  <c r="N2495" i="1" s="1"/>
  <c r="O2495" i="1"/>
  <c r="M2496" i="1"/>
  <c r="N2496" i="1" s="1"/>
  <c r="O2496" i="1"/>
  <c r="M2497" i="1"/>
  <c r="N2497" i="1" s="1"/>
  <c r="O2497" i="1"/>
  <c r="M2498" i="1"/>
  <c r="N2498" i="1" s="1"/>
  <c r="O2498" i="1"/>
  <c r="P2498" i="1"/>
  <c r="M2499" i="1"/>
  <c r="N2499" i="1"/>
  <c r="O2499" i="1"/>
  <c r="M2500" i="1"/>
  <c r="N2500" i="1"/>
  <c r="O2500" i="1"/>
  <c r="G2221" i="1"/>
  <c r="P2221" i="1" s="1"/>
  <c r="G2222" i="1"/>
  <c r="P2222" i="1" s="1"/>
  <c r="G2223" i="1"/>
  <c r="P2223" i="1" s="1"/>
  <c r="G2224" i="1"/>
  <c r="P2224" i="1" s="1"/>
  <c r="G2225" i="1"/>
  <c r="P2225" i="1" s="1"/>
  <c r="G2226" i="1"/>
  <c r="P2226" i="1" s="1"/>
  <c r="G2227" i="1"/>
  <c r="P2227" i="1" s="1"/>
  <c r="G2228" i="1"/>
  <c r="P2228" i="1" s="1"/>
  <c r="G2229" i="1"/>
  <c r="P2229" i="1" s="1"/>
  <c r="G2230" i="1"/>
  <c r="P2230" i="1" s="1"/>
  <c r="G2231" i="1"/>
  <c r="P2231" i="1" s="1"/>
  <c r="G2232" i="1"/>
  <c r="P2232" i="1" s="1"/>
  <c r="G2233" i="1"/>
  <c r="P2233" i="1" s="1"/>
  <c r="G2234" i="1"/>
  <c r="P2234" i="1" s="1"/>
  <c r="G2235" i="1"/>
  <c r="P2235" i="1" s="1"/>
  <c r="G2236" i="1"/>
  <c r="P2236" i="1" s="1"/>
  <c r="G2237" i="1"/>
  <c r="P2237" i="1" s="1"/>
  <c r="G2238" i="1"/>
  <c r="P2238" i="1" s="1"/>
  <c r="G2239" i="1"/>
  <c r="P2239" i="1" s="1"/>
  <c r="G2240" i="1"/>
  <c r="P2240" i="1" s="1"/>
  <c r="G2241" i="1"/>
  <c r="P2241" i="1" s="1"/>
  <c r="G2242" i="1"/>
  <c r="G2243" i="1"/>
  <c r="P2243" i="1" s="1"/>
  <c r="G2244" i="1"/>
  <c r="P2244" i="1" s="1"/>
  <c r="G2245" i="1"/>
  <c r="P2245" i="1" s="1"/>
  <c r="G2246" i="1"/>
  <c r="P2246" i="1" s="1"/>
  <c r="G2247" i="1"/>
  <c r="P2247" i="1" s="1"/>
  <c r="G2248" i="1"/>
  <c r="P2248" i="1" s="1"/>
  <c r="P2249" i="1"/>
  <c r="G2250" i="1"/>
  <c r="P2250" i="1" s="1"/>
  <c r="G2251" i="1"/>
  <c r="P2251" i="1" s="1"/>
  <c r="G2252" i="1"/>
  <c r="P2252" i="1" s="1"/>
  <c r="G2253" i="1"/>
  <c r="P2253" i="1" s="1"/>
  <c r="G2254" i="1"/>
  <c r="P2254" i="1" s="1"/>
  <c r="G2255" i="1"/>
  <c r="P2255" i="1" s="1"/>
  <c r="G2256" i="1"/>
  <c r="P2256" i="1" s="1"/>
  <c r="G2257" i="1"/>
  <c r="P2257" i="1" s="1"/>
  <c r="G2258" i="1"/>
  <c r="P2258" i="1" s="1"/>
  <c r="G2259" i="1"/>
  <c r="P2259" i="1" s="1"/>
  <c r="G2260" i="1"/>
  <c r="P2260" i="1" s="1"/>
  <c r="G2261" i="1"/>
  <c r="P2261" i="1" s="1"/>
  <c r="G2262" i="1"/>
  <c r="P2262" i="1" s="1"/>
  <c r="G2263" i="1"/>
  <c r="P2263" i="1" s="1"/>
  <c r="G2264" i="1"/>
  <c r="P2264" i="1" s="1"/>
  <c r="G2265" i="1"/>
  <c r="P2265" i="1" s="1"/>
  <c r="G2266" i="1"/>
  <c r="P2266" i="1" s="1"/>
  <c r="G2267" i="1"/>
  <c r="P2267" i="1" s="1"/>
  <c r="G2268" i="1"/>
  <c r="P2268" i="1" s="1"/>
  <c r="G2269" i="1"/>
  <c r="P2269" i="1" s="1"/>
  <c r="G2270" i="1"/>
  <c r="P2270" i="1" s="1"/>
  <c r="G2271" i="1"/>
  <c r="P2271" i="1" s="1"/>
  <c r="G2272" i="1"/>
  <c r="P2272" i="1" s="1"/>
  <c r="G2273" i="1"/>
  <c r="P2273" i="1" s="1"/>
  <c r="G2274" i="1"/>
  <c r="P2274" i="1" s="1"/>
  <c r="G2275" i="1"/>
  <c r="P2275" i="1" s="1"/>
  <c r="G2276" i="1"/>
  <c r="P2276" i="1" s="1"/>
  <c r="G2278" i="1"/>
  <c r="P2278" i="1" s="1"/>
  <c r="G2279" i="1"/>
  <c r="P2279" i="1" s="1"/>
  <c r="G2280" i="1"/>
  <c r="P2280" i="1" s="1"/>
  <c r="G2281" i="1"/>
  <c r="P2281" i="1" s="1"/>
  <c r="G2282" i="1"/>
  <c r="P2282" i="1" s="1"/>
  <c r="G2283" i="1"/>
  <c r="P2283" i="1" s="1"/>
  <c r="G2284" i="1"/>
  <c r="P2284" i="1" s="1"/>
  <c r="G2285" i="1"/>
  <c r="P2285" i="1" s="1"/>
  <c r="G2286" i="1"/>
  <c r="P2286" i="1" s="1"/>
  <c r="G2287" i="1"/>
  <c r="P2287" i="1" s="1"/>
  <c r="G2288" i="1"/>
  <c r="P2288" i="1" s="1"/>
  <c r="G2289" i="1"/>
  <c r="P2289" i="1" s="1"/>
  <c r="G2290" i="1"/>
  <c r="P2290" i="1" s="1"/>
  <c r="G2291" i="1"/>
  <c r="P2291" i="1" s="1"/>
  <c r="G2292" i="1"/>
  <c r="P2292" i="1" s="1"/>
  <c r="G2293" i="1"/>
  <c r="P2293" i="1" s="1"/>
  <c r="G2294" i="1"/>
  <c r="P2294" i="1" s="1"/>
  <c r="G2295" i="1"/>
  <c r="P2295" i="1" s="1"/>
  <c r="G2296" i="1"/>
  <c r="P2296" i="1" s="1"/>
  <c r="G2297" i="1"/>
  <c r="P2297" i="1" s="1"/>
  <c r="G2299" i="1"/>
  <c r="P2299" i="1" s="1"/>
  <c r="G2300" i="1"/>
  <c r="P2300" i="1" s="1"/>
  <c r="G2301" i="1"/>
  <c r="P2301" i="1" s="1"/>
  <c r="G2302" i="1"/>
  <c r="P2302" i="1" s="1"/>
  <c r="G2303" i="1"/>
  <c r="P2303" i="1" s="1"/>
  <c r="G2304" i="1"/>
  <c r="P2304" i="1" s="1"/>
  <c r="G2305" i="1"/>
  <c r="P2305" i="1" s="1"/>
  <c r="G2306" i="1"/>
  <c r="P2306" i="1" s="1"/>
  <c r="G2307" i="1"/>
  <c r="P2307" i="1" s="1"/>
  <c r="G2308" i="1"/>
  <c r="P2308" i="1" s="1"/>
  <c r="G2309" i="1"/>
  <c r="P2309" i="1" s="1"/>
  <c r="G2310" i="1"/>
  <c r="P2310" i="1" s="1"/>
  <c r="G2311" i="1"/>
  <c r="P2311" i="1" s="1"/>
  <c r="G2312" i="1"/>
  <c r="P2312" i="1" s="1"/>
  <c r="G2313" i="1"/>
  <c r="P2313" i="1" s="1"/>
  <c r="G2314" i="1"/>
  <c r="P2314" i="1" s="1"/>
  <c r="G2315" i="1"/>
  <c r="P2315" i="1" s="1"/>
  <c r="G2316" i="1"/>
  <c r="P2316" i="1" s="1"/>
  <c r="G2317" i="1"/>
  <c r="P2317" i="1" s="1"/>
  <c r="G2318" i="1"/>
  <c r="P2318" i="1" s="1"/>
  <c r="G2319" i="1"/>
  <c r="P2319" i="1" s="1"/>
  <c r="G2320" i="1"/>
  <c r="P2320" i="1" s="1"/>
  <c r="G2321" i="1"/>
  <c r="P2321" i="1" s="1"/>
  <c r="G2322" i="1"/>
  <c r="P2322" i="1" s="1"/>
  <c r="G2323" i="1"/>
  <c r="P2323" i="1" s="1"/>
  <c r="G2324" i="1"/>
  <c r="P2324" i="1" s="1"/>
  <c r="G2325" i="1"/>
  <c r="P2325" i="1" s="1"/>
  <c r="G2326" i="1"/>
  <c r="P2326" i="1" s="1"/>
  <c r="G2327" i="1"/>
  <c r="P2327" i="1" s="1"/>
  <c r="G2328" i="1"/>
  <c r="P2328" i="1" s="1"/>
  <c r="G2329" i="1"/>
  <c r="P2329" i="1" s="1"/>
  <c r="G2330" i="1"/>
  <c r="P2330" i="1" s="1"/>
  <c r="G2331" i="1"/>
  <c r="P2331" i="1" s="1"/>
  <c r="G2332" i="1"/>
  <c r="P2332" i="1" s="1"/>
  <c r="G2333" i="1"/>
  <c r="P2333" i="1" s="1"/>
  <c r="G2334" i="1"/>
  <c r="P2334" i="1" s="1"/>
  <c r="G2335" i="1"/>
  <c r="P2335" i="1" s="1"/>
  <c r="G2336" i="1"/>
  <c r="P2336" i="1" s="1"/>
  <c r="G2337" i="1"/>
  <c r="P2337" i="1" s="1"/>
  <c r="G2338" i="1"/>
  <c r="P2338" i="1" s="1"/>
  <c r="G2339" i="1"/>
  <c r="P2339" i="1" s="1"/>
  <c r="G2340" i="1"/>
  <c r="P2340" i="1" s="1"/>
  <c r="G2341" i="1"/>
  <c r="P2341" i="1" s="1"/>
  <c r="G2342" i="1"/>
  <c r="P2342" i="1" s="1"/>
  <c r="G2343" i="1"/>
  <c r="P2343" i="1" s="1"/>
  <c r="G2344" i="1"/>
  <c r="P2344" i="1" s="1"/>
  <c r="G2345" i="1"/>
  <c r="P2345" i="1" s="1"/>
  <c r="G2346" i="1"/>
  <c r="P2346" i="1" s="1"/>
  <c r="G2347" i="1"/>
  <c r="P2347" i="1" s="1"/>
  <c r="G2348" i="1"/>
  <c r="P2348" i="1" s="1"/>
  <c r="G2349" i="1"/>
  <c r="P2349" i="1" s="1"/>
  <c r="G2350" i="1"/>
  <c r="P2350" i="1" s="1"/>
  <c r="G2351" i="1"/>
  <c r="P2351" i="1" s="1"/>
  <c r="G2352" i="1"/>
  <c r="P2352" i="1" s="1"/>
  <c r="G2353" i="1"/>
  <c r="P2353" i="1" s="1"/>
  <c r="G2354" i="1"/>
  <c r="P2354" i="1" s="1"/>
  <c r="G2355" i="1"/>
  <c r="P2355" i="1" s="1"/>
  <c r="G2356" i="1"/>
  <c r="G2357" i="1"/>
  <c r="P2357" i="1" s="1"/>
  <c r="G2358" i="1"/>
  <c r="P2358" i="1" s="1"/>
  <c r="G2359" i="1"/>
  <c r="P2359" i="1" s="1"/>
  <c r="G2360" i="1"/>
  <c r="P2360" i="1" s="1"/>
  <c r="G2361" i="1"/>
  <c r="P2361" i="1" s="1"/>
  <c r="G2362" i="1"/>
  <c r="P2362" i="1" s="1"/>
  <c r="G2363" i="1"/>
  <c r="P2363" i="1" s="1"/>
  <c r="G2364" i="1"/>
  <c r="P2364" i="1" s="1"/>
  <c r="G2365" i="1"/>
  <c r="P2365" i="1" s="1"/>
  <c r="G2366" i="1"/>
  <c r="P2366" i="1" s="1"/>
  <c r="G2367" i="1"/>
  <c r="P2367" i="1" s="1"/>
  <c r="G2368" i="1"/>
  <c r="P2368" i="1" s="1"/>
  <c r="G2369" i="1"/>
  <c r="P2369" i="1" s="1"/>
  <c r="G2370" i="1"/>
  <c r="P2370" i="1" s="1"/>
  <c r="G2371" i="1"/>
  <c r="P2371" i="1" s="1"/>
  <c r="G2372" i="1"/>
  <c r="P2372" i="1" s="1"/>
  <c r="G2373" i="1"/>
  <c r="P2373" i="1" s="1"/>
  <c r="G2374" i="1"/>
  <c r="P2374" i="1" s="1"/>
  <c r="G2375" i="1"/>
  <c r="P2375" i="1" s="1"/>
  <c r="G2376" i="1"/>
  <c r="P2376" i="1" s="1"/>
  <c r="G2377" i="1"/>
  <c r="P2377" i="1" s="1"/>
  <c r="G2378" i="1"/>
  <c r="P2378" i="1" s="1"/>
  <c r="G2379" i="1"/>
  <c r="P2379" i="1" s="1"/>
  <c r="G2380" i="1"/>
  <c r="P2380" i="1" s="1"/>
  <c r="G2381" i="1"/>
  <c r="P2381" i="1" s="1"/>
  <c r="G2382" i="1"/>
  <c r="P2382" i="1" s="1"/>
  <c r="G2383" i="1"/>
  <c r="P2383" i="1" s="1"/>
  <c r="G2384" i="1"/>
  <c r="P2384" i="1" s="1"/>
  <c r="G2385" i="1"/>
  <c r="P2385" i="1" s="1"/>
  <c r="G2386" i="1"/>
  <c r="P2386" i="1" s="1"/>
  <c r="G2387" i="1"/>
  <c r="P2387" i="1" s="1"/>
  <c r="G2388" i="1"/>
  <c r="P2388" i="1" s="1"/>
  <c r="G2389" i="1"/>
  <c r="P2389" i="1" s="1"/>
  <c r="G2390" i="1"/>
  <c r="P2390" i="1" s="1"/>
  <c r="G2391" i="1"/>
  <c r="P2391" i="1" s="1"/>
  <c r="G2392" i="1"/>
  <c r="P2392" i="1" s="1"/>
  <c r="G2393" i="1"/>
  <c r="P2393" i="1" s="1"/>
  <c r="G2394" i="1"/>
  <c r="P2394" i="1" s="1"/>
  <c r="G2395" i="1"/>
  <c r="P2395" i="1" s="1"/>
  <c r="G2396" i="1"/>
  <c r="P2396" i="1" s="1"/>
  <c r="G2397" i="1"/>
  <c r="P2397" i="1" s="1"/>
  <c r="G2398" i="1"/>
  <c r="P2398" i="1" s="1"/>
  <c r="G2399" i="1"/>
  <c r="P2399" i="1" s="1"/>
  <c r="G2400" i="1"/>
  <c r="P2400" i="1" s="1"/>
  <c r="G2401" i="1"/>
  <c r="P2401" i="1" s="1"/>
  <c r="G2402" i="1"/>
  <c r="P2402" i="1" s="1"/>
  <c r="G2403" i="1"/>
  <c r="P2403" i="1" s="1"/>
  <c r="G2404" i="1"/>
  <c r="P2404" i="1" s="1"/>
  <c r="G2405" i="1"/>
  <c r="P2405" i="1" s="1"/>
  <c r="G2406" i="1"/>
  <c r="P2406" i="1" s="1"/>
  <c r="G2407" i="1"/>
  <c r="P2407" i="1" s="1"/>
  <c r="G2408" i="1"/>
  <c r="P2408" i="1" s="1"/>
  <c r="G2409" i="1"/>
  <c r="P2409" i="1" s="1"/>
  <c r="G2410" i="1"/>
  <c r="P2410" i="1" s="1"/>
  <c r="G2411" i="1"/>
  <c r="P2411" i="1" s="1"/>
  <c r="G2412" i="1"/>
  <c r="P2412" i="1" s="1"/>
  <c r="G2413" i="1"/>
  <c r="P2413" i="1" s="1"/>
  <c r="G2414" i="1"/>
  <c r="P2414" i="1" s="1"/>
  <c r="G2415" i="1"/>
  <c r="P2415" i="1" s="1"/>
  <c r="G2416" i="1"/>
  <c r="P2416" i="1" s="1"/>
  <c r="G2417" i="1"/>
  <c r="P2417" i="1" s="1"/>
  <c r="G2418" i="1"/>
  <c r="P2418" i="1" s="1"/>
  <c r="G2419" i="1"/>
  <c r="P2419" i="1" s="1"/>
  <c r="G2420" i="1"/>
  <c r="P2420" i="1" s="1"/>
  <c r="G2421" i="1"/>
  <c r="P2421" i="1" s="1"/>
  <c r="G2422" i="1"/>
  <c r="P2422" i="1" s="1"/>
  <c r="G2423" i="1"/>
  <c r="P2423" i="1" s="1"/>
  <c r="G2424" i="1"/>
  <c r="P2424" i="1" s="1"/>
  <c r="G2425" i="1"/>
  <c r="P2425" i="1" s="1"/>
  <c r="G2426" i="1"/>
  <c r="P2426" i="1" s="1"/>
  <c r="G2427" i="1"/>
  <c r="P2427" i="1" s="1"/>
  <c r="G2428" i="1"/>
  <c r="P2428" i="1" s="1"/>
  <c r="G2429" i="1"/>
  <c r="P2429" i="1" s="1"/>
  <c r="G2430" i="1"/>
  <c r="P2430" i="1" s="1"/>
  <c r="G2431" i="1"/>
  <c r="P2431" i="1" s="1"/>
  <c r="G2432" i="1"/>
  <c r="P2432" i="1" s="1"/>
  <c r="G2433" i="1"/>
  <c r="P2433" i="1" s="1"/>
  <c r="G2434" i="1"/>
  <c r="P2434" i="1" s="1"/>
  <c r="G2435" i="1"/>
  <c r="P2435" i="1" s="1"/>
  <c r="G2436" i="1"/>
  <c r="P2436" i="1" s="1"/>
  <c r="G2437" i="1"/>
  <c r="P2437" i="1" s="1"/>
  <c r="G2438" i="1"/>
  <c r="P2438" i="1" s="1"/>
  <c r="G2439" i="1"/>
  <c r="P2439" i="1" s="1"/>
  <c r="G2440" i="1"/>
  <c r="P2440" i="1" s="1"/>
  <c r="G2441" i="1"/>
  <c r="P2441" i="1" s="1"/>
  <c r="G2442" i="1"/>
  <c r="P2442" i="1" s="1"/>
  <c r="G2443" i="1"/>
  <c r="P2443" i="1" s="1"/>
  <c r="G2444" i="1"/>
  <c r="P2444" i="1" s="1"/>
  <c r="G2445" i="1"/>
  <c r="P2445" i="1" s="1"/>
  <c r="G2446" i="1"/>
  <c r="P2446" i="1" s="1"/>
  <c r="G2447" i="1"/>
  <c r="P2447" i="1" s="1"/>
  <c r="G2448" i="1"/>
  <c r="P2448" i="1" s="1"/>
  <c r="G2449" i="1"/>
  <c r="P2449" i="1" s="1"/>
  <c r="G2450" i="1"/>
  <c r="P2450" i="1" s="1"/>
  <c r="G2451" i="1"/>
  <c r="P2451" i="1" s="1"/>
  <c r="G2452" i="1"/>
  <c r="P2452" i="1" s="1"/>
  <c r="G2453" i="1"/>
  <c r="P2453" i="1" s="1"/>
  <c r="G2454" i="1"/>
  <c r="P2454" i="1" s="1"/>
  <c r="G2455" i="1"/>
  <c r="P2455" i="1" s="1"/>
  <c r="G2456" i="1"/>
  <c r="P2456" i="1" s="1"/>
  <c r="G2457" i="1"/>
  <c r="P2457" i="1" s="1"/>
  <c r="G2458" i="1"/>
  <c r="P2458" i="1" s="1"/>
  <c r="G2459" i="1"/>
  <c r="P2459" i="1" s="1"/>
  <c r="G2460" i="1"/>
  <c r="P2460" i="1" s="1"/>
  <c r="G2461" i="1"/>
  <c r="P2461" i="1" s="1"/>
  <c r="G2462" i="1"/>
  <c r="P2462" i="1" s="1"/>
  <c r="G2463" i="1"/>
  <c r="P2463" i="1" s="1"/>
  <c r="G2464" i="1"/>
  <c r="P2464" i="1" s="1"/>
  <c r="G2465" i="1"/>
  <c r="P2465" i="1" s="1"/>
  <c r="G2466" i="1"/>
  <c r="P2466" i="1" s="1"/>
  <c r="G2467" i="1"/>
  <c r="P2467" i="1" s="1"/>
  <c r="G2468" i="1"/>
  <c r="P2468" i="1" s="1"/>
  <c r="G2469" i="1"/>
  <c r="P2469" i="1" s="1"/>
  <c r="G2470" i="1"/>
  <c r="P2470" i="1" s="1"/>
  <c r="G2471" i="1"/>
  <c r="P2471" i="1" s="1"/>
  <c r="G2472" i="1"/>
  <c r="P2472" i="1" s="1"/>
  <c r="G2473" i="1"/>
  <c r="P2473" i="1" s="1"/>
  <c r="G2474" i="1"/>
  <c r="P2474" i="1" s="1"/>
  <c r="G2475" i="1"/>
  <c r="P2475" i="1" s="1"/>
  <c r="G2476" i="1"/>
  <c r="P2476" i="1" s="1"/>
  <c r="G2477" i="1"/>
  <c r="P2477" i="1" s="1"/>
  <c r="G2478" i="1"/>
  <c r="P2478" i="1" s="1"/>
  <c r="G2479" i="1"/>
  <c r="P2479" i="1" s="1"/>
  <c r="G2480" i="1"/>
  <c r="P2480" i="1" s="1"/>
  <c r="G2481" i="1"/>
  <c r="P2481" i="1" s="1"/>
  <c r="G2482" i="1"/>
  <c r="P2482" i="1" s="1"/>
  <c r="G2483" i="1"/>
  <c r="P2483" i="1" s="1"/>
  <c r="G2484" i="1"/>
  <c r="G2485" i="1"/>
  <c r="P2485" i="1" s="1"/>
  <c r="G2486" i="1"/>
  <c r="P2486" i="1" s="1"/>
  <c r="G2487" i="1"/>
  <c r="P2487" i="1" s="1"/>
  <c r="G2488" i="1"/>
  <c r="P2488" i="1" s="1"/>
  <c r="G2489" i="1"/>
  <c r="P2489" i="1" s="1"/>
  <c r="G2490" i="1"/>
  <c r="P2490" i="1" s="1"/>
  <c r="G2491" i="1"/>
  <c r="P2491" i="1" s="1"/>
  <c r="G2492" i="1"/>
  <c r="P2492" i="1" s="1"/>
  <c r="G2493" i="1"/>
  <c r="P2493" i="1" s="1"/>
  <c r="G2494" i="1"/>
  <c r="P2494" i="1" s="1"/>
  <c r="G2495" i="1"/>
  <c r="P2495" i="1" s="1"/>
  <c r="G2496" i="1"/>
  <c r="P2496" i="1" s="1"/>
  <c r="G2497" i="1"/>
  <c r="P2497" i="1" s="1"/>
  <c r="G2498" i="1"/>
  <c r="G2499" i="1"/>
  <c r="P2499" i="1" s="1"/>
  <c r="G2500" i="1"/>
  <c r="P2500" i="1" s="1"/>
  <c r="G2106" i="1" l="1"/>
  <c r="G2037" i="1" l="1"/>
  <c r="P2037" i="1" l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N2000" i="1"/>
  <c r="M2000" i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  <c r="M2113" i="1"/>
  <c r="N2113" i="1" s="1"/>
  <c r="M2114" i="1"/>
  <c r="N2114" i="1" s="1"/>
  <c r="M2115" i="1"/>
  <c r="N2115" i="1" s="1"/>
  <c r="M2116" i="1"/>
  <c r="N2116" i="1" s="1"/>
  <c r="M2117" i="1"/>
  <c r="N2117" i="1" s="1"/>
  <c r="M2118" i="1"/>
  <c r="N2118" i="1" s="1"/>
  <c r="M2119" i="1"/>
  <c r="N2119" i="1" s="1"/>
  <c r="M2120" i="1"/>
  <c r="N2120" i="1" s="1"/>
  <c r="M2121" i="1"/>
  <c r="N2121" i="1" s="1"/>
  <c r="M2122" i="1"/>
  <c r="N2122" i="1" s="1"/>
  <c r="M2123" i="1"/>
  <c r="N2123" i="1" s="1"/>
  <c r="M2124" i="1"/>
  <c r="N2124" i="1" s="1"/>
  <c r="M2125" i="1"/>
  <c r="N2125" i="1" s="1"/>
  <c r="M2126" i="1"/>
  <c r="N2126" i="1" s="1"/>
  <c r="M2127" i="1"/>
  <c r="N2127" i="1" s="1"/>
  <c r="M2128" i="1"/>
  <c r="N2128" i="1" s="1"/>
  <c r="M2129" i="1"/>
  <c r="N2129" i="1" s="1"/>
  <c r="M2130" i="1"/>
  <c r="N2130" i="1" s="1"/>
  <c r="M2131" i="1"/>
  <c r="N2131" i="1" s="1"/>
  <c r="M2132" i="1"/>
  <c r="N2132" i="1" s="1"/>
  <c r="M2133" i="1"/>
  <c r="N2133" i="1" s="1"/>
  <c r="M2134" i="1"/>
  <c r="N2134" i="1" s="1"/>
  <c r="M2135" i="1"/>
  <c r="N2135" i="1" s="1"/>
  <c r="M2136" i="1"/>
  <c r="N2136" i="1" s="1"/>
  <c r="M2137" i="1"/>
  <c r="N2137" i="1" s="1"/>
  <c r="M2138" i="1"/>
  <c r="N2138" i="1" s="1"/>
  <c r="M2139" i="1"/>
  <c r="N2139" i="1" s="1"/>
  <c r="M2140" i="1"/>
  <c r="N2140" i="1" s="1"/>
  <c r="M2141" i="1"/>
  <c r="N2141" i="1" s="1"/>
  <c r="M2142" i="1"/>
  <c r="N2142" i="1" s="1"/>
  <c r="M2143" i="1"/>
  <c r="N2143" i="1" s="1"/>
  <c r="M2144" i="1"/>
  <c r="N2144" i="1" s="1"/>
  <c r="M2145" i="1"/>
  <c r="N2145" i="1" s="1"/>
  <c r="M2146" i="1"/>
  <c r="N2146" i="1" s="1"/>
  <c r="M2147" i="1"/>
  <c r="N2147" i="1" s="1"/>
  <c r="M2148" i="1"/>
  <c r="N2148" i="1" s="1"/>
  <c r="M2149" i="1"/>
  <c r="N2149" i="1" s="1"/>
  <c r="M2150" i="1"/>
  <c r="N2150" i="1" s="1"/>
  <c r="M2151" i="1"/>
  <c r="N2151" i="1" s="1"/>
  <c r="M2152" i="1"/>
  <c r="N2152" i="1" s="1"/>
  <c r="M2153" i="1"/>
  <c r="N2153" i="1" s="1"/>
  <c r="M2154" i="1"/>
  <c r="N2154" i="1" s="1"/>
  <c r="M2155" i="1"/>
  <c r="N2155" i="1" s="1"/>
  <c r="M2156" i="1"/>
  <c r="N2156" i="1" s="1"/>
  <c r="M2157" i="1"/>
  <c r="N2157" i="1" s="1"/>
  <c r="M2158" i="1"/>
  <c r="N2158" i="1" s="1"/>
  <c r="M2159" i="1"/>
  <c r="N2159" i="1" s="1"/>
  <c r="M2160" i="1"/>
  <c r="N2160" i="1" s="1"/>
  <c r="M2161" i="1"/>
  <c r="N2161" i="1" s="1"/>
  <c r="M2162" i="1"/>
  <c r="N2162" i="1" s="1"/>
  <c r="M2163" i="1"/>
  <c r="N2163" i="1" s="1"/>
  <c r="M2164" i="1"/>
  <c r="N2164" i="1" s="1"/>
  <c r="M2165" i="1"/>
  <c r="N2165" i="1" s="1"/>
  <c r="M2166" i="1"/>
  <c r="N2166" i="1" s="1"/>
  <c r="M2167" i="1"/>
  <c r="N2167" i="1" s="1"/>
  <c r="M2168" i="1"/>
  <c r="N2168" i="1" s="1"/>
  <c r="M2169" i="1"/>
  <c r="N2169" i="1" s="1"/>
  <c r="M2170" i="1"/>
  <c r="N2170" i="1" s="1"/>
  <c r="M2171" i="1"/>
  <c r="N2171" i="1" s="1"/>
  <c r="M2172" i="1"/>
  <c r="N2172" i="1" s="1"/>
  <c r="M2173" i="1"/>
  <c r="N2173" i="1" s="1"/>
  <c r="M2174" i="1"/>
  <c r="N2174" i="1" s="1"/>
  <c r="M2175" i="1"/>
  <c r="N2175" i="1" s="1"/>
  <c r="M2176" i="1"/>
  <c r="N2176" i="1" s="1"/>
  <c r="M2177" i="1"/>
  <c r="N2177" i="1" s="1"/>
  <c r="M2178" i="1"/>
  <c r="N2178" i="1" s="1"/>
  <c r="M2179" i="1"/>
  <c r="N2179" i="1" s="1"/>
  <c r="M2180" i="1"/>
  <c r="N2180" i="1" s="1"/>
  <c r="M2181" i="1"/>
  <c r="N2181" i="1" s="1"/>
  <c r="M2182" i="1"/>
  <c r="N2182" i="1" s="1"/>
  <c r="M2183" i="1"/>
  <c r="N2183" i="1" s="1"/>
  <c r="M2184" i="1"/>
  <c r="N2184" i="1" s="1"/>
  <c r="M2185" i="1"/>
  <c r="N2185" i="1" s="1"/>
  <c r="M2186" i="1"/>
  <c r="N2186" i="1" s="1"/>
  <c r="M2187" i="1"/>
  <c r="N2187" i="1" s="1"/>
  <c r="M2188" i="1"/>
  <c r="N2188" i="1" s="1"/>
  <c r="M2189" i="1"/>
  <c r="N2189" i="1" s="1"/>
  <c r="M2190" i="1"/>
  <c r="N2190" i="1" s="1"/>
  <c r="M2191" i="1"/>
  <c r="N2191" i="1" s="1"/>
  <c r="M2192" i="1"/>
  <c r="N2192" i="1" s="1"/>
  <c r="M2193" i="1"/>
  <c r="N2193" i="1" s="1"/>
  <c r="M2194" i="1"/>
  <c r="N2194" i="1" s="1"/>
  <c r="M2195" i="1"/>
  <c r="N2195" i="1" s="1"/>
  <c r="M2196" i="1"/>
  <c r="N2196" i="1" s="1"/>
  <c r="M2197" i="1"/>
  <c r="N2197" i="1" s="1"/>
  <c r="M2198" i="1"/>
  <c r="N2198" i="1" s="1"/>
  <c r="M2199" i="1"/>
  <c r="N2199" i="1" s="1"/>
  <c r="M2200" i="1"/>
  <c r="N2200" i="1" s="1"/>
  <c r="M2201" i="1"/>
  <c r="N2201" i="1" s="1"/>
  <c r="M2202" i="1"/>
  <c r="N2202" i="1" s="1"/>
  <c r="M2203" i="1"/>
  <c r="N2203" i="1" s="1"/>
  <c r="M2204" i="1"/>
  <c r="N2204" i="1" s="1"/>
  <c r="M2205" i="1"/>
  <c r="N2205" i="1" s="1"/>
  <c r="M2206" i="1"/>
  <c r="N2206" i="1" s="1"/>
  <c r="M2207" i="1"/>
  <c r="N2207" i="1" s="1"/>
  <c r="M2208" i="1"/>
  <c r="N2208" i="1" s="1"/>
  <c r="M2209" i="1"/>
  <c r="N2209" i="1" s="1"/>
  <c r="M2210" i="1"/>
  <c r="N2210" i="1" s="1"/>
  <c r="M2211" i="1"/>
  <c r="N2211" i="1" s="1"/>
  <c r="M2212" i="1"/>
  <c r="N2212" i="1" s="1"/>
  <c r="M2213" i="1"/>
  <c r="N2213" i="1" s="1"/>
  <c r="M2214" i="1"/>
  <c r="N2214" i="1" s="1"/>
  <c r="M2215" i="1"/>
  <c r="N2215" i="1" s="1"/>
  <c r="M2216" i="1"/>
  <c r="N2216" i="1" s="1"/>
  <c r="M2217" i="1"/>
  <c r="N2217" i="1" s="1"/>
  <c r="M2218" i="1"/>
  <c r="N2218" i="1" s="1"/>
  <c r="M2219" i="1"/>
  <c r="N2219" i="1" s="1"/>
  <c r="M2220" i="1"/>
  <c r="N2220" i="1" s="1"/>
  <c r="G2000" i="1"/>
  <c r="P2000" i="1" s="1"/>
  <c r="G2001" i="1"/>
  <c r="P2001" i="1" s="1"/>
  <c r="G2002" i="1"/>
  <c r="P2002" i="1" s="1"/>
  <c r="G2003" i="1"/>
  <c r="P2003" i="1" s="1"/>
  <c r="G2004" i="1"/>
  <c r="P2004" i="1" s="1"/>
  <c r="G2005" i="1"/>
  <c r="P2005" i="1" s="1"/>
  <c r="G2006" i="1"/>
  <c r="P2006" i="1" s="1"/>
  <c r="G2007" i="1"/>
  <c r="P2007" i="1" s="1"/>
  <c r="G2008" i="1"/>
  <c r="P2008" i="1" s="1"/>
  <c r="G2009" i="1"/>
  <c r="P2009" i="1" s="1"/>
  <c r="G2010" i="1"/>
  <c r="P2010" i="1" s="1"/>
  <c r="G2011" i="1"/>
  <c r="P2011" i="1" s="1"/>
  <c r="G2012" i="1"/>
  <c r="P2012" i="1" s="1"/>
  <c r="G2013" i="1"/>
  <c r="P2013" i="1" s="1"/>
  <c r="G2014" i="1"/>
  <c r="P2014" i="1" s="1"/>
  <c r="G2015" i="1"/>
  <c r="P2015" i="1" s="1"/>
  <c r="G2016" i="1"/>
  <c r="P2016" i="1" s="1"/>
  <c r="G2017" i="1"/>
  <c r="P2017" i="1" s="1"/>
  <c r="G2018" i="1"/>
  <c r="P2018" i="1" s="1"/>
  <c r="G2019" i="1"/>
  <c r="P2019" i="1" s="1"/>
  <c r="G2020" i="1"/>
  <c r="P2020" i="1" s="1"/>
  <c r="G2021" i="1"/>
  <c r="P2021" i="1" s="1"/>
  <c r="G2022" i="1"/>
  <c r="P2022" i="1" s="1"/>
  <c r="G2023" i="1"/>
  <c r="P2023" i="1" s="1"/>
  <c r="G2024" i="1"/>
  <c r="P2024" i="1" s="1"/>
  <c r="G2025" i="1"/>
  <c r="P2025" i="1" s="1"/>
  <c r="G2026" i="1"/>
  <c r="P2026" i="1" s="1"/>
  <c r="G2027" i="1"/>
  <c r="P2027" i="1" s="1"/>
  <c r="G2028" i="1"/>
  <c r="P2028" i="1" s="1"/>
  <c r="G2029" i="1"/>
  <c r="P2029" i="1" s="1"/>
  <c r="G2030" i="1"/>
  <c r="P2030" i="1" s="1"/>
  <c r="G2031" i="1"/>
  <c r="P2031" i="1" s="1"/>
  <c r="G2032" i="1"/>
  <c r="P2032" i="1" s="1"/>
  <c r="G2033" i="1"/>
  <c r="P2033" i="1" s="1"/>
  <c r="G2034" i="1"/>
  <c r="P2034" i="1" s="1"/>
  <c r="G2035" i="1"/>
  <c r="P2035" i="1" s="1"/>
  <c r="G2036" i="1"/>
  <c r="P2036" i="1" s="1"/>
  <c r="G2038" i="1"/>
  <c r="P2038" i="1" s="1"/>
  <c r="G2039" i="1"/>
  <c r="P2039" i="1" s="1"/>
  <c r="G2040" i="1"/>
  <c r="P2040" i="1" s="1"/>
  <c r="G2041" i="1"/>
  <c r="P2041" i="1" s="1"/>
  <c r="G2042" i="1"/>
  <c r="P2042" i="1" s="1"/>
  <c r="G2043" i="1"/>
  <c r="P2043" i="1" s="1"/>
  <c r="G2044" i="1"/>
  <c r="P2044" i="1" s="1"/>
  <c r="G2045" i="1"/>
  <c r="P2045" i="1" s="1"/>
  <c r="G2046" i="1"/>
  <c r="P2046" i="1" s="1"/>
  <c r="G2047" i="1"/>
  <c r="P2047" i="1" s="1"/>
  <c r="G2048" i="1"/>
  <c r="P2048" i="1" s="1"/>
  <c r="G2049" i="1"/>
  <c r="P2049" i="1" s="1"/>
  <c r="G2050" i="1"/>
  <c r="P2050" i="1" s="1"/>
  <c r="G2051" i="1"/>
  <c r="P2051" i="1" s="1"/>
  <c r="G2052" i="1"/>
  <c r="P2052" i="1" s="1"/>
  <c r="G2053" i="1"/>
  <c r="P2053" i="1" s="1"/>
  <c r="G2054" i="1"/>
  <c r="P2054" i="1" s="1"/>
  <c r="G2055" i="1"/>
  <c r="P2055" i="1" s="1"/>
  <c r="G2056" i="1"/>
  <c r="P2056" i="1" s="1"/>
  <c r="G2057" i="1"/>
  <c r="P2057" i="1" s="1"/>
  <c r="G2058" i="1"/>
  <c r="P2058" i="1" s="1"/>
  <c r="G2059" i="1"/>
  <c r="P2059" i="1" s="1"/>
  <c r="G2060" i="1"/>
  <c r="P2060" i="1" s="1"/>
  <c r="G2061" i="1"/>
  <c r="P2061" i="1" s="1"/>
  <c r="G2062" i="1"/>
  <c r="P2062" i="1" s="1"/>
  <c r="G2063" i="1"/>
  <c r="P2063" i="1" s="1"/>
  <c r="G2064" i="1"/>
  <c r="P2064" i="1" s="1"/>
  <c r="G2065" i="1"/>
  <c r="P2065" i="1" s="1"/>
  <c r="G2066" i="1"/>
  <c r="P2066" i="1" s="1"/>
  <c r="G2067" i="1"/>
  <c r="P2067" i="1" s="1"/>
  <c r="G2068" i="1"/>
  <c r="P2068" i="1" s="1"/>
  <c r="G2069" i="1"/>
  <c r="P2069" i="1" s="1"/>
  <c r="G2070" i="1"/>
  <c r="P2070" i="1" s="1"/>
  <c r="G2071" i="1"/>
  <c r="P2071" i="1" s="1"/>
  <c r="G2072" i="1"/>
  <c r="P2072" i="1" s="1"/>
  <c r="G2073" i="1"/>
  <c r="P2073" i="1" s="1"/>
  <c r="G2074" i="1"/>
  <c r="P2074" i="1" s="1"/>
  <c r="G2075" i="1"/>
  <c r="P2075" i="1" s="1"/>
  <c r="G2076" i="1"/>
  <c r="P2076" i="1" s="1"/>
  <c r="G2077" i="1"/>
  <c r="P2077" i="1" s="1"/>
  <c r="G2078" i="1"/>
  <c r="P2078" i="1" s="1"/>
  <c r="G2079" i="1"/>
  <c r="P2079" i="1" s="1"/>
  <c r="G2080" i="1"/>
  <c r="P2080" i="1" s="1"/>
  <c r="G2081" i="1"/>
  <c r="P2081" i="1" s="1"/>
  <c r="G2082" i="1"/>
  <c r="P2082" i="1" s="1"/>
  <c r="G2083" i="1"/>
  <c r="P2083" i="1" s="1"/>
  <c r="G2084" i="1"/>
  <c r="P2084" i="1" s="1"/>
  <c r="G2085" i="1"/>
  <c r="P2085" i="1" s="1"/>
  <c r="G2086" i="1"/>
  <c r="P2086" i="1" s="1"/>
  <c r="G2087" i="1"/>
  <c r="P2087" i="1" s="1"/>
  <c r="G2088" i="1"/>
  <c r="P2088" i="1" s="1"/>
  <c r="G2089" i="1"/>
  <c r="P2089" i="1" s="1"/>
  <c r="G2090" i="1"/>
  <c r="P2090" i="1" s="1"/>
  <c r="G2091" i="1"/>
  <c r="P2091" i="1" s="1"/>
  <c r="G2092" i="1"/>
  <c r="P2092" i="1" s="1"/>
  <c r="G2093" i="1"/>
  <c r="P2093" i="1" s="1"/>
  <c r="G2094" i="1"/>
  <c r="P2094" i="1" s="1"/>
  <c r="G2095" i="1"/>
  <c r="P2095" i="1" s="1"/>
  <c r="G2096" i="1"/>
  <c r="P2096" i="1" s="1"/>
  <c r="G2097" i="1"/>
  <c r="P2097" i="1" s="1"/>
  <c r="G2098" i="1"/>
  <c r="P2098" i="1" s="1"/>
  <c r="G2099" i="1"/>
  <c r="P2099" i="1" s="1"/>
  <c r="G2100" i="1"/>
  <c r="P2100" i="1" s="1"/>
  <c r="G2101" i="1"/>
  <c r="P2101" i="1" s="1"/>
  <c r="G2102" i="1"/>
  <c r="P2102" i="1" s="1"/>
  <c r="G2103" i="1"/>
  <c r="P2103" i="1" s="1"/>
  <c r="G2104" i="1"/>
  <c r="P2104" i="1" s="1"/>
  <c r="G2105" i="1"/>
  <c r="P2105" i="1" s="1"/>
  <c r="P2106" i="1"/>
  <c r="G2107" i="1"/>
  <c r="P2107" i="1" s="1"/>
  <c r="G2108" i="1"/>
  <c r="P2108" i="1" s="1"/>
  <c r="G2109" i="1"/>
  <c r="P2109" i="1" s="1"/>
  <c r="G2110" i="1"/>
  <c r="P2110" i="1" s="1"/>
  <c r="G2111" i="1"/>
  <c r="P2111" i="1" s="1"/>
  <c r="G2112" i="1"/>
  <c r="P2112" i="1" s="1"/>
  <c r="G2113" i="1"/>
  <c r="P2113" i="1" s="1"/>
  <c r="G2114" i="1"/>
  <c r="P2114" i="1" s="1"/>
  <c r="G2115" i="1"/>
  <c r="P2115" i="1" s="1"/>
  <c r="G2116" i="1"/>
  <c r="P2116" i="1" s="1"/>
  <c r="G2117" i="1"/>
  <c r="P2117" i="1" s="1"/>
  <c r="G2118" i="1"/>
  <c r="P2118" i="1" s="1"/>
  <c r="G2119" i="1"/>
  <c r="P2119" i="1" s="1"/>
  <c r="G2120" i="1"/>
  <c r="P2120" i="1" s="1"/>
  <c r="G2121" i="1"/>
  <c r="P2121" i="1" s="1"/>
  <c r="G2122" i="1"/>
  <c r="P2122" i="1" s="1"/>
  <c r="G2123" i="1"/>
  <c r="P2123" i="1" s="1"/>
  <c r="G2124" i="1"/>
  <c r="P2124" i="1" s="1"/>
  <c r="G2125" i="1"/>
  <c r="P2125" i="1" s="1"/>
  <c r="G2126" i="1"/>
  <c r="P2126" i="1" s="1"/>
  <c r="G2127" i="1"/>
  <c r="P2127" i="1" s="1"/>
  <c r="G2128" i="1"/>
  <c r="P2128" i="1" s="1"/>
  <c r="G2129" i="1"/>
  <c r="P2129" i="1" s="1"/>
  <c r="G2130" i="1"/>
  <c r="P2130" i="1" s="1"/>
  <c r="G2131" i="1"/>
  <c r="P2131" i="1" s="1"/>
  <c r="G2132" i="1"/>
  <c r="P2132" i="1" s="1"/>
  <c r="G2133" i="1"/>
  <c r="P2133" i="1" s="1"/>
  <c r="G2134" i="1"/>
  <c r="P2134" i="1" s="1"/>
  <c r="G2135" i="1"/>
  <c r="P2135" i="1" s="1"/>
  <c r="G2136" i="1"/>
  <c r="P2136" i="1" s="1"/>
  <c r="G2137" i="1"/>
  <c r="P2137" i="1" s="1"/>
  <c r="G2138" i="1"/>
  <c r="P2138" i="1" s="1"/>
  <c r="G2139" i="1"/>
  <c r="P2139" i="1" s="1"/>
  <c r="G2140" i="1"/>
  <c r="P2140" i="1" s="1"/>
  <c r="G2141" i="1"/>
  <c r="P2141" i="1" s="1"/>
  <c r="G2142" i="1"/>
  <c r="P2142" i="1" s="1"/>
  <c r="G2143" i="1"/>
  <c r="P2143" i="1" s="1"/>
  <c r="G2144" i="1"/>
  <c r="P2144" i="1" s="1"/>
  <c r="G2145" i="1"/>
  <c r="P2145" i="1" s="1"/>
  <c r="G2146" i="1"/>
  <c r="P2146" i="1" s="1"/>
  <c r="G2147" i="1"/>
  <c r="P2147" i="1" s="1"/>
  <c r="G2148" i="1"/>
  <c r="P2148" i="1" s="1"/>
  <c r="G2149" i="1"/>
  <c r="P2149" i="1" s="1"/>
  <c r="G2150" i="1"/>
  <c r="P2150" i="1" s="1"/>
  <c r="G2151" i="1"/>
  <c r="P2151" i="1" s="1"/>
  <c r="G2152" i="1"/>
  <c r="P2152" i="1" s="1"/>
  <c r="G2153" i="1"/>
  <c r="P2153" i="1" s="1"/>
  <c r="G2154" i="1"/>
  <c r="P2154" i="1" s="1"/>
  <c r="G2155" i="1"/>
  <c r="P2155" i="1" s="1"/>
  <c r="G2156" i="1"/>
  <c r="P2156" i="1" s="1"/>
  <c r="G2157" i="1"/>
  <c r="P2157" i="1" s="1"/>
  <c r="G2158" i="1"/>
  <c r="P2158" i="1" s="1"/>
  <c r="G2159" i="1"/>
  <c r="P2159" i="1" s="1"/>
  <c r="G2160" i="1"/>
  <c r="P2160" i="1" s="1"/>
  <c r="G2161" i="1"/>
  <c r="P2161" i="1" s="1"/>
  <c r="G2162" i="1"/>
  <c r="P2162" i="1" s="1"/>
  <c r="G2163" i="1"/>
  <c r="P2163" i="1" s="1"/>
  <c r="G2164" i="1"/>
  <c r="P2164" i="1" s="1"/>
  <c r="G2165" i="1"/>
  <c r="P2165" i="1" s="1"/>
  <c r="G2166" i="1"/>
  <c r="P2166" i="1" s="1"/>
  <c r="G2167" i="1"/>
  <c r="P2167" i="1" s="1"/>
  <c r="G2168" i="1"/>
  <c r="P2168" i="1" s="1"/>
  <c r="G2169" i="1"/>
  <c r="P2169" i="1" s="1"/>
  <c r="G2170" i="1"/>
  <c r="P2170" i="1" s="1"/>
  <c r="G2171" i="1"/>
  <c r="P2171" i="1" s="1"/>
  <c r="G2172" i="1"/>
  <c r="P2172" i="1" s="1"/>
  <c r="G2173" i="1"/>
  <c r="P2173" i="1" s="1"/>
  <c r="G2174" i="1"/>
  <c r="P2174" i="1" s="1"/>
  <c r="G2175" i="1"/>
  <c r="P2175" i="1" s="1"/>
  <c r="G2176" i="1"/>
  <c r="P2176" i="1" s="1"/>
  <c r="G2177" i="1"/>
  <c r="P2177" i="1" s="1"/>
  <c r="G2178" i="1"/>
  <c r="P2178" i="1" s="1"/>
  <c r="G2179" i="1"/>
  <c r="P2179" i="1" s="1"/>
  <c r="G2180" i="1"/>
  <c r="P2180" i="1" s="1"/>
  <c r="G2181" i="1"/>
  <c r="P2181" i="1" s="1"/>
  <c r="G2182" i="1"/>
  <c r="P2182" i="1" s="1"/>
  <c r="G2183" i="1"/>
  <c r="P2183" i="1" s="1"/>
  <c r="G2184" i="1"/>
  <c r="P2184" i="1" s="1"/>
  <c r="G2185" i="1"/>
  <c r="P2185" i="1" s="1"/>
  <c r="G2186" i="1"/>
  <c r="P2186" i="1" s="1"/>
  <c r="G2187" i="1"/>
  <c r="P2187" i="1" s="1"/>
  <c r="G2188" i="1"/>
  <c r="P2188" i="1" s="1"/>
  <c r="G2189" i="1"/>
  <c r="P2189" i="1" s="1"/>
  <c r="G2190" i="1"/>
  <c r="P2190" i="1" s="1"/>
  <c r="G2191" i="1"/>
  <c r="P2191" i="1" s="1"/>
  <c r="G2192" i="1"/>
  <c r="P2192" i="1" s="1"/>
  <c r="G2193" i="1"/>
  <c r="P2193" i="1" s="1"/>
  <c r="G2194" i="1"/>
  <c r="P2194" i="1" s="1"/>
  <c r="G2195" i="1"/>
  <c r="P2195" i="1" s="1"/>
  <c r="G2196" i="1"/>
  <c r="P2196" i="1" s="1"/>
  <c r="G2197" i="1"/>
  <c r="P2197" i="1" s="1"/>
  <c r="G2198" i="1"/>
  <c r="P2198" i="1" s="1"/>
  <c r="G2199" i="1"/>
  <c r="P2199" i="1" s="1"/>
  <c r="G2200" i="1"/>
  <c r="P2200" i="1" s="1"/>
  <c r="G2201" i="1"/>
  <c r="P2201" i="1" s="1"/>
  <c r="G2202" i="1"/>
  <c r="P2202" i="1" s="1"/>
  <c r="G2203" i="1"/>
  <c r="P2203" i="1" s="1"/>
  <c r="G2204" i="1"/>
  <c r="P2204" i="1" s="1"/>
  <c r="G2205" i="1"/>
  <c r="P2205" i="1" s="1"/>
  <c r="G2206" i="1"/>
  <c r="P2206" i="1" s="1"/>
  <c r="G2207" i="1"/>
  <c r="P2207" i="1" s="1"/>
  <c r="G2208" i="1"/>
  <c r="P2208" i="1" s="1"/>
  <c r="G2209" i="1"/>
  <c r="P2209" i="1" s="1"/>
  <c r="G2210" i="1"/>
  <c r="P2210" i="1" s="1"/>
  <c r="G2211" i="1"/>
  <c r="P2211" i="1" s="1"/>
  <c r="G2212" i="1"/>
  <c r="P2212" i="1" s="1"/>
  <c r="G2213" i="1"/>
  <c r="P2213" i="1" s="1"/>
  <c r="G2214" i="1"/>
  <c r="P2214" i="1" s="1"/>
  <c r="G2215" i="1"/>
  <c r="P2215" i="1" s="1"/>
  <c r="G2216" i="1"/>
  <c r="P2216" i="1" s="1"/>
  <c r="G2217" i="1"/>
  <c r="P2217" i="1" s="1"/>
  <c r="G2218" i="1"/>
  <c r="P2218" i="1" s="1"/>
  <c r="G2219" i="1"/>
  <c r="P2219" i="1" s="1"/>
  <c r="G2220" i="1"/>
  <c r="P2220" i="1" s="1"/>
  <c r="M1575" i="1" l="1"/>
  <c r="O1500" i="1" l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N1575" i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G1500" i="1"/>
  <c r="P1500" i="1" s="1"/>
  <c r="G1501" i="1"/>
  <c r="P1501" i="1" s="1"/>
  <c r="G1502" i="1"/>
  <c r="P1502" i="1" s="1"/>
  <c r="G1503" i="1"/>
  <c r="P1503" i="1" s="1"/>
  <c r="G1504" i="1"/>
  <c r="P1504" i="1" s="1"/>
  <c r="G1505" i="1"/>
  <c r="P1505" i="1" s="1"/>
  <c r="G1506" i="1"/>
  <c r="P1506" i="1" s="1"/>
  <c r="G1507" i="1"/>
  <c r="P1507" i="1" s="1"/>
  <c r="G1508" i="1"/>
  <c r="P1508" i="1" s="1"/>
  <c r="G1509" i="1"/>
  <c r="P1509" i="1" s="1"/>
  <c r="G1510" i="1"/>
  <c r="P1510" i="1" s="1"/>
  <c r="G1511" i="1"/>
  <c r="P1511" i="1" s="1"/>
  <c r="G1512" i="1"/>
  <c r="P1512" i="1" s="1"/>
  <c r="G1513" i="1"/>
  <c r="P1513" i="1" s="1"/>
  <c r="G1514" i="1"/>
  <c r="P1514" i="1" s="1"/>
  <c r="G1515" i="1"/>
  <c r="P1515" i="1" s="1"/>
  <c r="G1516" i="1"/>
  <c r="P1516" i="1" s="1"/>
  <c r="G1517" i="1"/>
  <c r="P1517" i="1" s="1"/>
  <c r="G1518" i="1"/>
  <c r="P1518" i="1" s="1"/>
  <c r="G1519" i="1"/>
  <c r="P1519" i="1" s="1"/>
  <c r="G1520" i="1"/>
  <c r="P1520" i="1" s="1"/>
  <c r="G1521" i="1"/>
  <c r="P1521" i="1" s="1"/>
  <c r="G1522" i="1"/>
  <c r="P1522" i="1" s="1"/>
  <c r="G1523" i="1"/>
  <c r="P1523" i="1" s="1"/>
  <c r="G1524" i="1"/>
  <c r="P1524" i="1" s="1"/>
  <c r="G1525" i="1"/>
  <c r="P1525" i="1" s="1"/>
  <c r="G1526" i="1"/>
  <c r="P1526" i="1" s="1"/>
  <c r="G1527" i="1"/>
  <c r="P1527" i="1" s="1"/>
  <c r="G1528" i="1"/>
  <c r="P1528" i="1" s="1"/>
  <c r="G1529" i="1"/>
  <c r="P1529" i="1" s="1"/>
  <c r="G1530" i="1"/>
  <c r="P1530" i="1" s="1"/>
  <c r="G1531" i="1"/>
  <c r="P1531" i="1" s="1"/>
  <c r="G1532" i="1"/>
  <c r="P1532" i="1" s="1"/>
  <c r="G1533" i="1"/>
  <c r="P1533" i="1" s="1"/>
  <c r="G1534" i="1"/>
  <c r="P1534" i="1" s="1"/>
  <c r="G1535" i="1"/>
  <c r="P1535" i="1" s="1"/>
  <c r="G1536" i="1"/>
  <c r="P1536" i="1" s="1"/>
  <c r="G1537" i="1"/>
  <c r="P1537" i="1" s="1"/>
  <c r="G1538" i="1"/>
  <c r="P1538" i="1" s="1"/>
  <c r="G1539" i="1"/>
  <c r="P1539" i="1" s="1"/>
  <c r="G1540" i="1"/>
  <c r="P1540" i="1" s="1"/>
  <c r="G1541" i="1"/>
  <c r="P1541" i="1" s="1"/>
  <c r="G1542" i="1"/>
  <c r="P1542" i="1" s="1"/>
  <c r="G1543" i="1"/>
  <c r="P1543" i="1" s="1"/>
  <c r="G1544" i="1"/>
  <c r="P1544" i="1" s="1"/>
  <c r="G1545" i="1"/>
  <c r="P1545" i="1" s="1"/>
  <c r="G1546" i="1"/>
  <c r="P1546" i="1" s="1"/>
  <c r="G1547" i="1"/>
  <c r="P1547" i="1" s="1"/>
  <c r="G1548" i="1"/>
  <c r="P1548" i="1" s="1"/>
  <c r="G1549" i="1"/>
  <c r="P1549" i="1" s="1"/>
  <c r="G1550" i="1"/>
  <c r="P1550" i="1" s="1"/>
  <c r="G1551" i="1"/>
  <c r="P1551" i="1" s="1"/>
  <c r="G1552" i="1"/>
  <c r="P1552" i="1" s="1"/>
  <c r="G1553" i="1"/>
  <c r="P1553" i="1" s="1"/>
  <c r="G1554" i="1"/>
  <c r="P1554" i="1" s="1"/>
  <c r="G1555" i="1"/>
  <c r="P1555" i="1" s="1"/>
  <c r="G1556" i="1"/>
  <c r="P1556" i="1" s="1"/>
  <c r="G1557" i="1"/>
  <c r="P1557" i="1" s="1"/>
  <c r="G1558" i="1"/>
  <c r="P1558" i="1" s="1"/>
  <c r="G1559" i="1"/>
  <c r="P1559" i="1" s="1"/>
  <c r="G1560" i="1"/>
  <c r="P1560" i="1" s="1"/>
  <c r="G1561" i="1"/>
  <c r="P1561" i="1" s="1"/>
  <c r="G1562" i="1"/>
  <c r="P1562" i="1" s="1"/>
  <c r="G1563" i="1"/>
  <c r="P1563" i="1" s="1"/>
  <c r="G1564" i="1"/>
  <c r="P1564" i="1" s="1"/>
  <c r="G1565" i="1"/>
  <c r="P1565" i="1" s="1"/>
  <c r="G1566" i="1"/>
  <c r="P1566" i="1" s="1"/>
  <c r="G1567" i="1"/>
  <c r="P1567" i="1" s="1"/>
  <c r="G1568" i="1"/>
  <c r="P1568" i="1" s="1"/>
  <c r="G1569" i="1"/>
  <c r="P1569" i="1" s="1"/>
  <c r="G1570" i="1"/>
  <c r="P1570" i="1" s="1"/>
  <c r="G1571" i="1"/>
  <c r="P1571" i="1" s="1"/>
  <c r="G1572" i="1"/>
  <c r="P1572" i="1" s="1"/>
  <c r="G1573" i="1"/>
  <c r="P1573" i="1" s="1"/>
  <c r="G1574" i="1"/>
  <c r="P1574" i="1" s="1"/>
  <c r="G1575" i="1"/>
  <c r="P1575" i="1" s="1"/>
  <c r="G1576" i="1"/>
  <c r="P1576" i="1" s="1"/>
  <c r="G1577" i="1"/>
  <c r="P1577" i="1" s="1"/>
  <c r="G1578" i="1"/>
  <c r="P1578" i="1" s="1"/>
  <c r="G1579" i="1"/>
  <c r="P1579" i="1" s="1"/>
  <c r="G1580" i="1"/>
  <c r="P1580" i="1" s="1"/>
  <c r="G1581" i="1"/>
  <c r="P1581" i="1" s="1"/>
  <c r="G1582" i="1"/>
  <c r="P1582" i="1" s="1"/>
  <c r="G1583" i="1"/>
  <c r="P1583" i="1" s="1"/>
  <c r="G1584" i="1"/>
  <c r="P1584" i="1" s="1"/>
  <c r="G1585" i="1"/>
  <c r="P1585" i="1" s="1"/>
  <c r="G1586" i="1"/>
  <c r="P1586" i="1" s="1"/>
  <c r="G1587" i="1"/>
  <c r="P1587" i="1" s="1"/>
  <c r="G1588" i="1"/>
  <c r="P1588" i="1" s="1"/>
  <c r="G1589" i="1"/>
  <c r="P1589" i="1" s="1"/>
  <c r="G1590" i="1"/>
  <c r="P1590" i="1" s="1"/>
  <c r="G1591" i="1"/>
  <c r="P1591" i="1" s="1"/>
  <c r="G1592" i="1"/>
  <c r="P1592" i="1" s="1"/>
  <c r="G1593" i="1"/>
  <c r="P1593" i="1" s="1"/>
  <c r="G1594" i="1"/>
  <c r="P1594" i="1" s="1"/>
  <c r="G1595" i="1"/>
  <c r="P1595" i="1" s="1"/>
  <c r="G1596" i="1"/>
  <c r="P1596" i="1" s="1"/>
  <c r="G1597" i="1"/>
  <c r="P1597" i="1" s="1"/>
  <c r="G1598" i="1"/>
  <c r="P1598" i="1" s="1"/>
  <c r="G1599" i="1"/>
  <c r="P1599" i="1" s="1"/>
  <c r="G1600" i="1"/>
  <c r="P1600" i="1" s="1"/>
  <c r="G1601" i="1"/>
  <c r="P1601" i="1" s="1"/>
  <c r="G1602" i="1"/>
  <c r="P1602" i="1" s="1"/>
  <c r="G1603" i="1"/>
  <c r="P1603" i="1" s="1"/>
  <c r="G1604" i="1"/>
  <c r="P1604" i="1" s="1"/>
  <c r="G1605" i="1"/>
  <c r="P1605" i="1" s="1"/>
  <c r="G1606" i="1"/>
  <c r="P1606" i="1" s="1"/>
  <c r="G1607" i="1"/>
  <c r="P1607" i="1" s="1"/>
  <c r="G1608" i="1"/>
  <c r="P1608" i="1" s="1"/>
  <c r="G1609" i="1"/>
  <c r="P1609" i="1" s="1"/>
  <c r="G1610" i="1"/>
  <c r="P1610" i="1" s="1"/>
  <c r="G1611" i="1"/>
  <c r="P1611" i="1" s="1"/>
  <c r="G1612" i="1"/>
  <c r="P1612" i="1" s="1"/>
  <c r="G1613" i="1"/>
  <c r="P1613" i="1" s="1"/>
  <c r="G1614" i="1"/>
  <c r="P1614" i="1" s="1"/>
  <c r="G1615" i="1"/>
  <c r="P1615" i="1" s="1"/>
  <c r="G1616" i="1"/>
  <c r="P1616" i="1" s="1"/>
  <c r="G1617" i="1"/>
  <c r="P1617" i="1" s="1"/>
  <c r="G1618" i="1"/>
  <c r="P1618" i="1" s="1"/>
  <c r="G1619" i="1"/>
  <c r="P1619" i="1" s="1"/>
  <c r="G1620" i="1"/>
  <c r="P1620" i="1" s="1"/>
  <c r="G1621" i="1"/>
  <c r="P1621" i="1" s="1"/>
  <c r="G1622" i="1"/>
  <c r="P1622" i="1" s="1"/>
  <c r="G1623" i="1"/>
  <c r="P1623" i="1" s="1"/>
  <c r="G1624" i="1"/>
  <c r="P1624" i="1" s="1"/>
  <c r="G1625" i="1"/>
  <c r="P1625" i="1" s="1"/>
  <c r="G1626" i="1"/>
  <c r="P1626" i="1" s="1"/>
  <c r="G1627" i="1"/>
  <c r="P1627" i="1" s="1"/>
  <c r="G1628" i="1"/>
  <c r="P1628" i="1" s="1"/>
  <c r="G1629" i="1"/>
  <c r="P1629" i="1" s="1"/>
  <c r="G1630" i="1"/>
  <c r="P1630" i="1" s="1"/>
  <c r="G1631" i="1"/>
  <c r="P1631" i="1" s="1"/>
  <c r="G1632" i="1"/>
  <c r="P1632" i="1" s="1"/>
  <c r="G1633" i="1"/>
  <c r="P1633" i="1" s="1"/>
  <c r="G1634" i="1"/>
  <c r="P1634" i="1" s="1"/>
  <c r="G1635" i="1"/>
  <c r="P1635" i="1" s="1"/>
  <c r="G1636" i="1"/>
  <c r="P1636" i="1" s="1"/>
  <c r="G1637" i="1"/>
  <c r="P1637" i="1" s="1"/>
  <c r="G1638" i="1"/>
  <c r="P1638" i="1" s="1"/>
  <c r="G1639" i="1"/>
  <c r="P1639" i="1" s="1"/>
  <c r="G1640" i="1"/>
  <c r="P1640" i="1" s="1"/>
  <c r="G1641" i="1"/>
  <c r="P1641" i="1" s="1"/>
  <c r="G1642" i="1"/>
  <c r="P1642" i="1" s="1"/>
  <c r="G1643" i="1"/>
  <c r="P1643" i="1" s="1"/>
  <c r="G1644" i="1"/>
  <c r="P1644" i="1" s="1"/>
  <c r="G1645" i="1"/>
  <c r="P1645" i="1" s="1"/>
  <c r="G1646" i="1"/>
  <c r="P1646" i="1" s="1"/>
  <c r="G1647" i="1"/>
  <c r="P1647" i="1" s="1"/>
  <c r="G1648" i="1"/>
  <c r="P1648" i="1" s="1"/>
  <c r="G1649" i="1"/>
  <c r="P1649" i="1" s="1"/>
  <c r="G1650" i="1"/>
  <c r="P1650" i="1" s="1"/>
  <c r="G1651" i="1"/>
  <c r="P1651" i="1" s="1"/>
  <c r="G1652" i="1"/>
  <c r="P1652" i="1" s="1"/>
  <c r="G1653" i="1"/>
  <c r="P1653" i="1" s="1"/>
  <c r="G1654" i="1"/>
  <c r="P1654" i="1" s="1"/>
  <c r="G1655" i="1"/>
  <c r="P1655" i="1" s="1"/>
  <c r="G1656" i="1"/>
  <c r="P1656" i="1" s="1"/>
  <c r="G1657" i="1"/>
  <c r="P1657" i="1" s="1"/>
  <c r="G1658" i="1"/>
  <c r="P1658" i="1" s="1"/>
  <c r="G1659" i="1"/>
  <c r="P1659" i="1" s="1"/>
  <c r="G1660" i="1"/>
  <c r="P1660" i="1" s="1"/>
  <c r="G1661" i="1"/>
  <c r="P1661" i="1" s="1"/>
  <c r="G1662" i="1"/>
  <c r="P1662" i="1" s="1"/>
  <c r="G1663" i="1"/>
  <c r="P1663" i="1" s="1"/>
  <c r="G1664" i="1"/>
  <c r="P1664" i="1" s="1"/>
  <c r="G1665" i="1"/>
  <c r="P1665" i="1" s="1"/>
  <c r="G1666" i="1"/>
  <c r="P1666" i="1" s="1"/>
  <c r="G1667" i="1"/>
  <c r="P1667" i="1" s="1"/>
  <c r="G1668" i="1"/>
  <c r="P1668" i="1" s="1"/>
  <c r="G1669" i="1"/>
  <c r="P1669" i="1" s="1"/>
  <c r="G1670" i="1"/>
  <c r="P1670" i="1" s="1"/>
  <c r="G1671" i="1"/>
  <c r="P1671" i="1" s="1"/>
  <c r="G1672" i="1"/>
  <c r="P1672" i="1" s="1"/>
  <c r="G1673" i="1"/>
  <c r="P1673" i="1" s="1"/>
  <c r="G1674" i="1"/>
  <c r="P1674" i="1" s="1"/>
  <c r="G1675" i="1"/>
  <c r="P1675" i="1" s="1"/>
  <c r="G1676" i="1"/>
  <c r="P1676" i="1" s="1"/>
  <c r="G1677" i="1"/>
  <c r="P1677" i="1" s="1"/>
  <c r="G1678" i="1"/>
  <c r="P1678" i="1" s="1"/>
  <c r="G1679" i="1"/>
  <c r="P1679" i="1" s="1"/>
  <c r="G1680" i="1"/>
  <c r="P1680" i="1" s="1"/>
  <c r="G1681" i="1"/>
  <c r="P1681" i="1" s="1"/>
  <c r="G1682" i="1"/>
  <c r="P1682" i="1" s="1"/>
  <c r="G1683" i="1"/>
  <c r="P1683" i="1" s="1"/>
  <c r="G1684" i="1"/>
  <c r="P1684" i="1" s="1"/>
  <c r="G1685" i="1"/>
  <c r="P1685" i="1" s="1"/>
  <c r="G1686" i="1"/>
  <c r="P1686" i="1" s="1"/>
  <c r="G1687" i="1"/>
  <c r="P1687" i="1" s="1"/>
  <c r="G1688" i="1"/>
  <c r="P1688" i="1" s="1"/>
  <c r="G1689" i="1"/>
  <c r="P1689" i="1" s="1"/>
  <c r="G1690" i="1"/>
  <c r="P1690" i="1" s="1"/>
  <c r="G1691" i="1"/>
  <c r="P1691" i="1" s="1"/>
  <c r="G1692" i="1"/>
  <c r="P1692" i="1" s="1"/>
  <c r="G1693" i="1"/>
  <c r="P1693" i="1" s="1"/>
  <c r="G1694" i="1"/>
  <c r="P1694" i="1" s="1"/>
  <c r="G1695" i="1"/>
  <c r="P1695" i="1" s="1"/>
  <c r="G1696" i="1"/>
  <c r="P1696" i="1" s="1"/>
  <c r="G1697" i="1"/>
  <c r="P1697" i="1" s="1"/>
  <c r="G1698" i="1"/>
  <c r="P1698" i="1" s="1"/>
  <c r="G1699" i="1"/>
  <c r="P1699" i="1" s="1"/>
  <c r="G1700" i="1"/>
  <c r="P1700" i="1" s="1"/>
  <c r="G1701" i="1"/>
  <c r="P1701" i="1" s="1"/>
  <c r="G1702" i="1"/>
  <c r="P1702" i="1" s="1"/>
  <c r="G1703" i="1"/>
  <c r="P1703" i="1" s="1"/>
  <c r="G1704" i="1"/>
  <c r="P1704" i="1" s="1"/>
  <c r="G1705" i="1"/>
  <c r="P1705" i="1" s="1"/>
  <c r="G1706" i="1"/>
  <c r="P1706" i="1" s="1"/>
  <c r="G1707" i="1"/>
  <c r="P1707" i="1" s="1"/>
  <c r="G1708" i="1"/>
  <c r="P1708" i="1" s="1"/>
  <c r="G1709" i="1"/>
  <c r="P1709" i="1" s="1"/>
  <c r="G1710" i="1"/>
  <c r="P1710" i="1" s="1"/>
  <c r="G1711" i="1"/>
  <c r="P1711" i="1" s="1"/>
  <c r="G1712" i="1"/>
  <c r="P1712" i="1" s="1"/>
  <c r="G1713" i="1"/>
  <c r="P1713" i="1" s="1"/>
  <c r="G1714" i="1"/>
  <c r="P1714" i="1" s="1"/>
  <c r="G1715" i="1"/>
  <c r="P1715" i="1" s="1"/>
  <c r="G1716" i="1"/>
  <c r="P1716" i="1" s="1"/>
  <c r="G1717" i="1"/>
  <c r="P1717" i="1" s="1"/>
  <c r="G1718" i="1"/>
  <c r="P1718" i="1" s="1"/>
  <c r="G1719" i="1"/>
  <c r="P1719" i="1" s="1"/>
  <c r="G1720" i="1"/>
  <c r="P1720" i="1" s="1"/>
  <c r="G1721" i="1"/>
  <c r="P1721" i="1" s="1"/>
  <c r="G1722" i="1"/>
  <c r="P1722" i="1" s="1"/>
  <c r="G1723" i="1"/>
  <c r="P1723" i="1" s="1"/>
  <c r="G1724" i="1"/>
  <c r="P1724" i="1" s="1"/>
  <c r="G1725" i="1"/>
  <c r="P1725" i="1" s="1"/>
  <c r="G1726" i="1"/>
  <c r="P1726" i="1" s="1"/>
  <c r="G1727" i="1"/>
  <c r="P1727" i="1" s="1"/>
  <c r="G1728" i="1"/>
  <c r="P1728" i="1" s="1"/>
  <c r="G1729" i="1"/>
  <c r="P1729" i="1" s="1"/>
  <c r="G1730" i="1"/>
  <c r="P1730" i="1" s="1"/>
  <c r="G1731" i="1"/>
  <c r="P1731" i="1" s="1"/>
  <c r="G1732" i="1"/>
  <c r="P1732" i="1" s="1"/>
  <c r="G1733" i="1"/>
  <c r="P1733" i="1" s="1"/>
  <c r="G1734" i="1"/>
  <c r="P1734" i="1" s="1"/>
  <c r="G1735" i="1"/>
  <c r="P1735" i="1" s="1"/>
  <c r="G1736" i="1"/>
  <c r="P1736" i="1" s="1"/>
  <c r="G1737" i="1"/>
  <c r="P1737" i="1" s="1"/>
  <c r="G1738" i="1"/>
  <c r="P1738" i="1" s="1"/>
  <c r="G1739" i="1"/>
  <c r="P1739" i="1" s="1"/>
  <c r="G1740" i="1"/>
  <c r="P1740" i="1" s="1"/>
  <c r="G1741" i="1"/>
  <c r="P1741" i="1" s="1"/>
  <c r="G1742" i="1"/>
  <c r="P1742" i="1" s="1"/>
  <c r="G1743" i="1"/>
  <c r="P1743" i="1" s="1"/>
  <c r="G1744" i="1"/>
  <c r="P1744" i="1" s="1"/>
  <c r="G1745" i="1"/>
  <c r="P1745" i="1" s="1"/>
  <c r="G1746" i="1"/>
  <c r="P1746" i="1" s="1"/>
  <c r="G1747" i="1"/>
  <c r="P1747" i="1" s="1"/>
  <c r="G1748" i="1"/>
  <c r="P1748" i="1" s="1"/>
  <c r="G1749" i="1"/>
  <c r="P1749" i="1" s="1"/>
  <c r="G1750" i="1"/>
  <c r="P1750" i="1" s="1"/>
  <c r="G1751" i="1"/>
  <c r="P1751" i="1" s="1"/>
  <c r="G1752" i="1"/>
  <c r="P1752" i="1" s="1"/>
  <c r="G1753" i="1"/>
  <c r="P1753" i="1" s="1"/>
  <c r="G1754" i="1"/>
  <c r="P1754" i="1" s="1"/>
  <c r="G1755" i="1"/>
  <c r="P1755" i="1" s="1"/>
  <c r="G1756" i="1"/>
  <c r="P1756" i="1" s="1"/>
  <c r="G1757" i="1"/>
  <c r="P1757" i="1" s="1"/>
  <c r="G1758" i="1"/>
  <c r="P1758" i="1" s="1"/>
  <c r="G1759" i="1"/>
  <c r="P1759" i="1" s="1"/>
  <c r="G1760" i="1"/>
  <c r="P1760" i="1" s="1"/>
  <c r="G1761" i="1"/>
  <c r="P1761" i="1" s="1"/>
  <c r="G1762" i="1"/>
  <c r="P1762" i="1" s="1"/>
  <c r="G1763" i="1"/>
  <c r="P1763" i="1" s="1"/>
  <c r="G1764" i="1"/>
  <c r="P1764" i="1" s="1"/>
  <c r="G1765" i="1"/>
  <c r="P1765" i="1" s="1"/>
  <c r="G1766" i="1"/>
  <c r="P1766" i="1" s="1"/>
  <c r="G1767" i="1"/>
  <c r="P1767" i="1" s="1"/>
  <c r="G1768" i="1"/>
  <c r="P1768" i="1" s="1"/>
  <c r="G1769" i="1"/>
  <c r="P1769" i="1" s="1"/>
  <c r="G1770" i="1"/>
  <c r="P1770" i="1" s="1"/>
  <c r="G1771" i="1"/>
  <c r="P1771" i="1" s="1"/>
  <c r="G1772" i="1"/>
  <c r="P1772" i="1" s="1"/>
  <c r="G1773" i="1"/>
  <c r="P1773" i="1" s="1"/>
  <c r="G1774" i="1"/>
  <c r="P1774" i="1" s="1"/>
  <c r="G1775" i="1"/>
  <c r="P1775" i="1" s="1"/>
  <c r="G1776" i="1"/>
  <c r="P1776" i="1" s="1"/>
  <c r="G1777" i="1"/>
  <c r="P1777" i="1" s="1"/>
  <c r="G1778" i="1"/>
  <c r="P1778" i="1" s="1"/>
  <c r="G1779" i="1"/>
  <c r="P1779" i="1" s="1"/>
  <c r="G1780" i="1"/>
  <c r="P1780" i="1" s="1"/>
  <c r="G1781" i="1"/>
  <c r="P1781" i="1" s="1"/>
  <c r="G1782" i="1"/>
  <c r="P1782" i="1" s="1"/>
  <c r="G1783" i="1"/>
  <c r="P1783" i="1" s="1"/>
  <c r="G1784" i="1"/>
  <c r="P1784" i="1" s="1"/>
  <c r="G1785" i="1"/>
  <c r="P1785" i="1" s="1"/>
  <c r="G1786" i="1"/>
  <c r="P1786" i="1" s="1"/>
  <c r="G1787" i="1"/>
  <c r="P1787" i="1" s="1"/>
  <c r="G1788" i="1"/>
  <c r="P1788" i="1" s="1"/>
  <c r="G1789" i="1"/>
  <c r="P1789" i="1" s="1"/>
  <c r="G1790" i="1"/>
  <c r="P1790" i="1" s="1"/>
  <c r="G1791" i="1"/>
  <c r="P1791" i="1" s="1"/>
  <c r="G1792" i="1"/>
  <c r="P1792" i="1" s="1"/>
  <c r="G1793" i="1"/>
  <c r="P1793" i="1" s="1"/>
  <c r="G1794" i="1"/>
  <c r="P1794" i="1" s="1"/>
  <c r="G1795" i="1"/>
  <c r="P1795" i="1" s="1"/>
  <c r="G1796" i="1"/>
  <c r="P1796" i="1" s="1"/>
  <c r="G1797" i="1"/>
  <c r="P1797" i="1" s="1"/>
  <c r="G1798" i="1"/>
  <c r="P1798" i="1" s="1"/>
  <c r="G1799" i="1"/>
  <c r="P1799" i="1" s="1"/>
  <c r="G1800" i="1"/>
  <c r="P1800" i="1" s="1"/>
  <c r="G1801" i="1"/>
  <c r="P1801" i="1" s="1"/>
  <c r="G1802" i="1"/>
  <c r="P1802" i="1" s="1"/>
  <c r="G1803" i="1"/>
  <c r="P1803" i="1" s="1"/>
  <c r="G1804" i="1"/>
  <c r="P1804" i="1" s="1"/>
  <c r="G1805" i="1"/>
  <c r="P1805" i="1" s="1"/>
  <c r="G1806" i="1"/>
  <c r="P1806" i="1" s="1"/>
  <c r="G1807" i="1"/>
  <c r="P1807" i="1" s="1"/>
  <c r="G1808" i="1"/>
  <c r="P1808" i="1" s="1"/>
  <c r="G1809" i="1"/>
  <c r="P1809" i="1" s="1"/>
  <c r="G1810" i="1"/>
  <c r="P1810" i="1" s="1"/>
  <c r="G1811" i="1"/>
  <c r="P1811" i="1" s="1"/>
  <c r="G1812" i="1"/>
  <c r="P1812" i="1" s="1"/>
  <c r="G1813" i="1"/>
  <c r="P1813" i="1" s="1"/>
  <c r="G1814" i="1"/>
  <c r="P1814" i="1" s="1"/>
  <c r="G1815" i="1"/>
  <c r="P1815" i="1" s="1"/>
  <c r="G1816" i="1"/>
  <c r="P1816" i="1" s="1"/>
  <c r="G1817" i="1"/>
  <c r="P1817" i="1" s="1"/>
  <c r="G1818" i="1"/>
  <c r="P1818" i="1" s="1"/>
  <c r="G1819" i="1"/>
  <c r="P1819" i="1" s="1"/>
  <c r="G1820" i="1"/>
  <c r="P1820" i="1" s="1"/>
  <c r="G1821" i="1"/>
  <c r="P1821" i="1" s="1"/>
  <c r="G1822" i="1"/>
  <c r="P1822" i="1" s="1"/>
  <c r="G1823" i="1"/>
  <c r="P1823" i="1" s="1"/>
  <c r="G1824" i="1"/>
  <c r="P1824" i="1" s="1"/>
  <c r="G1825" i="1"/>
  <c r="P1825" i="1" s="1"/>
  <c r="G1826" i="1"/>
  <c r="P1826" i="1" s="1"/>
  <c r="G1827" i="1"/>
  <c r="P1827" i="1" s="1"/>
  <c r="G1828" i="1"/>
  <c r="P1828" i="1" s="1"/>
  <c r="G1829" i="1"/>
  <c r="P1829" i="1" s="1"/>
  <c r="G1830" i="1"/>
  <c r="P1830" i="1" s="1"/>
  <c r="G1831" i="1"/>
  <c r="P1831" i="1" s="1"/>
  <c r="G1832" i="1"/>
  <c r="P1832" i="1" s="1"/>
  <c r="G1833" i="1"/>
  <c r="P1833" i="1" s="1"/>
  <c r="G1834" i="1"/>
  <c r="P1834" i="1" s="1"/>
  <c r="G1835" i="1"/>
  <c r="P1835" i="1" s="1"/>
  <c r="G1836" i="1"/>
  <c r="P1836" i="1" s="1"/>
  <c r="G1837" i="1"/>
  <c r="P1837" i="1" s="1"/>
  <c r="G1838" i="1"/>
  <c r="P1838" i="1" s="1"/>
  <c r="G1839" i="1"/>
  <c r="P1839" i="1" s="1"/>
  <c r="G1840" i="1"/>
  <c r="P1840" i="1" s="1"/>
  <c r="G1841" i="1"/>
  <c r="P1841" i="1" s="1"/>
  <c r="G1842" i="1"/>
  <c r="P1842" i="1" s="1"/>
  <c r="G1843" i="1"/>
  <c r="P1843" i="1" s="1"/>
  <c r="G1844" i="1"/>
  <c r="P1844" i="1" s="1"/>
  <c r="G1845" i="1"/>
  <c r="P1845" i="1" s="1"/>
  <c r="G1846" i="1"/>
  <c r="P1846" i="1" s="1"/>
  <c r="G1847" i="1"/>
  <c r="P1847" i="1" s="1"/>
  <c r="G1848" i="1"/>
  <c r="P1848" i="1" s="1"/>
  <c r="G1849" i="1"/>
  <c r="P1849" i="1" s="1"/>
  <c r="G1850" i="1"/>
  <c r="P1850" i="1" s="1"/>
  <c r="G1851" i="1"/>
  <c r="P1851" i="1" s="1"/>
  <c r="G1852" i="1"/>
  <c r="P1852" i="1" s="1"/>
  <c r="G1853" i="1"/>
  <c r="P1853" i="1" s="1"/>
  <c r="G1854" i="1"/>
  <c r="P1854" i="1" s="1"/>
  <c r="G1855" i="1"/>
  <c r="P1855" i="1" s="1"/>
  <c r="G1856" i="1"/>
  <c r="P1856" i="1" s="1"/>
  <c r="G1857" i="1"/>
  <c r="P1857" i="1" s="1"/>
  <c r="G1858" i="1"/>
  <c r="P1858" i="1" s="1"/>
  <c r="G1859" i="1"/>
  <c r="P1859" i="1" s="1"/>
  <c r="G1860" i="1"/>
  <c r="P1860" i="1" s="1"/>
  <c r="G1861" i="1"/>
  <c r="P1861" i="1" s="1"/>
  <c r="G1862" i="1"/>
  <c r="P1862" i="1" s="1"/>
  <c r="G1863" i="1"/>
  <c r="P1863" i="1" s="1"/>
  <c r="G1864" i="1"/>
  <c r="P1864" i="1" s="1"/>
  <c r="G1865" i="1"/>
  <c r="P1865" i="1" s="1"/>
  <c r="G1866" i="1"/>
  <c r="P1866" i="1" s="1"/>
  <c r="G1867" i="1"/>
  <c r="P1867" i="1" s="1"/>
  <c r="G1868" i="1"/>
  <c r="P1868" i="1" s="1"/>
  <c r="G1869" i="1"/>
  <c r="P1869" i="1" s="1"/>
  <c r="G1870" i="1"/>
  <c r="P1870" i="1" s="1"/>
  <c r="G1871" i="1"/>
  <c r="P1871" i="1" s="1"/>
  <c r="G1872" i="1"/>
  <c r="P1872" i="1" s="1"/>
  <c r="G1873" i="1"/>
  <c r="P1873" i="1" s="1"/>
  <c r="G1874" i="1"/>
  <c r="P1874" i="1" s="1"/>
  <c r="G1875" i="1"/>
  <c r="P1875" i="1" s="1"/>
  <c r="G1876" i="1"/>
  <c r="P1876" i="1" s="1"/>
  <c r="G1877" i="1"/>
  <c r="P1877" i="1" s="1"/>
  <c r="G1878" i="1"/>
  <c r="P1878" i="1" s="1"/>
  <c r="G1879" i="1"/>
  <c r="P1879" i="1" s="1"/>
  <c r="G1880" i="1"/>
  <c r="P1880" i="1" s="1"/>
  <c r="G1881" i="1"/>
  <c r="P1881" i="1" s="1"/>
  <c r="G1882" i="1"/>
  <c r="P1882" i="1" s="1"/>
  <c r="G1883" i="1"/>
  <c r="P1883" i="1" s="1"/>
  <c r="G1884" i="1"/>
  <c r="P1884" i="1" s="1"/>
  <c r="G1885" i="1"/>
  <c r="P1885" i="1" s="1"/>
  <c r="G1886" i="1"/>
  <c r="P1886" i="1" s="1"/>
  <c r="G1887" i="1"/>
  <c r="P1887" i="1" s="1"/>
  <c r="G1888" i="1"/>
  <c r="P1888" i="1" s="1"/>
  <c r="G1889" i="1"/>
  <c r="P1889" i="1" s="1"/>
  <c r="G1890" i="1"/>
  <c r="P1890" i="1" s="1"/>
  <c r="G1891" i="1"/>
  <c r="P1891" i="1" s="1"/>
  <c r="G1892" i="1"/>
  <c r="P1892" i="1" s="1"/>
  <c r="G1893" i="1"/>
  <c r="P1893" i="1" s="1"/>
  <c r="G1894" i="1"/>
  <c r="P1894" i="1" s="1"/>
  <c r="G1895" i="1"/>
  <c r="P1895" i="1" s="1"/>
  <c r="G1896" i="1"/>
  <c r="P1896" i="1" s="1"/>
  <c r="G1897" i="1"/>
  <c r="P1897" i="1" s="1"/>
  <c r="G1898" i="1"/>
  <c r="P1898" i="1" s="1"/>
  <c r="G1899" i="1"/>
  <c r="P1899" i="1" s="1"/>
  <c r="G1900" i="1"/>
  <c r="P1900" i="1" s="1"/>
  <c r="G1901" i="1"/>
  <c r="P1901" i="1" s="1"/>
  <c r="G1902" i="1"/>
  <c r="P1902" i="1" s="1"/>
  <c r="G1903" i="1"/>
  <c r="P1903" i="1" s="1"/>
  <c r="G1904" i="1"/>
  <c r="P1904" i="1" s="1"/>
  <c r="G1905" i="1"/>
  <c r="P1905" i="1" s="1"/>
  <c r="G1906" i="1"/>
  <c r="P1906" i="1" s="1"/>
  <c r="G1907" i="1"/>
  <c r="P1907" i="1" s="1"/>
  <c r="G1908" i="1"/>
  <c r="P1908" i="1" s="1"/>
  <c r="G1909" i="1"/>
  <c r="P1909" i="1" s="1"/>
  <c r="G1910" i="1"/>
  <c r="P1910" i="1" s="1"/>
  <c r="G1911" i="1"/>
  <c r="P1911" i="1" s="1"/>
  <c r="G1912" i="1"/>
  <c r="P1912" i="1" s="1"/>
  <c r="G1913" i="1"/>
  <c r="P1913" i="1" s="1"/>
  <c r="G1914" i="1"/>
  <c r="P1914" i="1" s="1"/>
  <c r="G1915" i="1"/>
  <c r="P1915" i="1" s="1"/>
  <c r="G1916" i="1"/>
  <c r="P1916" i="1" s="1"/>
  <c r="G1917" i="1"/>
  <c r="P1917" i="1" s="1"/>
  <c r="G1918" i="1"/>
  <c r="P1918" i="1" s="1"/>
  <c r="G1919" i="1"/>
  <c r="P1919" i="1" s="1"/>
  <c r="G1920" i="1"/>
  <c r="P1920" i="1" s="1"/>
  <c r="G1921" i="1"/>
  <c r="P1921" i="1" s="1"/>
  <c r="G1922" i="1"/>
  <c r="P1922" i="1" s="1"/>
  <c r="G1923" i="1"/>
  <c r="P1923" i="1" s="1"/>
  <c r="G1924" i="1"/>
  <c r="P1924" i="1" s="1"/>
  <c r="G1925" i="1"/>
  <c r="P1925" i="1" s="1"/>
  <c r="G1926" i="1"/>
  <c r="P1926" i="1" s="1"/>
  <c r="G1927" i="1"/>
  <c r="P1927" i="1" s="1"/>
  <c r="G1928" i="1"/>
  <c r="P1928" i="1" s="1"/>
  <c r="G1929" i="1"/>
  <c r="P1929" i="1" s="1"/>
  <c r="G1930" i="1"/>
  <c r="P1930" i="1" s="1"/>
  <c r="G1931" i="1"/>
  <c r="P1931" i="1" s="1"/>
  <c r="G1932" i="1"/>
  <c r="P1932" i="1" s="1"/>
  <c r="G1933" i="1"/>
  <c r="P1933" i="1" s="1"/>
  <c r="G1934" i="1"/>
  <c r="P1934" i="1" s="1"/>
  <c r="G1935" i="1"/>
  <c r="P1935" i="1" s="1"/>
  <c r="G1936" i="1"/>
  <c r="P1936" i="1" s="1"/>
  <c r="G1937" i="1"/>
  <c r="P1937" i="1" s="1"/>
  <c r="G1938" i="1"/>
  <c r="P1938" i="1" s="1"/>
  <c r="G1939" i="1"/>
  <c r="P1939" i="1" s="1"/>
  <c r="G1940" i="1"/>
  <c r="P1940" i="1" s="1"/>
  <c r="G1941" i="1"/>
  <c r="P1941" i="1" s="1"/>
  <c r="G1942" i="1"/>
  <c r="P1942" i="1" s="1"/>
  <c r="G1943" i="1"/>
  <c r="P1943" i="1" s="1"/>
  <c r="G1944" i="1"/>
  <c r="P1944" i="1" s="1"/>
  <c r="G1945" i="1"/>
  <c r="P1945" i="1" s="1"/>
  <c r="G1946" i="1"/>
  <c r="P1946" i="1" s="1"/>
  <c r="G1947" i="1"/>
  <c r="P1947" i="1" s="1"/>
  <c r="G1948" i="1"/>
  <c r="P1948" i="1" s="1"/>
  <c r="G1949" i="1"/>
  <c r="P1949" i="1" s="1"/>
  <c r="G1950" i="1"/>
  <c r="P1950" i="1" s="1"/>
  <c r="G1951" i="1"/>
  <c r="P1951" i="1" s="1"/>
  <c r="G1952" i="1"/>
  <c r="P1952" i="1" s="1"/>
  <c r="G1953" i="1"/>
  <c r="P1953" i="1" s="1"/>
  <c r="G1954" i="1"/>
  <c r="P1954" i="1" s="1"/>
  <c r="G1955" i="1"/>
  <c r="P1955" i="1" s="1"/>
  <c r="G1956" i="1"/>
  <c r="P1956" i="1" s="1"/>
  <c r="G1957" i="1"/>
  <c r="P1957" i="1" s="1"/>
  <c r="G1958" i="1"/>
  <c r="P1958" i="1" s="1"/>
  <c r="G1959" i="1"/>
  <c r="P1959" i="1" s="1"/>
  <c r="G1960" i="1"/>
  <c r="P1960" i="1" s="1"/>
  <c r="G1961" i="1"/>
  <c r="P1961" i="1" s="1"/>
  <c r="G1962" i="1"/>
  <c r="P1962" i="1" s="1"/>
  <c r="G1963" i="1"/>
  <c r="P1963" i="1" s="1"/>
  <c r="G1964" i="1"/>
  <c r="P1964" i="1" s="1"/>
  <c r="G1965" i="1"/>
  <c r="P1965" i="1" s="1"/>
  <c r="G1966" i="1"/>
  <c r="P1966" i="1" s="1"/>
  <c r="G1967" i="1"/>
  <c r="P1967" i="1" s="1"/>
  <c r="G1968" i="1"/>
  <c r="P1968" i="1" s="1"/>
  <c r="G1969" i="1"/>
  <c r="P1969" i="1" s="1"/>
  <c r="G1970" i="1"/>
  <c r="P1970" i="1" s="1"/>
  <c r="G1971" i="1"/>
  <c r="P1971" i="1" s="1"/>
  <c r="G1972" i="1"/>
  <c r="P1972" i="1" s="1"/>
  <c r="G1973" i="1"/>
  <c r="P1973" i="1" s="1"/>
  <c r="G1974" i="1"/>
  <c r="P1974" i="1" s="1"/>
  <c r="G1975" i="1"/>
  <c r="P1975" i="1" s="1"/>
  <c r="G1976" i="1"/>
  <c r="P1976" i="1" s="1"/>
  <c r="G1977" i="1"/>
  <c r="P1977" i="1" s="1"/>
  <c r="G1978" i="1"/>
  <c r="P1978" i="1" s="1"/>
  <c r="G1979" i="1"/>
  <c r="P1979" i="1" s="1"/>
  <c r="G1980" i="1"/>
  <c r="P1980" i="1" s="1"/>
  <c r="G1981" i="1"/>
  <c r="P1981" i="1" s="1"/>
  <c r="G1982" i="1"/>
  <c r="P1982" i="1" s="1"/>
  <c r="G1983" i="1"/>
  <c r="P1983" i="1" s="1"/>
  <c r="G1984" i="1"/>
  <c r="P1984" i="1" s="1"/>
  <c r="G1985" i="1"/>
  <c r="P1985" i="1" s="1"/>
  <c r="G1986" i="1"/>
  <c r="P1986" i="1" s="1"/>
  <c r="G1987" i="1"/>
  <c r="P1987" i="1" s="1"/>
  <c r="G1988" i="1"/>
  <c r="P1988" i="1" s="1"/>
  <c r="G1989" i="1"/>
  <c r="P1989" i="1" s="1"/>
  <c r="G1990" i="1"/>
  <c r="P1990" i="1" s="1"/>
  <c r="G1991" i="1"/>
  <c r="P1991" i="1" s="1"/>
  <c r="G1992" i="1"/>
  <c r="P1992" i="1" s="1"/>
  <c r="G1993" i="1"/>
  <c r="P1993" i="1" s="1"/>
  <c r="G1994" i="1"/>
  <c r="P1994" i="1" s="1"/>
  <c r="G1995" i="1"/>
  <c r="P1995" i="1" s="1"/>
  <c r="G1996" i="1"/>
  <c r="P1996" i="1" s="1"/>
  <c r="G1997" i="1"/>
  <c r="P1997" i="1" s="1"/>
  <c r="G1998" i="1"/>
  <c r="P1998" i="1" s="1"/>
  <c r="G1999" i="1"/>
  <c r="P1999" i="1" s="1"/>
  <c r="G1437" i="1" l="1"/>
  <c r="M1315" i="1" l="1"/>
  <c r="O1308" i="1"/>
  <c r="O1316" i="1"/>
  <c r="O1314" i="1"/>
  <c r="O1298" i="1"/>
  <c r="O1310" i="1"/>
  <c r="O1313" i="1"/>
  <c r="O1304" i="1"/>
  <c r="O1309" i="1"/>
  <c r="O1315" i="1"/>
  <c r="O1312" i="1"/>
  <c r="O1301" i="1"/>
  <c r="O1303" i="1"/>
  <c r="O1302" i="1"/>
  <c r="O1299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M1308" i="1"/>
  <c r="N1308" i="1" s="1"/>
  <c r="M1316" i="1"/>
  <c r="N1316" i="1" s="1"/>
  <c r="M1314" i="1"/>
  <c r="N1314" i="1" s="1"/>
  <c r="M1298" i="1"/>
  <c r="N1298" i="1" s="1"/>
  <c r="M1310" i="1"/>
  <c r="N1310" i="1" s="1"/>
  <c r="M1313" i="1"/>
  <c r="N1313" i="1" s="1"/>
  <c r="M1304" i="1"/>
  <c r="N1304" i="1" s="1"/>
  <c r="M1309" i="1"/>
  <c r="N1309" i="1" s="1"/>
  <c r="N1315" i="1"/>
  <c r="M1312" i="1"/>
  <c r="N1312" i="1" s="1"/>
  <c r="M1301" i="1"/>
  <c r="N1301" i="1" s="1"/>
  <c r="M1303" i="1"/>
  <c r="N1303" i="1" s="1"/>
  <c r="M1302" i="1"/>
  <c r="N1302" i="1" s="1"/>
  <c r="M1299" i="1"/>
  <c r="N1299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G1300" i="1"/>
  <c r="G1307" i="1"/>
  <c r="G1306" i="1"/>
  <c r="G1308" i="1"/>
  <c r="P1308" i="1" s="1"/>
  <c r="G1316" i="1"/>
  <c r="P1316" i="1" s="1"/>
  <c r="G1314" i="1"/>
  <c r="P1314" i="1" s="1"/>
  <c r="G1298" i="1"/>
  <c r="P1298" i="1" s="1"/>
  <c r="G1310" i="1"/>
  <c r="P1310" i="1" s="1"/>
  <c r="G1313" i="1"/>
  <c r="P1313" i="1" s="1"/>
  <c r="G1304" i="1"/>
  <c r="P1304" i="1" s="1"/>
  <c r="G1309" i="1"/>
  <c r="P1309" i="1" s="1"/>
  <c r="G1315" i="1"/>
  <c r="P1315" i="1" s="1"/>
  <c r="G1312" i="1"/>
  <c r="P1312" i="1" s="1"/>
  <c r="G1301" i="1"/>
  <c r="P1301" i="1" s="1"/>
  <c r="G1303" i="1"/>
  <c r="P1303" i="1" s="1"/>
  <c r="G1302" i="1"/>
  <c r="P1302" i="1" s="1"/>
  <c r="G1299" i="1"/>
  <c r="P1299" i="1" s="1"/>
  <c r="G1317" i="1"/>
  <c r="P1317" i="1" s="1"/>
  <c r="G1318" i="1"/>
  <c r="P1318" i="1" s="1"/>
  <c r="G1319" i="1"/>
  <c r="P1319" i="1" s="1"/>
  <c r="G1320" i="1"/>
  <c r="P1320" i="1" s="1"/>
  <c r="G1321" i="1"/>
  <c r="P1321" i="1" s="1"/>
  <c r="G1322" i="1"/>
  <c r="P1322" i="1" s="1"/>
  <c r="G1323" i="1"/>
  <c r="P1323" i="1" s="1"/>
  <c r="G1324" i="1"/>
  <c r="P1324" i="1" s="1"/>
  <c r="G1325" i="1"/>
  <c r="P1325" i="1" s="1"/>
  <c r="G1326" i="1"/>
  <c r="P1326" i="1" s="1"/>
  <c r="G1327" i="1"/>
  <c r="P1327" i="1" s="1"/>
  <c r="G1328" i="1"/>
  <c r="P1328" i="1" s="1"/>
  <c r="G1329" i="1"/>
  <c r="P1329" i="1" s="1"/>
  <c r="G1330" i="1"/>
  <c r="P1330" i="1" s="1"/>
  <c r="G1331" i="1"/>
  <c r="P1331" i="1" s="1"/>
  <c r="G1332" i="1"/>
  <c r="P1332" i="1" s="1"/>
  <c r="G1333" i="1"/>
  <c r="P1333" i="1" s="1"/>
  <c r="G1334" i="1"/>
  <c r="P1334" i="1" s="1"/>
  <c r="G1335" i="1"/>
  <c r="P1335" i="1" s="1"/>
  <c r="G1336" i="1"/>
  <c r="P1336" i="1" s="1"/>
  <c r="G1337" i="1"/>
  <c r="P1337" i="1" s="1"/>
  <c r="G1338" i="1"/>
  <c r="P1338" i="1" s="1"/>
  <c r="G1339" i="1"/>
  <c r="P1339" i="1" s="1"/>
  <c r="G1340" i="1"/>
  <c r="P1340" i="1" s="1"/>
  <c r="G1341" i="1"/>
  <c r="P1341" i="1" s="1"/>
  <c r="G1342" i="1"/>
  <c r="P1342" i="1" s="1"/>
  <c r="G1343" i="1"/>
  <c r="P1343" i="1" s="1"/>
  <c r="G1344" i="1"/>
  <c r="P1344" i="1" s="1"/>
  <c r="G1345" i="1"/>
  <c r="P1345" i="1" s="1"/>
  <c r="G1346" i="1"/>
  <c r="P1346" i="1" s="1"/>
  <c r="G1347" i="1"/>
  <c r="P1347" i="1" s="1"/>
  <c r="G1348" i="1"/>
  <c r="P1348" i="1" s="1"/>
  <c r="G1349" i="1"/>
  <c r="P1349" i="1" s="1"/>
  <c r="G1350" i="1"/>
  <c r="P1350" i="1" s="1"/>
  <c r="G1351" i="1"/>
  <c r="P1351" i="1" s="1"/>
  <c r="G1352" i="1"/>
  <c r="P1352" i="1" s="1"/>
  <c r="G1353" i="1"/>
  <c r="P1353" i="1" s="1"/>
  <c r="G1354" i="1"/>
  <c r="P1354" i="1" s="1"/>
  <c r="G1355" i="1"/>
  <c r="P1355" i="1" s="1"/>
  <c r="G1356" i="1"/>
  <c r="P1356" i="1" s="1"/>
  <c r="G1357" i="1"/>
  <c r="P1357" i="1" s="1"/>
  <c r="G1358" i="1"/>
  <c r="P1358" i="1" s="1"/>
  <c r="G1359" i="1"/>
  <c r="P1359" i="1" s="1"/>
  <c r="G1360" i="1"/>
  <c r="P1360" i="1" s="1"/>
  <c r="G1361" i="1"/>
  <c r="P1361" i="1" s="1"/>
  <c r="G1362" i="1"/>
  <c r="P1362" i="1" s="1"/>
  <c r="G1363" i="1"/>
  <c r="P1363" i="1" s="1"/>
  <c r="G1364" i="1"/>
  <c r="P1364" i="1" s="1"/>
  <c r="G1365" i="1"/>
  <c r="P1365" i="1" s="1"/>
  <c r="G1366" i="1"/>
  <c r="P1366" i="1" s="1"/>
  <c r="G1367" i="1"/>
  <c r="P1367" i="1" s="1"/>
  <c r="G1368" i="1"/>
  <c r="P1368" i="1" s="1"/>
  <c r="G1369" i="1"/>
  <c r="P1369" i="1" s="1"/>
  <c r="G1370" i="1"/>
  <c r="P1370" i="1" s="1"/>
  <c r="G1371" i="1"/>
  <c r="P1371" i="1" s="1"/>
  <c r="G1372" i="1"/>
  <c r="P1372" i="1" s="1"/>
  <c r="G1373" i="1"/>
  <c r="P1373" i="1" s="1"/>
  <c r="G1374" i="1"/>
  <c r="P1374" i="1" s="1"/>
  <c r="G1375" i="1"/>
  <c r="P1375" i="1" s="1"/>
  <c r="G1376" i="1"/>
  <c r="P1376" i="1" s="1"/>
  <c r="G1377" i="1"/>
  <c r="P1377" i="1" s="1"/>
  <c r="G1378" i="1"/>
  <c r="P1378" i="1" s="1"/>
  <c r="G1379" i="1"/>
  <c r="P1379" i="1" s="1"/>
  <c r="G1380" i="1"/>
  <c r="P1380" i="1" s="1"/>
  <c r="G1381" i="1"/>
  <c r="P1381" i="1" s="1"/>
  <c r="G1382" i="1"/>
  <c r="P1382" i="1" s="1"/>
  <c r="G1383" i="1"/>
  <c r="P1383" i="1" s="1"/>
  <c r="G1384" i="1"/>
  <c r="P1384" i="1" s="1"/>
  <c r="G1385" i="1"/>
  <c r="P1385" i="1" s="1"/>
  <c r="G1386" i="1"/>
  <c r="P1386" i="1" s="1"/>
  <c r="G1387" i="1"/>
  <c r="P1387" i="1" s="1"/>
  <c r="G1388" i="1"/>
  <c r="P1388" i="1" s="1"/>
  <c r="G1389" i="1"/>
  <c r="P1389" i="1" s="1"/>
  <c r="G1390" i="1"/>
  <c r="P1390" i="1" s="1"/>
  <c r="G1391" i="1"/>
  <c r="P1391" i="1" s="1"/>
  <c r="G1392" i="1"/>
  <c r="P1392" i="1" s="1"/>
  <c r="G1393" i="1"/>
  <c r="P1393" i="1" s="1"/>
  <c r="G1394" i="1"/>
  <c r="P1394" i="1" s="1"/>
  <c r="G1395" i="1"/>
  <c r="P1395" i="1" s="1"/>
  <c r="G1396" i="1"/>
  <c r="P1396" i="1" s="1"/>
  <c r="G1397" i="1"/>
  <c r="P1397" i="1" s="1"/>
  <c r="G1398" i="1"/>
  <c r="P1398" i="1" s="1"/>
  <c r="G1399" i="1"/>
  <c r="P1399" i="1" s="1"/>
  <c r="G1400" i="1"/>
  <c r="P1400" i="1" s="1"/>
  <c r="G1401" i="1"/>
  <c r="P1401" i="1" s="1"/>
  <c r="G1402" i="1"/>
  <c r="P1402" i="1" s="1"/>
  <c r="G1403" i="1"/>
  <c r="P1403" i="1" s="1"/>
  <c r="G1404" i="1"/>
  <c r="P1404" i="1" s="1"/>
  <c r="G1405" i="1"/>
  <c r="P1405" i="1" s="1"/>
  <c r="G1406" i="1"/>
  <c r="P1406" i="1" s="1"/>
  <c r="G1407" i="1"/>
  <c r="P1407" i="1" s="1"/>
  <c r="G1408" i="1"/>
  <c r="P1408" i="1" s="1"/>
  <c r="G1409" i="1"/>
  <c r="P1409" i="1" s="1"/>
  <c r="G1410" i="1"/>
  <c r="P1410" i="1" s="1"/>
  <c r="G1411" i="1"/>
  <c r="P1411" i="1" s="1"/>
  <c r="G1412" i="1"/>
  <c r="P1412" i="1" s="1"/>
  <c r="G1413" i="1"/>
  <c r="P1413" i="1" s="1"/>
  <c r="G1414" i="1"/>
  <c r="P1414" i="1" s="1"/>
  <c r="G1415" i="1"/>
  <c r="P1415" i="1" s="1"/>
  <c r="G1416" i="1"/>
  <c r="P1416" i="1" s="1"/>
  <c r="G1417" i="1"/>
  <c r="P1417" i="1" s="1"/>
  <c r="G1418" i="1"/>
  <c r="P1418" i="1" s="1"/>
  <c r="G1419" i="1"/>
  <c r="P1419" i="1" s="1"/>
  <c r="G1420" i="1"/>
  <c r="P1420" i="1" s="1"/>
  <c r="G1421" i="1"/>
  <c r="P1421" i="1" s="1"/>
  <c r="G1422" i="1"/>
  <c r="P1422" i="1" s="1"/>
  <c r="G1423" i="1"/>
  <c r="P1423" i="1" s="1"/>
  <c r="G1424" i="1"/>
  <c r="P1424" i="1" s="1"/>
  <c r="G1425" i="1"/>
  <c r="P1425" i="1" s="1"/>
  <c r="G1426" i="1"/>
  <c r="P1426" i="1" s="1"/>
  <c r="G1427" i="1"/>
  <c r="P1427" i="1" s="1"/>
  <c r="G1428" i="1"/>
  <c r="P1428" i="1" s="1"/>
  <c r="G1429" i="1"/>
  <c r="P1429" i="1" s="1"/>
  <c r="G1430" i="1"/>
  <c r="P1430" i="1" s="1"/>
  <c r="G1431" i="1"/>
  <c r="P1431" i="1" s="1"/>
  <c r="G1432" i="1"/>
  <c r="P1432" i="1" s="1"/>
  <c r="G1433" i="1"/>
  <c r="P1433" i="1" s="1"/>
  <c r="G1434" i="1"/>
  <c r="P1434" i="1" s="1"/>
  <c r="G1435" i="1"/>
  <c r="P1435" i="1" s="1"/>
  <c r="G1436" i="1"/>
  <c r="P1436" i="1" s="1"/>
  <c r="P1437" i="1"/>
  <c r="G1438" i="1"/>
  <c r="P1438" i="1" s="1"/>
  <c r="G1439" i="1"/>
  <c r="P1439" i="1" s="1"/>
  <c r="G1440" i="1"/>
  <c r="P1440" i="1" s="1"/>
  <c r="G1441" i="1"/>
  <c r="P1441" i="1" s="1"/>
  <c r="G1442" i="1"/>
  <c r="P1442" i="1" s="1"/>
  <c r="G1443" i="1"/>
  <c r="P1443" i="1" s="1"/>
  <c r="G1444" i="1"/>
  <c r="P1444" i="1" s="1"/>
  <c r="G1445" i="1"/>
  <c r="P1445" i="1" s="1"/>
  <c r="G1446" i="1"/>
  <c r="P1446" i="1" s="1"/>
  <c r="G1447" i="1"/>
  <c r="P1447" i="1" s="1"/>
  <c r="G1448" i="1"/>
  <c r="P1448" i="1" s="1"/>
  <c r="G1449" i="1"/>
  <c r="P1449" i="1" s="1"/>
  <c r="G1450" i="1"/>
  <c r="P1450" i="1" s="1"/>
  <c r="G1451" i="1"/>
  <c r="P1451" i="1" s="1"/>
  <c r="G1452" i="1"/>
  <c r="P1452" i="1" s="1"/>
  <c r="G1453" i="1"/>
  <c r="P1453" i="1" s="1"/>
  <c r="G1454" i="1"/>
  <c r="P1454" i="1" s="1"/>
  <c r="G1455" i="1"/>
  <c r="P1455" i="1" s="1"/>
  <c r="G1456" i="1"/>
  <c r="P1456" i="1" s="1"/>
  <c r="G1457" i="1"/>
  <c r="P1457" i="1" s="1"/>
  <c r="G1458" i="1"/>
  <c r="P1458" i="1" s="1"/>
  <c r="G1459" i="1"/>
  <c r="P1459" i="1" s="1"/>
  <c r="G1460" i="1"/>
  <c r="P1460" i="1" s="1"/>
  <c r="G1461" i="1"/>
  <c r="P1461" i="1" s="1"/>
  <c r="G1462" i="1"/>
  <c r="P1462" i="1" s="1"/>
  <c r="G1463" i="1"/>
  <c r="P1463" i="1" s="1"/>
  <c r="G1464" i="1"/>
  <c r="P1464" i="1" s="1"/>
  <c r="G1465" i="1"/>
  <c r="P1465" i="1" s="1"/>
  <c r="G1466" i="1"/>
  <c r="P1466" i="1" s="1"/>
  <c r="G1467" i="1"/>
  <c r="P1467" i="1" s="1"/>
  <c r="G1468" i="1"/>
  <c r="P1468" i="1" s="1"/>
  <c r="G1469" i="1"/>
  <c r="P1469" i="1" s="1"/>
  <c r="G1470" i="1"/>
  <c r="P1470" i="1" s="1"/>
  <c r="G1471" i="1"/>
  <c r="P1471" i="1" s="1"/>
  <c r="G1472" i="1"/>
  <c r="P1472" i="1" s="1"/>
  <c r="G1473" i="1"/>
  <c r="P1473" i="1" s="1"/>
  <c r="G1474" i="1"/>
  <c r="P1474" i="1" s="1"/>
  <c r="G1475" i="1"/>
  <c r="P1475" i="1" s="1"/>
  <c r="G1476" i="1"/>
  <c r="P1476" i="1" s="1"/>
  <c r="G1477" i="1"/>
  <c r="P1477" i="1" s="1"/>
  <c r="G1478" i="1"/>
  <c r="P1478" i="1" s="1"/>
  <c r="G1479" i="1"/>
  <c r="P1479" i="1" s="1"/>
  <c r="G1480" i="1"/>
  <c r="P1480" i="1" s="1"/>
  <c r="G1481" i="1"/>
  <c r="P1481" i="1" s="1"/>
  <c r="G1482" i="1"/>
  <c r="P1482" i="1" s="1"/>
  <c r="G1483" i="1"/>
  <c r="P1483" i="1" s="1"/>
  <c r="G1484" i="1"/>
  <c r="P1484" i="1" s="1"/>
  <c r="G1485" i="1"/>
  <c r="P1485" i="1" s="1"/>
  <c r="G1486" i="1"/>
  <c r="P1486" i="1" s="1"/>
  <c r="G1487" i="1"/>
  <c r="P1487" i="1" s="1"/>
  <c r="G1488" i="1"/>
  <c r="P1488" i="1" s="1"/>
  <c r="G1489" i="1"/>
  <c r="P1489" i="1" s="1"/>
  <c r="G1490" i="1"/>
  <c r="P1490" i="1" s="1"/>
  <c r="G1491" i="1"/>
  <c r="P1491" i="1" s="1"/>
  <c r="G1492" i="1"/>
  <c r="P1492" i="1" s="1"/>
  <c r="G1493" i="1"/>
  <c r="P1493" i="1" s="1"/>
  <c r="G1494" i="1"/>
  <c r="P1494" i="1" s="1"/>
  <c r="G1495" i="1"/>
  <c r="P1495" i="1" s="1"/>
  <c r="G1496" i="1"/>
  <c r="P1496" i="1" s="1"/>
  <c r="G1497" i="1"/>
  <c r="P1497" i="1" s="1"/>
  <c r="G1498" i="1"/>
  <c r="P1498" i="1" s="1"/>
  <c r="G1499" i="1"/>
  <c r="P1499" i="1" s="1"/>
  <c r="P1300" i="1" l="1"/>
  <c r="P1307" i="1"/>
  <c r="P1306" i="1"/>
  <c r="O1263" i="1"/>
  <c r="O1275" i="1"/>
  <c r="O1276" i="1"/>
  <c r="O1273" i="1"/>
  <c r="O1266" i="1"/>
  <c r="O1265" i="1"/>
  <c r="O1264" i="1"/>
  <c r="O1286" i="1"/>
  <c r="O1292" i="1"/>
  <c r="O1295" i="1"/>
  <c r="O1281" i="1"/>
  <c r="O1282" i="1"/>
  <c r="O1296" i="1"/>
  <c r="O1285" i="1"/>
  <c r="O1284" i="1"/>
  <c r="O1289" i="1"/>
  <c r="O1290" i="1"/>
  <c r="O1288" i="1"/>
  <c r="O1283" i="1"/>
  <c r="O1287" i="1"/>
  <c r="O1294" i="1"/>
  <c r="O1279" i="1"/>
  <c r="O1278" i="1"/>
  <c r="O1280" i="1"/>
  <c r="O1293" i="1"/>
  <c r="O1291" i="1"/>
  <c r="O1297" i="1"/>
  <c r="O1305" i="1"/>
  <c r="O1311" i="1"/>
  <c r="O1300" i="1"/>
  <c r="O1307" i="1"/>
  <c r="O1306" i="1"/>
  <c r="M1263" i="1"/>
  <c r="N1263" i="1" s="1"/>
  <c r="M1275" i="1"/>
  <c r="N1275" i="1" s="1"/>
  <c r="M1276" i="1"/>
  <c r="N1276" i="1" s="1"/>
  <c r="M1273" i="1"/>
  <c r="N1273" i="1" s="1"/>
  <c r="M1266" i="1"/>
  <c r="N1266" i="1" s="1"/>
  <c r="M1265" i="1"/>
  <c r="N1265" i="1" s="1"/>
  <c r="M1264" i="1"/>
  <c r="N1264" i="1" s="1"/>
  <c r="M1286" i="1"/>
  <c r="N1286" i="1" s="1"/>
  <c r="M1292" i="1"/>
  <c r="N1292" i="1" s="1"/>
  <c r="M1295" i="1"/>
  <c r="N1295" i="1" s="1"/>
  <c r="M1281" i="1"/>
  <c r="N1281" i="1" s="1"/>
  <c r="M1282" i="1"/>
  <c r="N1282" i="1" s="1"/>
  <c r="M1296" i="1"/>
  <c r="N1296" i="1" s="1"/>
  <c r="M1285" i="1"/>
  <c r="N1285" i="1" s="1"/>
  <c r="M1284" i="1"/>
  <c r="N1284" i="1" s="1"/>
  <c r="M1289" i="1"/>
  <c r="N1289" i="1" s="1"/>
  <c r="M1290" i="1"/>
  <c r="N1290" i="1" s="1"/>
  <c r="M1288" i="1"/>
  <c r="N1288" i="1" s="1"/>
  <c r="M1283" i="1"/>
  <c r="N1283" i="1" s="1"/>
  <c r="M1287" i="1"/>
  <c r="N1287" i="1" s="1"/>
  <c r="M1294" i="1"/>
  <c r="N1294" i="1" s="1"/>
  <c r="M1279" i="1"/>
  <c r="N1279" i="1" s="1"/>
  <c r="M1278" i="1"/>
  <c r="N1278" i="1" s="1"/>
  <c r="M1280" i="1"/>
  <c r="N1280" i="1" s="1"/>
  <c r="M1293" i="1"/>
  <c r="N1293" i="1" s="1"/>
  <c r="M1291" i="1"/>
  <c r="N1291" i="1" s="1"/>
  <c r="M1297" i="1"/>
  <c r="N1297" i="1" s="1"/>
  <c r="M1305" i="1"/>
  <c r="N1305" i="1" s="1"/>
  <c r="M1311" i="1"/>
  <c r="N1311" i="1" s="1"/>
  <c r="M1300" i="1"/>
  <c r="N1300" i="1" s="1"/>
  <c r="M1307" i="1"/>
  <c r="N1307" i="1" s="1"/>
  <c r="M1306" i="1"/>
  <c r="N1306" i="1" s="1"/>
  <c r="G1263" i="1"/>
  <c r="P1263" i="1" s="1"/>
  <c r="G1275" i="1"/>
  <c r="P1275" i="1" s="1"/>
  <c r="G1276" i="1"/>
  <c r="P1276" i="1" s="1"/>
  <c r="G1273" i="1"/>
  <c r="P1273" i="1" s="1"/>
  <c r="G1266" i="1"/>
  <c r="P1266" i="1" s="1"/>
  <c r="G1265" i="1"/>
  <c r="P1265" i="1" s="1"/>
  <c r="G1264" i="1"/>
  <c r="P1264" i="1" s="1"/>
  <c r="G1286" i="1"/>
  <c r="P1286" i="1" s="1"/>
  <c r="G1292" i="1"/>
  <c r="P1292" i="1" s="1"/>
  <c r="G1295" i="1"/>
  <c r="P1295" i="1" s="1"/>
  <c r="G1281" i="1"/>
  <c r="P1281" i="1" s="1"/>
  <c r="G1282" i="1"/>
  <c r="P1282" i="1" s="1"/>
  <c r="G1296" i="1"/>
  <c r="P1296" i="1" s="1"/>
  <c r="G1285" i="1"/>
  <c r="P1285" i="1" s="1"/>
  <c r="G1284" i="1"/>
  <c r="P1284" i="1" s="1"/>
  <c r="G1289" i="1"/>
  <c r="P1289" i="1" s="1"/>
  <c r="G1290" i="1"/>
  <c r="P1290" i="1" s="1"/>
  <c r="G1288" i="1"/>
  <c r="P1288" i="1" s="1"/>
  <c r="G1283" i="1"/>
  <c r="P1283" i="1" s="1"/>
  <c r="G1287" i="1"/>
  <c r="P1287" i="1" s="1"/>
  <c r="G1294" i="1"/>
  <c r="P1294" i="1" s="1"/>
  <c r="G1279" i="1"/>
  <c r="P1279" i="1" s="1"/>
  <c r="G1278" i="1"/>
  <c r="P1278" i="1" s="1"/>
  <c r="G1280" i="1"/>
  <c r="P1280" i="1" s="1"/>
  <c r="G1293" i="1"/>
  <c r="P1293" i="1" s="1"/>
  <c r="G1291" i="1"/>
  <c r="P1291" i="1" s="1"/>
  <c r="G1297" i="1"/>
  <c r="P1297" i="1" s="1"/>
  <c r="G1305" i="1"/>
  <c r="P1305" i="1" s="1"/>
  <c r="G1311" i="1"/>
  <c r="P1311" i="1" s="1"/>
  <c r="O1250" i="1" l="1"/>
  <c r="O1244" i="1"/>
  <c r="O1243" i="1"/>
  <c r="O1251" i="1"/>
  <c r="O1239" i="1"/>
  <c r="O1253" i="1"/>
  <c r="O1258" i="1"/>
  <c r="O1247" i="1"/>
  <c r="O1259" i="1"/>
  <c r="O1240" i="1"/>
  <c r="O1242" i="1"/>
  <c r="O1245" i="1"/>
  <c r="O1255" i="1"/>
  <c r="O1241" i="1"/>
  <c r="O1248" i="1"/>
  <c r="O1246" i="1"/>
  <c r="O1256" i="1"/>
  <c r="O1254" i="1"/>
  <c r="O1267" i="1"/>
  <c r="O1262" i="1"/>
  <c r="O1268" i="1"/>
  <c r="O1269" i="1"/>
  <c r="O1270" i="1"/>
  <c r="O1271" i="1"/>
  <c r="O1260" i="1"/>
  <c r="O1277" i="1"/>
  <c r="O1274" i="1"/>
  <c r="O1261" i="1"/>
  <c r="O1272" i="1"/>
  <c r="N1244" i="1"/>
  <c r="N1251" i="1"/>
  <c r="N1239" i="1"/>
  <c r="M1250" i="1"/>
  <c r="N1250" i="1" s="1"/>
  <c r="M1244" i="1"/>
  <c r="M1243" i="1"/>
  <c r="N1243" i="1" s="1"/>
  <c r="M1251" i="1"/>
  <c r="M1239" i="1"/>
  <c r="M1253" i="1"/>
  <c r="N1253" i="1" s="1"/>
  <c r="M1258" i="1"/>
  <c r="N1258" i="1" s="1"/>
  <c r="M1247" i="1"/>
  <c r="N1247" i="1" s="1"/>
  <c r="M1259" i="1"/>
  <c r="N1259" i="1" s="1"/>
  <c r="M1240" i="1"/>
  <c r="N1240" i="1" s="1"/>
  <c r="M1242" i="1"/>
  <c r="N1242" i="1" s="1"/>
  <c r="M1245" i="1"/>
  <c r="N1245" i="1" s="1"/>
  <c r="M1255" i="1"/>
  <c r="N1255" i="1" s="1"/>
  <c r="M1241" i="1"/>
  <c r="N1241" i="1" s="1"/>
  <c r="M1248" i="1"/>
  <c r="N1248" i="1" s="1"/>
  <c r="M1246" i="1"/>
  <c r="N1246" i="1" s="1"/>
  <c r="M1256" i="1"/>
  <c r="N1256" i="1" s="1"/>
  <c r="M1254" i="1"/>
  <c r="N1254" i="1" s="1"/>
  <c r="M1267" i="1"/>
  <c r="N1267" i="1" s="1"/>
  <c r="M1262" i="1"/>
  <c r="N1262" i="1" s="1"/>
  <c r="M1268" i="1"/>
  <c r="N1268" i="1" s="1"/>
  <c r="M1269" i="1"/>
  <c r="N1269" i="1" s="1"/>
  <c r="M1270" i="1"/>
  <c r="N1270" i="1" s="1"/>
  <c r="M1271" i="1"/>
  <c r="N1271" i="1" s="1"/>
  <c r="M1260" i="1"/>
  <c r="N1260" i="1" s="1"/>
  <c r="M1277" i="1"/>
  <c r="N1277" i="1" s="1"/>
  <c r="M1274" i="1"/>
  <c r="N1274" i="1" s="1"/>
  <c r="M1261" i="1"/>
  <c r="N1261" i="1" s="1"/>
  <c r="M1272" i="1"/>
  <c r="N1272" i="1" s="1"/>
  <c r="G1252" i="1"/>
  <c r="G1250" i="1"/>
  <c r="P1250" i="1" s="1"/>
  <c r="G1244" i="1"/>
  <c r="P1244" i="1" s="1"/>
  <c r="G1243" i="1"/>
  <c r="P1243" i="1" s="1"/>
  <c r="G1251" i="1"/>
  <c r="P1251" i="1" s="1"/>
  <c r="G1239" i="1"/>
  <c r="P1239" i="1" s="1"/>
  <c r="G1253" i="1"/>
  <c r="P1253" i="1" s="1"/>
  <c r="G1258" i="1"/>
  <c r="P1258" i="1" s="1"/>
  <c r="G1247" i="1"/>
  <c r="P1247" i="1" s="1"/>
  <c r="G1259" i="1"/>
  <c r="P1259" i="1" s="1"/>
  <c r="G1240" i="1"/>
  <c r="P1240" i="1" s="1"/>
  <c r="G1242" i="1"/>
  <c r="P1242" i="1" s="1"/>
  <c r="G1245" i="1"/>
  <c r="P1245" i="1" s="1"/>
  <c r="G1255" i="1"/>
  <c r="P1255" i="1" s="1"/>
  <c r="G1241" i="1"/>
  <c r="P1241" i="1" s="1"/>
  <c r="G1248" i="1"/>
  <c r="P1248" i="1" s="1"/>
  <c r="G1246" i="1"/>
  <c r="P1246" i="1" s="1"/>
  <c r="G1256" i="1"/>
  <c r="P1256" i="1" s="1"/>
  <c r="G1254" i="1"/>
  <c r="P1254" i="1" s="1"/>
  <c r="G1267" i="1"/>
  <c r="P1267" i="1" s="1"/>
  <c r="G1262" i="1"/>
  <c r="P1262" i="1" s="1"/>
  <c r="G1268" i="1"/>
  <c r="P1268" i="1" s="1"/>
  <c r="G1269" i="1"/>
  <c r="P1269" i="1" s="1"/>
  <c r="G1270" i="1"/>
  <c r="P1270" i="1" s="1"/>
  <c r="G1271" i="1"/>
  <c r="P1271" i="1" s="1"/>
  <c r="G1260" i="1"/>
  <c r="P1260" i="1" s="1"/>
  <c r="G1277" i="1"/>
  <c r="P1277" i="1" s="1"/>
  <c r="G1274" i="1"/>
  <c r="P1274" i="1" s="1"/>
  <c r="G1261" i="1"/>
  <c r="P1261" i="1" s="1"/>
  <c r="G1272" i="1"/>
  <c r="P1272" i="1" s="1"/>
  <c r="P1252" i="1" l="1"/>
  <c r="O1227" i="1"/>
  <c r="O1237" i="1"/>
  <c r="O1226" i="1"/>
  <c r="O1228" i="1"/>
  <c r="O1229" i="1"/>
  <c r="O1232" i="1"/>
  <c r="O1236" i="1"/>
  <c r="O1223" i="1"/>
  <c r="O1257" i="1"/>
  <c r="O1249" i="1"/>
  <c r="O1252" i="1"/>
  <c r="N1223" i="1"/>
  <c r="M1227" i="1"/>
  <c r="N1227" i="1" s="1"/>
  <c r="M1237" i="1"/>
  <c r="N1237" i="1" s="1"/>
  <c r="M1226" i="1"/>
  <c r="N1226" i="1" s="1"/>
  <c r="M1228" i="1"/>
  <c r="N1228" i="1" s="1"/>
  <c r="M1229" i="1"/>
  <c r="N1229" i="1" s="1"/>
  <c r="M1232" i="1"/>
  <c r="N1232" i="1" s="1"/>
  <c r="M1236" i="1"/>
  <c r="N1236" i="1" s="1"/>
  <c r="M1223" i="1"/>
  <c r="M1257" i="1"/>
  <c r="N1257" i="1" s="1"/>
  <c r="M1249" i="1"/>
  <c r="N1249" i="1" s="1"/>
  <c r="M1252" i="1"/>
  <c r="N1252" i="1" s="1"/>
  <c r="G1227" i="1"/>
  <c r="P1227" i="1" s="1"/>
  <c r="G1237" i="1"/>
  <c r="P1237" i="1" s="1"/>
  <c r="G1226" i="1"/>
  <c r="P1226" i="1" s="1"/>
  <c r="G1228" i="1"/>
  <c r="P1228" i="1" s="1"/>
  <c r="G1229" i="1"/>
  <c r="P1229" i="1" s="1"/>
  <c r="G1232" i="1"/>
  <c r="P1232" i="1" s="1"/>
  <c r="G1236" i="1"/>
  <c r="P1236" i="1" s="1"/>
  <c r="G1223" i="1"/>
  <c r="P1223" i="1" s="1"/>
  <c r="G1257" i="1"/>
  <c r="P1257" i="1" s="1"/>
  <c r="G1249" i="1"/>
  <c r="P1249" i="1" s="1"/>
  <c r="O255" i="1" l="1"/>
  <c r="O1202" i="1" l="1"/>
  <c r="O1216" i="1"/>
  <c r="O1209" i="1"/>
  <c r="O1213" i="1"/>
  <c r="O1212" i="1"/>
  <c r="O1210" i="1"/>
  <c r="O1208" i="1"/>
  <c r="O1203" i="1"/>
  <c r="O1217" i="1"/>
  <c r="O1214" i="1"/>
  <c r="O1207" i="1"/>
  <c r="O1215" i="1"/>
  <c r="O1218" i="1"/>
  <c r="O1206" i="1"/>
  <c r="O1219" i="1"/>
  <c r="O1211" i="1"/>
  <c r="O1204" i="1"/>
  <c r="O1201" i="1"/>
  <c r="O1238" i="1"/>
  <c r="O1220" i="1"/>
  <c r="O1225" i="1"/>
  <c r="O1224" i="1"/>
  <c r="O1233" i="1"/>
  <c r="O1222" i="1"/>
  <c r="O1231" i="1"/>
  <c r="O1234" i="1"/>
  <c r="O1230" i="1"/>
  <c r="O1235" i="1"/>
  <c r="O1221" i="1"/>
  <c r="M1202" i="1"/>
  <c r="N1202" i="1" s="1"/>
  <c r="M1216" i="1"/>
  <c r="N1216" i="1" s="1"/>
  <c r="M1209" i="1"/>
  <c r="N1209" i="1" s="1"/>
  <c r="M1213" i="1"/>
  <c r="N1213" i="1" s="1"/>
  <c r="M1212" i="1"/>
  <c r="N1212" i="1" s="1"/>
  <c r="M1210" i="1"/>
  <c r="N1210" i="1" s="1"/>
  <c r="M1208" i="1"/>
  <c r="N1208" i="1" s="1"/>
  <c r="M1203" i="1"/>
  <c r="N1203" i="1" s="1"/>
  <c r="M1217" i="1"/>
  <c r="N1217" i="1" s="1"/>
  <c r="M1214" i="1"/>
  <c r="N1214" i="1" s="1"/>
  <c r="M1207" i="1"/>
  <c r="N1207" i="1" s="1"/>
  <c r="M1215" i="1"/>
  <c r="N1215" i="1" s="1"/>
  <c r="M1218" i="1"/>
  <c r="N1218" i="1" s="1"/>
  <c r="M1206" i="1"/>
  <c r="N1206" i="1" s="1"/>
  <c r="M1219" i="1"/>
  <c r="N1219" i="1" s="1"/>
  <c r="M1211" i="1"/>
  <c r="N1211" i="1" s="1"/>
  <c r="M1204" i="1"/>
  <c r="N1204" i="1" s="1"/>
  <c r="M1201" i="1"/>
  <c r="N1201" i="1" s="1"/>
  <c r="M1238" i="1"/>
  <c r="N1238" i="1" s="1"/>
  <c r="M1220" i="1"/>
  <c r="N1220" i="1" s="1"/>
  <c r="M1225" i="1"/>
  <c r="N1225" i="1" s="1"/>
  <c r="M1224" i="1"/>
  <c r="N1224" i="1" s="1"/>
  <c r="M1233" i="1"/>
  <c r="N1233" i="1" s="1"/>
  <c r="M1222" i="1"/>
  <c r="N1222" i="1" s="1"/>
  <c r="M1231" i="1"/>
  <c r="N1231" i="1" s="1"/>
  <c r="M1234" i="1"/>
  <c r="N1234" i="1" s="1"/>
  <c r="M1230" i="1"/>
  <c r="N1230" i="1" s="1"/>
  <c r="M1235" i="1"/>
  <c r="N1235" i="1" s="1"/>
  <c r="M1221" i="1"/>
  <c r="N1221" i="1" s="1"/>
  <c r="G1202" i="1"/>
  <c r="P1202" i="1" s="1"/>
  <c r="G1216" i="1"/>
  <c r="P1216" i="1" s="1"/>
  <c r="G1209" i="1"/>
  <c r="P1209" i="1" s="1"/>
  <c r="G1213" i="1"/>
  <c r="P1213" i="1" s="1"/>
  <c r="G1212" i="1"/>
  <c r="P1212" i="1" s="1"/>
  <c r="G1210" i="1"/>
  <c r="P1210" i="1" s="1"/>
  <c r="G1208" i="1"/>
  <c r="P1208" i="1" s="1"/>
  <c r="G1203" i="1"/>
  <c r="P1203" i="1" s="1"/>
  <c r="G1217" i="1"/>
  <c r="P1217" i="1" s="1"/>
  <c r="G1214" i="1"/>
  <c r="P1214" i="1" s="1"/>
  <c r="G1207" i="1"/>
  <c r="P1207" i="1" s="1"/>
  <c r="G1215" i="1"/>
  <c r="P1215" i="1" s="1"/>
  <c r="G1218" i="1"/>
  <c r="P1218" i="1" s="1"/>
  <c r="G1206" i="1"/>
  <c r="P1206" i="1" s="1"/>
  <c r="G1219" i="1"/>
  <c r="P1219" i="1" s="1"/>
  <c r="G1211" i="1"/>
  <c r="P1211" i="1" s="1"/>
  <c r="G1204" i="1"/>
  <c r="P1204" i="1" s="1"/>
  <c r="G1201" i="1"/>
  <c r="P1201" i="1" s="1"/>
  <c r="G1238" i="1"/>
  <c r="P1238" i="1" s="1"/>
  <c r="G1220" i="1"/>
  <c r="P1220" i="1" s="1"/>
  <c r="G1225" i="1"/>
  <c r="P1225" i="1" s="1"/>
  <c r="G1224" i="1"/>
  <c r="P1224" i="1" s="1"/>
  <c r="G1233" i="1"/>
  <c r="P1233" i="1" s="1"/>
  <c r="G1222" i="1"/>
  <c r="P1222" i="1" s="1"/>
  <c r="G1231" i="1"/>
  <c r="P1231" i="1" s="1"/>
  <c r="G1234" i="1"/>
  <c r="P1234" i="1" s="1"/>
  <c r="G1230" i="1"/>
  <c r="P1230" i="1" s="1"/>
  <c r="G1235" i="1"/>
  <c r="P1235" i="1" s="1"/>
  <c r="G1221" i="1"/>
  <c r="P1221" i="1" s="1"/>
  <c r="G1205" i="1"/>
  <c r="O1117" i="1" l="1"/>
  <c r="O1110" i="1"/>
  <c r="O1104" i="1"/>
  <c r="O1113" i="1"/>
  <c r="O1105" i="1"/>
  <c r="O1108" i="1"/>
  <c r="O1109" i="1"/>
  <c r="O1107" i="1"/>
  <c r="O1101" i="1"/>
  <c r="O1115" i="1"/>
  <c r="O1102" i="1"/>
  <c r="O1116" i="1"/>
  <c r="O1111" i="1"/>
  <c r="O1112" i="1"/>
  <c r="O1103" i="1"/>
  <c r="O1100" i="1"/>
  <c r="O1131" i="1"/>
  <c r="O1133" i="1"/>
  <c r="O1132" i="1"/>
  <c r="O1123" i="1"/>
  <c r="O1124" i="1"/>
  <c r="O1119" i="1"/>
  <c r="O1130" i="1"/>
  <c r="O1127" i="1"/>
  <c r="O1128" i="1"/>
  <c r="O1125" i="1"/>
  <c r="O1121" i="1"/>
  <c r="O1118" i="1"/>
  <c r="O1126" i="1"/>
  <c r="O1120" i="1"/>
  <c r="O1129" i="1"/>
  <c r="O1122" i="1"/>
  <c r="O1137" i="1"/>
  <c r="O1135" i="1"/>
  <c r="O1144" i="1"/>
  <c r="O1134" i="1"/>
  <c r="O1147" i="1"/>
  <c r="O1142" i="1"/>
  <c r="O1141" i="1"/>
  <c r="O1139" i="1"/>
  <c r="O1138" i="1"/>
  <c r="O1136" i="1"/>
  <c r="O1140" i="1"/>
  <c r="O1148" i="1"/>
  <c r="O1146" i="1"/>
  <c r="O1143" i="1"/>
  <c r="O1145" i="1"/>
  <c r="O1156" i="1"/>
  <c r="O1163" i="1"/>
  <c r="O1162" i="1"/>
  <c r="O1165" i="1"/>
  <c r="O1164" i="1"/>
  <c r="O1149" i="1"/>
  <c r="O1150" i="1"/>
  <c r="O1152" i="1"/>
  <c r="O1153" i="1"/>
  <c r="O1151" i="1"/>
  <c r="O1154" i="1"/>
  <c r="O1155" i="1"/>
  <c r="O1158" i="1"/>
  <c r="O1159" i="1"/>
  <c r="O1166" i="1"/>
  <c r="O1168" i="1"/>
  <c r="O1157" i="1"/>
  <c r="O1161" i="1"/>
  <c r="O1160" i="1"/>
  <c r="O1167" i="1"/>
  <c r="O1172" i="1"/>
  <c r="O1183" i="1"/>
  <c r="O1180" i="1"/>
  <c r="O1178" i="1"/>
  <c r="O1185" i="1"/>
  <c r="O1177" i="1"/>
  <c r="O1182" i="1"/>
  <c r="O1179" i="1"/>
  <c r="O1187" i="1"/>
  <c r="O1170" i="1"/>
  <c r="O1174" i="1"/>
  <c r="O1175" i="1"/>
  <c r="O1176" i="1"/>
  <c r="O1186" i="1"/>
  <c r="O1181" i="1"/>
  <c r="O1184" i="1"/>
  <c r="O1171" i="1"/>
  <c r="O1169" i="1"/>
  <c r="O1173" i="1"/>
  <c r="O1189" i="1"/>
  <c r="O1194" i="1"/>
  <c r="O1200" i="1"/>
  <c r="O1199" i="1"/>
  <c r="O1190" i="1"/>
  <c r="O1193" i="1"/>
  <c r="O1188" i="1"/>
  <c r="O1197" i="1"/>
  <c r="O1192" i="1"/>
  <c r="O1195" i="1"/>
  <c r="O1191" i="1"/>
  <c r="O1198" i="1"/>
  <c r="O1196" i="1"/>
  <c r="O1205" i="1"/>
  <c r="M1117" i="1"/>
  <c r="N1117" i="1" s="1"/>
  <c r="M1110" i="1"/>
  <c r="N1110" i="1" s="1"/>
  <c r="M1104" i="1"/>
  <c r="N1104" i="1" s="1"/>
  <c r="M1113" i="1"/>
  <c r="N1113" i="1" s="1"/>
  <c r="M1105" i="1"/>
  <c r="N1105" i="1" s="1"/>
  <c r="M1108" i="1"/>
  <c r="N1108" i="1" s="1"/>
  <c r="M1109" i="1"/>
  <c r="N1109" i="1" s="1"/>
  <c r="M1107" i="1"/>
  <c r="N1107" i="1" s="1"/>
  <c r="M1101" i="1"/>
  <c r="N1101" i="1" s="1"/>
  <c r="M1115" i="1"/>
  <c r="N1115" i="1" s="1"/>
  <c r="M1102" i="1"/>
  <c r="N1102" i="1" s="1"/>
  <c r="M1116" i="1"/>
  <c r="N1116" i="1" s="1"/>
  <c r="M1111" i="1"/>
  <c r="N1111" i="1" s="1"/>
  <c r="M1112" i="1"/>
  <c r="N1112" i="1" s="1"/>
  <c r="M1103" i="1"/>
  <c r="N1103" i="1" s="1"/>
  <c r="M1100" i="1"/>
  <c r="N1100" i="1" s="1"/>
  <c r="M1131" i="1"/>
  <c r="N1131" i="1" s="1"/>
  <c r="M1133" i="1"/>
  <c r="N1133" i="1" s="1"/>
  <c r="M1132" i="1"/>
  <c r="N1132" i="1" s="1"/>
  <c r="M1123" i="1"/>
  <c r="N1123" i="1" s="1"/>
  <c r="M1124" i="1"/>
  <c r="N1124" i="1" s="1"/>
  <c r="M1119" i="1"/>
  <c r="N1119" i="1" s="1"/>
  <c r="M1130" i="1"/>
  <c r="N1130" i="1" s="1"/>
  <c r="M1127" i="1"/>
  <c r="N1127" i="1" s="1"/>
  <c r="M1128" i="1"/>
  <c r="N1128" i="1" s="1"/>
  <c r="M1125" i="1"/>
  <c r="N1125" i="1" s="1"/>
  <c r="M1121" i="1"/>
  <c r="N1121" i="1" s="1"/>
  <c r="M1118" i="1"/>
  <c r="N1118" i="1" s="1"/>
  <c r="M1126" i="1"/>
  <c r="N1126" i="1" s="1"/>
  <c r="M1120" i="1"/>
  <c r="N1120" i="1" s="1"/>
  <c r="M1129" i="1"/>
  <c r="N1129" i="1" s="1"/>
  <c r="M1122" i="1"/>
  <c r="N1122" i="1" s="1"/>
  <c r="M1137" i="1"/>
  <c r="N1137" i="1" s="1"/>
  <c r="M1135" i="1"/>
  <c r="N1135" i="1" s="1"/>
  <c r="M1144" i="1"/>
  <c r="N1144" i="1" s="1"/>
  <c r="M1134" i="1"/>
  <c r="N1134" i="1" s="1"/>
  <c r="M1147" i="1"/>
  <c r="N1147" i="1" s="1"/>
  <c r="M1142" i="1"/>
  <c r="N1142" i="1" s="1"/>
  <c r="M1141" i="1"/>
  <c r="N1141" i="1" s="1"/>
  <c r="M1139" i="1"/>
  <c r="N1139" i="1" s="1"/>
  <c r="M1138" i="1"/>
  <c r="N1138" i="1" s="1"/>
  <c r="M1136" i="1"/>
  <c r="N1136" i="1" s="1"/>
  <c r="M1140" i="1"/>
  <c r="N1140" i="1" s="1"/>
  <c r="M1148" i="1"/>
  <c r="N1148" i="1" s="1"/>
  <c r="M1146" i="1"/>
  <c r="N1146" i="1" s="1"/>
  <c r="M1143" i="1"/>
  <c r="N1143" i="1" s="1"/>
  <c r="M1145" i="1"/>
  <c r="N1145" i="1" s="1"/>
  <c r="M1156" i="1"/>
  <c r="N1156" i="1" s="1"/>
  <c r="M1163" i="1"/>
  <c r="N1163" i="1" s="1"/>
  <c r="M1162" i="1"/>
  <c r="N1162" i="1" s="1"/>
  <c r="M1165" i="1"/>
  <c r="N1165" i="1" s="1"/>
  <c r="M1164" i="1"/>
  <c r="N1164" i="1" s="1"/>
  <c r="M1149" i="1"/>
  <c r="N1149" i="1" s="1"/>
  <c r="M1150" i="1"/>
  <c r="N1150" i="1" s="1"/>
  <c r="M1152" i="1"/>
  <c r="N1152" i="1" s="1"/>
  <c r="M1153" i="1"/>
  <c r="N1153" i="1" s="1"/>
  <c r="M1151" i="1"/>
  <c r="N1151" i="1" s="1"/>
  <c r="M1154" i="1"/>
  <c r="N1154" i="1" s="1"/>
  <c r="M1155" i="1"/>
  <c r="N1155" i="1" s="1"/>
  <c r="M1158" i="1"/>
  <c r="N1158" i="1" s="1"/>
  <c r="M1159" i="1"/>
  <c r="N1159" i="1" s="1"/>
  <c r="M1166" i="1"/>
  <c r="N1166" i="1" s="1"/>
  <c r="M1168" i="1"/>
  <c r="N1168" i="1" s="1"/>
  <c r="M1157" i="1"/>
  <c r="N1157" i="1" s="1"/>
  <c r="M1161" i="1"/>
  <c r="N1161" i="1" s="1"/>
  <c r="M1160" i="1"/>
  <c r="N1160" i="1" s="1"/>
  <c r="M1167" i="1"/>
  <c r="N1167" i="1" s="1"/>
  <c r="M1172" i="1"/>
  <c r="N1172" i="1" s="1"/>
  <c r="M1183" i="1"/>
  <c r="N1183" i="1" s="1"/>
  <c r="M1180" i="1"/>
  <c r="N1180" i="1" s="1"/>
  <c r="M1178" i="1"/>
  <c r="N1178" i="1" s="1"/>
  <c r="M1185" i="1"/>
  <c r="N1185" i="1" s="1"/>
  <c r="M1177" i="1"/>
  <c r="N1177" i="1" s="1"/>
  <c r="M1182" i="1"/>
  <c r="N1182" i="1" s="1"/>
  <c r="M1179" i="1"/>
  <c r="N1179" i="1" s="1"/>
  <c r="M1187" i="1"/>
  <c r="N1187" i="1" s="1"/>
  <c r="M1170" i="1"/>
  <c r="N1170" i="1" s="1"/>
  <c r="M1174" i="1"/>
  <c r="N1174" i="1" s="1"/>
  <c r="M1175" i="1"/>
  <c r="N1175" i="1" s="1"/>
  <c r="M1176" i="1"/>
  <c r="N1176" i="1" s="1"/>
  <c r="M1186" i="1"/>
  <c r="N1186" i="1" s="1"/>
  <c r="M1181" i="1"/>
  <c r="N1181" i="1" s="1"/>
  <c r="M1184" i="1"/>
  <c r="N1184" i="1" s="1"/>
  <c r="M1171" i="1"/>
  <c r="N1171" i="1" s="1"/>
  <c r="M1169" i="1"/>
  <c r="N1169" i="1" s="1"/>
  <c r="M1173" i="1"/>
  <c r="N1173" i="1" s="1"/>
  <c r="M1189" i="1"/>
  <c r="N1189" i="1" s="1"/>
  <c r="M1194" i="1"/>
  <c r="N1194" i="1" s="1"/>
  <c r="M1200" i="1"/>
  <c r="N1200" i="1" s="1"/>
  <c r="M1199" i="1"/>
  <c r="N1199" i="1" s="1"/>
  <c r="M1190" i="1"/>
  <c r="N1190" i="1" s="1"/>
  <c r="M1193" i="1"/>
  <c r="N1193" i="1" s="1"/>
  <c r="M1188" i="1"/>
  <c r="N1188" i="1" s="1"/>
  <c r="M1197" i="1"/>
  <c r="N1197" i="1" s="1"/>
  <c r="M1192" i="1"/>
  <c r="N1192" i="1" s="1"/>
  <c r="M1195" i="1"/>
  <c r="N1195" i="1" s="1"/>
  <c r="M1191" i="1"/>
  <c r="N1191" i="1" s="1"/>
  <c r="M1198" i="1"/>
  <c r="N1198" i="1" s="1"/>
  <c r="M1196" i="1"/>
  <c r="N1196" i="1" s="1"/>
  <c r="M1205" i="1"/>
  <c r="N1205" i="1" s="1"/>
  <c r="G1117" i="1"/>
  <c r="P1117" i="1" s="1"/>
  <c r="G1110" i="1"/>
  <c r="P1110" i="1" s="1"/>
  <c r="G1104" i="1"/>
  <c r="P1104" i="1" s="1"/>
  <c r="G1113" i="1"/>
  <c r="P1113" i="1" s="1"/>
  <c r="G1105" i="1"/>
  <c r="P1105" i="1" s="1"/>
  <c r="G1108" i="1"/>
  <c r="P1108" i="1" s="1"/>
  <c r="G1109" i="1"/>
  <c r="P1109" i="1" s="1"/>
  <c r="G1107" i="1"/>
  <c r="P1107" i="1" s="1"/>
  <c r="G1101" i="1"/>
  <c r="P1101" i="1" s="1"/>
  <c r="G1115" i="1"/>
  <c r="P1115" i="1" s="1"/>
  <c r="G1102" i="1"/>
  <c r="P1102" i="1" s="1"/>
  <c r="G1116" i="1"/>
  <c r="P1116" i="1" s="1"/>
  <c r="G1111" i="1"/>
  <c r="P1111" i="1" s="1"/>
  <c r="G1112" i="1"/>
  <c r="P1112" i="1" s="1"/>
  <c r="G1103" i="1"/>
  <c r="P1103" i="1" s="1"/>
  <c r="G1100" i="1"/>
  <c r="P1100" i="1" s="1"/>
  <c r="G1131" i="1"/>
  <c r="P1131" i="1" s="1"/>
  <c r="G1133" i="1"/>
  <c r="P1133" i="1" s="1"/>
  <c r="G1132" i="1"/>
  <c r="P1132" i="1" s="1"/>
  <c r="G1123" i="1"/>
  <c r="P1123" i="1" s="1"/>
  <c r="G1124" i="1"/>
  <c r="P1124" i="1" s="1"/>
  <c r="G1119" i="1"/>
  <c r="P1119" i="1" s="1"/>
  <c r="G1130" i="1"/>
  <c r="P1130" i="1" s="1"/>
  <c r="G1127" i="1"/>
  <c r="P1127" i="1" s="1"/>
  <c r="G1128" i="1"/>
  <c r="P1128" i="1" s="1"/>
  <c r="G1125" i="1"/>
  <c r="P1125" i="1" s="1"/>
  <c r="G1121" i="1"/>
  <c r="P1121" i="1" s="1"/>
  <c r="G1118" i="1"/>
  <c r="P1118" i="1" s="1"/>
  <c r="G1126" i="1"/>
  <c r="P1126" i="1" s="1"/>
  <c r="G1120" i="1"/>
  <c r="P1120" i="1" s="1"/>
  <c r="G1129" i="1"/>
  <c r="P1129" i="1" s="1"/>
  <c r="G1122" i="1"/>
  <c r="P1122" i="1" s="1"/>
  <c r="G1137" i="1"/>
  <c r="P1137" i="1" s="1"/>
  <c r="G1135" i="1"/>
  <c r="P1135" i="1" s="1"/>
  <c r="G1144" i="1"/>
  <c r="P1144" i="1" s="1"/>
  <c r="G1134" i="1"/>
  <c r="P1134" i="1" s="1"/>
  <c r="G1147" i="1"/>
  <c r="P1147" i="1" s="1"/>
  <c r="G1142" i="1"/>
  <c r="P1142" i="1" s="1"/>
  <c r="G1141" i="1"/>
  <c r="P1141" i="1" s="1"/>
  <c r="G1139" i="1"/>
  <c r="P1139" i="1" s="1"/>
  <c r="G1138" i="1"/>
  <c r="P1138" i="1" s="1"/>
  <c r="G1136" i="1"/>
  <c r="P1136" i="1" s="1"/>
  <c r="G1140" i="1"/>
  <c r="P1140" i="1" s="1"/>
  <c r="G1148" i="1"/>
  <c r="P1148" i="1" s="1"/>
  <c r="G1146" i="1"/>
  <c r="P1146" i="1" s="1"/>
  <c r="G1143" i="1"/>
  <c r="P1143" i="1" s="1"/>
  <c r="G1145" i="1"/>
  <c r="P1145" i="1" s="1"/>
  <c r="G1156" i="1"/>
  <c r="P1156" i="1" s="1"/>
  <c r="G1163" i="1"/>
  <c r="P1163" i="1" s="1"/>
  <c r="G1162" i="1"/>
  <c r="P1162" i="1" s="1"/>
  <c r="G1165" i="1"/>
  <c r="P1165" i="1" s="1"/>
  <c r="G1164" i="1"/>
  <c r="P1164" i="1" s="1"/>
  <c r="G1149" i="1"/>
  <c r="P1149" i="1" s="1"/>
  <c r="G1150" i="1"/>
  <c r="P1150" i="1" s="1"/>
  <c r="G1152" i="1"/>
  <c r="P1152" i="1" s="1"/>
  <c r="G1153" i="1"/>
  <c r="P1153" i="1" s="1"/>
  <c r="G1151" i="1"/>
  <c r="P1151" i="1" s="1"/>
  <c r="G1154" i="1"/>
  <c r="P1154" i="1" s="1"/>
  <c r="G1155" i="1"/>
  <c r="P1155" i="1" s="1"/>
  <c r="G1158" i="1"/>
  <c r="P1158" i="1" s="1"/>
  <c r="G1159" i="1"/>
  <c r="P1159" i="1" s="1"/>
  <c r="G1166" i="1"/>
  <c r="P1166" i="1" s="1"/>
  <c r="G1168" i="1"/>
  <c r="P1168" i="1" s="1"/>
  <c r="G1157" i="1"/>
  <c r="P1157" i="1" s="1"/>
  <c r="G1161" i="1"/>
  <c r="P1161" i="1" s="1"/>
  <c r="G1160" i="1"/>
  <c r="P1160" i="1" s="1"/>
  <c r="G1167" i="1"/>
  <c r="P1167" i="1" s="1"/>
  <c r="G1172" i="1"/>
  <c r="P1172" i="1" s="1"/>
  <c r="G1183" i="1"/>
  <c r="P1183" i="1" s="1"/>
  <c r="G1180" i="1"/>
  <c r="P1180" i="1" s="1"/>
  <c r="G1178" i="1"/>
  <c r="P1178" i="1" s="1"/>
  <c r="G1185" i="1"/>
  <c r="P1185" i="1" s="1"/>
  <c r="G1177" i="1"/>
  <c r="P1177" i="1" s="1"/>
  <c r="G1182" i="1"/>
  <c r="P1182" i="1" s="1"/>
  <c r="G1179" i="1"/>
  <c r="P1179" i="1" s="1"/>
  <c r="G1187" i="1"/>
  <c r="P1187" i="1" s="1"/>
  <c r="G1170" i="1"/>
  <c r="P1170" i="1" s="1"/>
  <c r="G1174" i="1"/>
  <c r="P1174" i="1" s="1"/>
  <c r="G1175" i="1"/>
  <c r="P1175" i="1" s="1"/>
  <c r="G1176" i="1"/>
  <c r="P1176" i="1" s="1"/>
  <c r="G1186" i="1"/>
  <c r="P1186" i="1" s="1"/>
  <c r="G1181" i="1"/>
  <c r="P1181" i="1" s="1"/>
  <c r="G1184" i="1"/>
  <c r="P1184" i="1" s="1"/>
  <c r="G1171" i="1"/>
  <c r="P1171" i="1" s="1"/>
  <c r="G1169" i="1"/>
  <c r="P1169" i="1" s="1"/>
  <c r="G1173" i="1"/>
  <c r="P1173" i="1" s="1"/>
  <c r="G1189" i="1"/>
  <c r="P1189" i="1" s="1"/>
  <c r="G1194" i="1"/>
  <c r="P1194" i="1" s="1"/>
  <c r="G1200" i="1"/>
  <c r="P1200" i="1" s="1"/>
  <c r="G1199" i="1"/>
  <c r="P1199" i="1" s="1"/>
  <c r="G1190" i="1"/>
  <c r="P1190" i="1" s="1"/>
  <c r="G1193" i="1"/>
  <c r="P1193" i="1" s="1"/>
  <c r="G1188" i="1"/>
  <c r="P1188" i="1" s="1"/>
  <c r="G1197" i="1"/>
  <c r="P1197" i="1" s="1"/>
  <c r="G1192" i="1"/>
  <c r="P1192" i="1" s="1"/>
  <c r="G1195" i="1"/>
  <c r="P1195" i="1" s="1"/>
  <c r="G1191" i="1"/>
  <c r="P1191" i="1" s="1"/>
  <c r="G1198" i="1"/>
  <c r="P1198" i="1" s="1"/>
  <c r="G1196" i="1"/>
  <c r="P1196" i="1" s="1"/>
  <c r="P1205" i="1"/>
  <c r="M1058" i="1" l="1"/>
  <c r="M1048" i="1"/>
  <c r="M903" i="1" l="1"/>
  <c r="O901" i="1"/>
  <c r="O892" i="1"/>
  <c r="O894" i="1"/>
  <c r="O903" i="1"/>
  <c r="O917" i="1"/>
  <c r="O909" i="1"/>
  <c r="O906" i="1"/>
  <c r="O913" i="1"/>
  <c r="O911" i="1"/>
  <c r="O920" i="1"/>
  <c r="O914" i="1"/>
  <c r="O919" i="1"/>
  <c r="O916" i="1"/>
  <c r="O918" i="1"/>
  <c r="O910" i="1"/>
  <c r="O915" i="1"/>
  <c r="O912" i="1"/>
  <c r="O908" i="1"/>
  <c r="O907" i="1"/>
  <c r="O921" i="1"/>
  <c r="O922" i="1"/>
  <c r="O928" i="1"/>
  <c r="O930" i="1"/>
  <c r="O931" i="1"/>
  <c r="O932" i="1"/>
  <c r="O929" i="1"/>
  <c r="O923" i="1"/>
  <c r="O926" i="1"/>
  <c r="O927" i="1"/>
  <c r="O925" i="1"/>
  <c r="O924" i="1"/>
  <c r="O934" i="1"/>
  <c r="O940" i="1"/>
  <c r="O935" i="1"/>
  <c r="O937" i="1"/>
  <c r="O933" i="1"/>
  <c r="O936" i="1"/>
  <c r="O939" i="1"/>
  <c r="O938" i="1"/>
  <c r="O942" i="1"/>
  <c r="O943" i="1"/>
  <c r="O944" i="1"/>
  <c r="O941" i="1"/>
  <c r="O951" i="1"/>
  <c r="O948" i="1"/>
  <c r="O953" i="1"/>
  <c r="O955" i="1"/>
  <c r="O945" i="1"/>
  <c r="O956" i="1"/>
  <c r="O954" i="1"/>
  <c r="O946" i="1"/>
  <c r="O959" i="1"/>
  <c r="O947" i="1"/>
  <c r="O960" i="1"/>
  <c r="O952" i="1"/>
  <c r="O958" i="1"/>
  <c r="O950" i="1"/>
  <c r="O949" i="1"/>
  <c r="O957" i="1"/>
  <c r="O965" i="1"/>
  <c r="O961" i="1"/>
  <c r="O969" i="1"/>
  <c r="O971" i="1"/>
  <c r="O968" i="1"/>
  <c r="O970" i="1"/>
  <c r="O966" i="1"/>
  <c r="O962" i="1"/>
  <c r="O964" i="1"/>
  <c r="O967" i="1"/>
  <c r="O963" i="1"/>
  <c r="O976" i="1"/>
  <c r="O981" i="1"/>
  <c r="O985" i="1"/>
  <c r="O972" i="1"/>
  <c r="O975" i="1"/>
  <c r="O980" i="1"/>
  <c r="O974" i="1"/>
  <c r="O986" i="1"/>
  <c r="O982" i="1"/>
  <c r="O983" i="1"/>
  <c r="O984" i="1"/>
  <c r="O987" i="1"/>
  <c r="O977" i="1"/>
  <c r="O973" i="1"/>
  <c r="O979" i="1"/>
  <c r="O978" i="1"/>
  <c r="O1005" i="1"/>
  <c r="O997" i="1"/>
  <c r="O1002" i="1"/>
  <c r="O995" i="1"/>
  <c r="O1003" i="1"/>
  <c r="O991" i="1"/>
  <c r="O999" i="1"/>
  <c r="O1004" i="1"/>
  <c r="O988" i="1"/>
  <c r="O996" i="1"/>
  <c r="O1008" i="1"/>
  <c r="O1001" i="1"/>
  <c r="O998" i="1"/>
  <c r="O1000" i="1"/>
  <c r="O1006" i="1"/>
  <c r="O992" i="1"/>
  <c r="O989" i="1"/>
  <c r="O1007" i="1"/>
  <c r="O994" i="1"/>
  <c r="O990" i="1"/>
  <c r="O993" i="1"/>
  <c r="O1010" i="1"/>
  <c r="O1012" i="1"/>
  <c r="O1029" i="1"/>
  <c r="O1014" i="1"/>
  <c r="O1009" i="1"/>
  <c r="O1013" i="1"/>
  <c r="O1021" i="1"/>
  <c r="O1020" i="1"/>
  <c r="O1028" i="1"/>
  <c r="O1023" i="1"/>
  <c r="O1026" i="1"/>
  <c r="O1016" i="1"/>
  <c r="O1011" i="1"/>
  <c r="O1018" i="1"/>
  <c r="O1024" i="1"/>
  <c r="O1027" i="1"/>
  <c r="O1017" i="1"/>
  <c r="O1022" i="1"/>
  <c r="O1025" i="1"/>
  <c r="O1015" i="1"/>
  <c r="O1019" i="1"/>
  <c r="O1043" i="1"/>
  <c r="O1040" i="1"/>
  <c r="O1045" i="1"/>
  <c r="O1047" i="1"/>
  <c r="O1035" i="1"/>
  <c r="O1030" i="1"/>
  <c r="O1034" i="1"/>
  <c r="O1044" i="1"/>
  <c r="O1031" i="1"/>
  <c r="O1041" i="1"/>
  <c r="O1032" i="1"/>
  <c r="O1037" i="1"/>
  <c r="O1046" i="1"/>
  <c r="O1042" i="1"/>
  <c r="O1039" i="1"/>
  <c r="O1036" i="1"/>
  <c r="O1038" i="1"/>
  <c r="O1033" i="1"/>
  <c r="O1050" i="1"/>
  <c r="O1051" i="1"/>
  <c r="O1055" i="1"/>
  <c r="O1056" i="1"/>
  <c r="O1052" i="1"/>
  <c r="O1060" i="1"/>
  <c r="O1057" i="1"/>
  <c r="O1049" i="1"/>
  <c r="O1053" i="1"/>
  <c r="O1048" i="1"/>
  <c r="O1058" i="1"/>
  <c r="O1054" i="1"/>
  <c r="O1059" i="1"/>
  <c r="O1062" i="1"/>
  <c r="O1071" i="1"/>
  <c r="O1067" i="1"/>
  <c r="O1075" i="1"/>
  <c r="O1065" i="1"/>
  <c r="O1073" i="1"/>
  <c r="O1076" i="1"/>
  <c r="O1074" i="1"/>
  <c r="O1072" i="1"/>
  <c r="O1064" i="1"/>
  <c r="O1063" i="1"/>
  <c r="O1070" i="1"/>
  <c r="O1068" i="1"/>
  <c r="O1069" i="1"/>
  <c r="O1066" i="1"/>
  <c r="O1061" i="1"/>
  <c r="O1079" i="1"/>
  <c r="O1099" i="1"/>
  <c r="O1094" i="1"/>
  <c r="O1093" i="1"/>
  <c r="O1096" i="1"/>
  <c r="O1095" i="1"/>
  <c r="O1085" i="1"/>
  <c r="O1091" i="1"/>
  <c r="O1087" i="1"/>
  <c r="O1090" i="1"/>
  <c r="O1078" i="1"/>
  <c r="O1080" i="1"/>
  <c r="O1077" i="1"/>
  <c r="O1083" i="1"/>
  <c r="O1098" i="1"/>
  <c r="O1086" i="1"/>
  <c r="O1084" i="1"/>
  <c r="O1092" i="1"/>
  <c r="O1081" i="1"/>
  <c r="O1097" i="1"/>
  <c r="O1082" i="1"/>
  <c r="O1089" i="1"/>
  <c r="O1088" i="1"/>
  <c r="O1114" i="1"/>
  <c r="O1106" i="1"/>
  <c r="N903" i="1"/>
  <c r="N1048" i="1"/>
  <c r="N1058" i="1"/>
  <c r="M901" i="1"/>
  <c r="N901" i="1" s="1"/>
  <c r="M892" i="1"/>
  <c r="N892" i="1" s="1"/>
  <c r="M894" i="1"/>
  <c r="N894" i="1" s="1"/>
  <c r="M917" i="1"/>
  <c r="N917" i="1" s="1"/>
  <c r="M909" i="1"/>
  <c r="N909" i="1" s="1"/>
  <c r="M906" i="1"/>
  <c r="N906" i="1" s="1"/>
  <c r="M913" i="1"/>
  <c r="N913" i="1" s="1"/>
  <c r="M911" i="1"/>
  <c r="N911" i="1" s="1"/>
  <c r="M920" i="1"/>
  <c r="N920" i="1" s="1"/>
  <c r="M914" i="1"/>
  <c r="N914" i="1" s="1"/>
  <c r="M919" i="1"/>
  <c r="N919" i="1" s="1"/>
  <c r="M916" i="1"/>
  <c r="N916" i="1" s="1"/>
  <c r="M918" i="1"/>
  <c r="N918" i="1" s="1"/>
  <c r="M910" i="1"/>
  <c r="N910" i="1" s="1"/>
  <c r="M915" i="1"/>
  <c r="N915" i="1" s="1"/>
  <c r="M912" i="1"/>
  <c r="N912" i="1" s="1"/>
  <c r="M908" i="1"/>
  <c r="N908" i="1" s="1"/>
  <c r="M907" i="1"/>
  <c r="N907" i="1" s="1"/>
  <c r="M921" i="1"/>
  <c r="N921" i="1" s="1"/>
  <c r="M922" i="1"/>
  <c r="N922" i="1" s="1"/>
  <c r="M928" i="1"/>
  <c r="N928" i="1" s="1"/>
  <c r="M930" i="1"/>
  <c r="N930" i="1" s="1"/>
  <c r="M931" i="1"/>
  <c r="N931" i="1" s="1"/>
  <c r="M932" i="1"/>
  <c r="N932" i="1" s="1"/>
  <c r="M929" i="1"/>
  <c r="N929" i="1" s="1"/>
  <c r="M923" i="1"/>
  <c r="N923" i="1" s="1"/>
  <c r="M926" i="1"/>
  <c r="N926" i="1" s="1"/>
  <c r="M927" i="1"/>
  <c r="N927" i="1" s="1"/>
  <c r="M925" i="1"/>
  <c r="N925" i="1" s="1"/>
  <c r="M924" i="1"/>
  <c r="N924" i="1" s="1"/>
  <c r="M934" i="1"/>
  <c r="N934" i="1" s="1"/>
  <c r="M940" i="1"/>
  <c r="N940" i="1" s="1"/>
  <c r="M935" i="1"/>
  <c r="N935" i="1" s="1"/>
  <c r="M937" i="1"/>
  <c r="N937" i="1" s="1"/>
  <c r="M933" i="1"/>
  <c r="N933" i="1" s="1"/>
  <c r="M936" i="1"/>
  <c r="N936" i="1" s="1"/>
  <c r="M939" i="1"/>
  <c r="N939" i="1" s="1"/>
  <c r="M938" i="1"/>
  <c r="N938" i="1" s="1"/>
  <c r="M942" i="1"/>
  <c r="N942" i="1" s="1"/>
  <c r="M943" i="1"/>
  <c r="N943" i="1" s="1"/>
  <c r="M944" i="1"/>
  <c r="N944" i="1" s="1"/>
  <c r="M941" i="1"/>
  <c r="N941" i="1" s="1"/>
  <c r="M951" i="1"/>
  <c r="N951" i="1" s="1"/>
  <c r="M948" i="1"/>
  <c r="N948" i="1" s="1"/>
  <c r="M953" i="1"/>
  <c r="N953" i="1" s="1"/>
  <c r="M955" i="1"/>
  <c r="N955" i="1" s="1"/>
  <c r="M945" i="1"/>
  <c r="N945" i="1" s="1"/>
  <c r="M956" i="1"/>
  <c r="N956" i="1" s="1"/>
  <c r="M954" i="1"/>
  <c r="N954" i="1" s="1"/>
  <c r="M946" i="1"/>
  <c r="N946" i="1" s="1"/>
  <c r="M959" i="1"/>
  <c r="N959" i="1" s="1"/>
  <c r="M947" i="1"/>
  <c r="N947" i="1" s="1"/>
  <c r="M960" i="1"/>
  <c r="N960" i="1" s="1"/>
  <c r="M952" i="1"/>
  <c r="N952" i="1" s="1"/>
  <c r="M958" i="1"/>
  <c r="N958" i="1" s="1"/>
  <c r="M950" i="1"/>
  <c r="N950" i="1" s="1"/>
  <c r="M949" i="1"/>
  <c r="N949" i="1" s="1"/>
  <c r="M957" i="1"/>
  <c r="N957" i="1" s="1"/>
  <c r="M965" i="1"/>
  <c r="N965" i="1" s="1"/>
  <c r="M961" i="1"/>
  <c r="N961" i="1" s="1"/>
  <c r="M969" i="1"/>
  <c r="N969" i="1" s="1"/>
  <c r="M971" i="1"/>
  <c r="N971" i="1" s="1"/>
  <c r="M968" i="1"/>
  <c r="N968" i="1" s="1"/>
  <c r="M970" i="1"/>
  <c r="N970" i="1" s="1"/>
  <c r="M966" i="1"/>
  <c r="N966" i="1" s="1"/>
  <c r="M962" i="1"/>
  <c r="N962" i="1" s="1"/>
  <c r="M964" i="1"/>
  <c r="N964" i="1" s="1"/>
  <c r="M967" i="1"/>
  <c r="N967" i="1" s="1"/>
  <c r="M963" i="1"/>
  <c r="N963" i="1" s="1"/>
  <c r="M976" i="1"/>
  <c r="N976" i="1" s="1"/>
  <c r="M981" i="1"/>
  <c r="N981" i="1" s="1"/>
  <c r="M985" i="1"/>
  <c r="N985" i="1" s="1"/>
  <c r="M972" i="1"/>
  <c r="N972" i="1" s="1"/>
  <c r="M975" i="1"/>
  <c r="N975" i="1" s="1"/>
  <c r="M980" i="1"/>
  <c r="N980" i="1" s="1"/>
  <c r="M974" i="1"/>
  <c r="N974" i="1" s="1"/>
  <c r="M986" i="1"/>
  <c r="N986" i="1" s="1"/>
  <c r="M982" i="1"/>
  <c r="N982" i="1" s="1"/>
  <c r="M983" i="1"/>
  <c r="N983" i="1" s="1"/>
  <c r="M984" i="1"/>
  <c r="N984" i="1" s="1"/>
  <c r="M987" i="1"/>
  <c r="N987" i="1" s="1"/>
  <c r="M977" i="1"/>
  <c r="N977" i="1" s="1"/>
  <c r="M973" i="1"/>
  <c r="N973" i="1" s="1"/>
  <c r="M979" i="1"/>
  <c r="N979" i="1" s="1"/>
  <c r="M978" i="1"/>
  <c r="N978" i="1" s="1"/>
  <c r="M1005" i="1"/>
  <c r="N1005" i="1" s="1"/>
  <c r="M997" i="1"/>
  <c r="N997" i="1" s="1"/>
  <c r="M1002" i="1"/>
  <c r="N1002" i="1" s="1"/>
  <c r="M995" i="1"/>
  <c r="N995" i="1" s="1"/>
  <c r="M1003" i="1"/>
  <c r="N1003" i="1" s="1"/>
  <c r="M991" i="1"/>
  <c r="N991" i="1" s="1"/>
  <c r="M999" i="1"/>
  <c r="N999" i="1" s="1"/>
  <c r="M1004" i="1"/>
  <c r="N1004" i="1" s="1"/>
  <c r="M988" i="1"/>
  <c r="N988" i="1" s="1"/>
  <c r="M996" i="1"/>
  <c r="N996" i="1" s="1"/>
  <c r="M1008" i="1"/>
  <c r="N1008" i="1" s="1"/>
  <c r="M1001" i="1"/>
  <c r="N1001" i="1" s="1"/>
  <c r="M998" i="1"/>
  <c r="N998" i="1" s="1"/>
  <c r="M1000" i="1"/>
  <c r="N1000" i="1" s="1"/>
  <c r="M1006" i="1"/>
  <c r="N1006" i="1" s="1"/>
  <c r="M992" i="1"/>
  <c r="N992" i="1" s="1"/>
  <c r="M989" i="1"/>
  <c r="N989" i="1" s="1"/>
  <c r="M1007" i="1"/>
  <c r="N1007" i="1" s="1"/>
  <c r="M994" i="1"/>
  <c r="N994" i="1" s="1"/>
  <c r="M990" i="1"/>
  <c r="N990" i="1" s="1"/>
  <c r="M993" i="1"/>
  <c r="N993" i="1" s="1"/>
  <c r="M1010" i="1"/>
  <c r="N1010" i="1" s="1"/>
  <c r="M1012" i="1"/>
  <c r="N1012" i="1" s="1"/>
  <c r="M1029" i="1"/>
  <c r="N1029" i="1" s="1"/>
  <c r="M1014" i="1"/>
  <c r="N1014" i="1" s="1"/>
  <c r="M1009" i="1"/>
  <c r="N1009" i="1" s="1"/>
  <c r="M1013" i="1"/>
  <c r="N1013" i="1" s="1"/>
  <c r="M1021" i="1"/>
  <c r="N1021" i="1" s="1"/>
  <c r="M1020" i="1"/>
  <c r="N1020" i="1" s="1"/>
  <c r="M1028" i="1"/>
  <c r="N1028" i="1" s="1"/>
  <c r="M1023" i="1"/>
  <c r="N1023" i="1" s="1"/>
  <c r="M1026" i="1"/>
  <c r="N1026" i="1" s="1"/>
  <c r="M1016" i="1"/>
  <c r="N1016" i="1" s="1"/>
  <c r="M1011" i="1"/>
  <c r="N1011" i="1" s="1"/>
  <c r="M1018" i="1"/>
  <c r="N1018" i="1" s="1"/>
  <c r="M1024" i="1"/>
  <c r="N1024" i="1" s="1"/>
  <c r="M1027" i="1"/>
  <c r="N1027" i="1" s="1"/>
  <c r="M1017" i="1"/>
  <c r="N1017" i="1" s="1"/>
  <c r="M1022" i="1"/>
  <c r="N1022" i="1" s="1"/>
  <c r="M1025" i="1"/>
  <c r="N1025" i="1" s="1"/>
  <c r="M1015" i="1"/>
  <c r="N1015" i="1" s="1"/>
  <c r="M1019" i="1"/>
  <c r="N1019" i="1" s="1"/>
  <c r="M1043" i="1"/>
  <c r="N1043" i="1" s="1"/>
  <c r="M1040" i="1"/>
  <c r="N1040" i="1" s="1"/>
  <c r="M1045" i="1"/>
  <c r="N1045" i="1" s="1"/>
  <c r="M1047" i="1"/>
  <c r="N1047" i="1" s="1"/>
  <c r="M1035" i="1"/>
  <c r="N1035" i="1" s="1"/>
  <c r="M1030" i="1"/>
  <c r="N1030" i="1" s="1"/>
  <c r="M1034" i="1"/>
  <c r="N1034" i="1" s="1"/>
  <c r="M1044" i="1"/>
  <c r="N1044" i="1" s="1"/>
  <c r="M1031" i="1"/>
  <c r="N1031" i="1" s="1"/>
  <c r="M1041" i="1"/>
  <c r="N1041" i="1" s="1"/>
  <c r="M1032" i="1"/>
  <c r="N1032" i="1" s="1"/>
  <c r="M1037" i="1"/>
  <c r="N1037" i="1" s="1"/>
  <c r="M1046" i="1"/>
  <c r="N1046" i="1" s="1"/>
  <c r="M1042" i="1"/>
  <c r="N1042" i="1" s="1"/>
  <c r="M1039" i="1"/>
  <c r="N1039" i="1" s="1"/>
  <c r="M1036" i="1"/>
  <c r="N1036" i="1" s="1"/>
  <c r="M1038" i="1"/>
  <c r="N1038" i="1" s="1"/>
  <c r="M1033" i="1"/>
  <c r="N1033" i="1" s="1"/>
  <c r="M1050" i="1"/>
  <c r="N1050" i="1" s="1"/>
  <c r="M1051" i="1"/>
  <c r="N1051" i="1" s="1"/>
  <c r="M1055" i="1"/>
  <c r="N1055" i="1" s="1"/>
  <c r="M1056" i="1"/>
  <c r="N1056" i="1" s="1"/>
  <c r="M1052" i="1"/>
  <c r="N1052" i="1" s="1"/>
  <c r="M1060" i="1"/>
  <c r="N1060" i="1" s="1"/>
  <c r="M1057" i="1"/>
  <c r="N1057" i="1" s="1"/>
  <c r="M1049" i="1"/>
  <c r="N1049" i="1" s="1"/>
  <c r="M1053" i="1"/>
  <c r="N1053" i="1" s="1"/>
  <c r="M1054" i="1"/>
  <c r="N1054" i="1" s="1"/>
  <c r="M1059" i="1"/>
  <c r="N1059" i="1" s="1"/>
  <c r="M1062" i="1"/>
  <c r="N1062" i="1" s="1"/>
  <c r="M1071" i="1"/>
  <c r="N1071" i="1" s="1"/>
  <c r="M1067" i="1"/>
  <c r="N1067" i="1" s="1"/>
  <c r="M1075" i="1"/>
  <c r="N1075" i="1" s="1"/>
  <c r="M1065" i="1"/>
  <c r="N1065" i="1" s="1"/>
  <c r="M1073" i="1"/>
  <c r="N1073" i="1" s="1"/>
  <c r="M1076" i="1"/>
  <c r="N1076" i="1" s="1"/>
  <c r="M1074" i="1"/>
  <c r="N1074" i="1" s="1"/>
  <c r="M1072" i="1"/>
  <c r="N1072" i="1" s="1"/>
  <c r="M1064" i="1"/>
  <c r="N1064" i="1" s="1"/>
  <c r="M1063" i="1"/>
  <c r="N1063" i="1" s="1"/>
  <c r="M1070" i="1"/>
  <c r="N1070" i="1" s="1"/>
  <c r="M1068" i="1"/>
  <c r="N1068" i="1" s="1"/>
  <c r="M1069" i="1"/>
  <c r="N1069" i="1" s="1"/>
  <c r="M1066" i="1"/>
  <c r="N1066" i="1" s="1"/>
  <c r="M1061" i="1"/>
  <c r="N1061" i="1" s="1"/>
  <c r="M1079" i="1"/>
  <c r="N1079" i="1" s="1"/>
  <c r="M1099" i="1"/>
  <c r="N1099" i="1" s="1"/>
  <c r="M1094" i="1"/>
  <c r="N1094" i="1" s="1"/>
  <c r="M1093" i="1"/>
  <c r="N1093" i="1" s="1"/>
  <c r="M1096" i="1"/>
  <c r="N1096" i="1" s="1"/>
  <c r="M1095" i="1"/>
  <c r="N1095" i="1" s="1"/>
  <c r="M1085" i="1"/>
  <c r="N1085" i="1" s="1"/>
  <c r="M1091" i="1"/>
  <c r="N1091" i="1" s="1"/>
  <c r="M1087" i="1"/>
  <c r="N1087" i="1" s="1"/>
  <c r="M1090" i="1"/>
  <c r="N1090" i="1" s="1"/>
  <c r="M1078" i="1"/>
  <c r="N1078" i="1" s="1"/>
  <c r="M1080" i="1"/>
  <c r="N1080" i="1" s="1"/>
  <c r="M1077" i="1"/>
  <c r="N1077" i="1" s="1"/>
  <c r="M1083" i="1"/>
  <c r="N1083" i="1" s="1"/>
  <c r="M1098" i="1"/>
  <c r="N1098" i="1" s="1"/>
  <c r="M1086" i="1"/>
  <c r="N1086" i="1" s="1"/>
  <c r="M1084" i="1"/>
  <c r="N1084" i="1" s="1"/>
  <c r="M1092" i="1"/>
  <c r="N1092" i="1" s="1"/>
  <c r="M1081" i="1"/>
  <c r="N1081" i="1" s="1"/>
  <c r="M1097" i="1"/>
  <c r="N1097" i="1" s="1"/>
  <c r="M1082" i="1"/>
  <c r="N1082" i="1" s="1"/>
  <c r="M1089" i="1"/>
  <c r="N1089" i="1" s="1"/>
  <c r="M1088" i="1"/>
  <c r="N1088" i="1" s="1"/>
  <c r="M1114" i="1"/>
  <c r="N1114" i="1" s="1"/>
  <c r="M1106" i="1"/>
  <c r="N1106" i="1" s="1"/>
  <c r="G901" i="1"/>
  <c r="P901" i="1" s="1"/>
  <c r="G892" i="1"/>
  <c r="P892" i="1" s="1"/>
  <c r="G894" i="1"/>
  <c r="P894" i="1" s="1"/>
  <c r="G903" i="1"/>
  <c r="P903" i="1" s="1"/>
  <c r="G917" i="1"/>
  <c r="P917" i="1" s="1"/>
  <c r="G909" i="1"/>
  <c r="P909" i="1" s="1"/>
  <c r="G906" i="1"/>
  <c r="P906" i="1" s="1"/>
  <c r="G913" i="1"/>
  <c r="P913" i="1" s="1"/>
  <c r="G911" i="1"/>
  <c r="P911" i="1" s="1"/>
  <c r="G920" i="1"/>
  <c r="P920" i="1" s="1"/>
  <c r="G914" i="1"/>
  <c r="P914" i="1" s="1"/>
  <c r="G919" i="1"/>
  <c r="P919" i="1" s="1"/>
  <c r="G916" i="1"/>
  <c r="P916" i="1" s="1"/>
  <c r="G918" i="1"/>
  <c r="P918" i="1" s="1"/>
  <c r="G910" i="1"/>
  <c r="P910" i="1" s="1"/>
  <c r="G915" i="1"/>
  <c r="P915" i="1" s="1"/>
  <c r="G912" i="1"/>
  <c r="P912" i="1" s="1"/>
  <c r="G908" i="1"/>
  <c r="P908" i="1" s="1"/>
  <c r="G907" i="1"/>
  <c r="P907" i="1" s="1"/>
  <c r="G921" i="1"/>
  <c r="P921" i="1" s="1"/>
  <c r="G922" i="1"/>
  <c r="P922" i="1" s="1"/>
  <c r="G928" i="1"/>
  <c r="P928" i="1" s="1"/>
  <c r="G930" i="1"/>
  <c r="P930" i="1" s="1"/>
  <c r="G931" i="1"/>
  <c r="P931" i="1" s="1"/>
  <c r="G932" i="1"/>
  <c r="P932" i="1" s="1"/>
  <c r="G929" i="1"/>
  <c r="P929" i="1" s="1"/>
  <c r="G923" i="1"/>
  <c r="P923" i="1" s="1"/>
  <c r="G926" i="1"/>
  <c r="P926" i="1" s="1"/>
  <c r="G927" i="1"/>
  <c r="P927" i="1" s="1"/>
  <c r="G925" i="1"/>
  <c r="P925" i="1" s="1"/>
  <c r="G924" i="1"/>
  <c r="P924" i="1" s="1"/>
  <c r="G934" i="1"/>
  <c r="P934" i="1" s="1"/>
  <c r="G940" i="1"/>
  <c r="P940" i="1" s="1"/>
  <c r="G935" i="1"/>
  <c r="P935" i="1" s="1"/>
  <c r="G937" i="1"/>
  <c r="P937" i="1" s="1"/>
  <c r="G933" i="1"/>
  <c r="P933" i="1" s="1"/>
  <c r="G936" i="1"/>
  <c r="P936" i="1" s="1"/>
  <c r="G939" i="1"/>
  <c r="P939" i="1" s="1"/>
  <c r="G938" i="1"/>
  <c r="P938" i="1" s="1"/>
  <c r="G942" i="1"/>
  <c r="P942" i="1" s="1"/>
  <c r="G943" i="1"/>
  <c r="P943" i="1" s="1"/>
  <c r="G944" i="1"/>
  <c r="P944" i="1" s="1"/>
  <c r="G941" i="1"/>
  <c r="P941" i="1" s="1"/>
  <c r="G951" i="1"/>
  <c r="P951" i="1" s="1"/>
  <c r="G948" i="1"/>
  <c r="P948" i="1" s="1"/>
  <c r="G953" i="1"/>
  <c r="P953" i="1" s="1"/>
  <c r="G955" i="1"/>
  <c r="P955" i="1" s="1"/>
  <c r="G945" i="1"/>
  <c r="P945" i="1" s="1"/>
  <c r="G956" i="1"/>
  <c r="P956" i="1" s="1"/>
  <c r="G954" i="1"/>
  <c r="P954" i="1" s="1"/>
  <c r="G946" i="1"/>
  <c r="P946" i="1" s="1"/>
  <c r="G959" i="1"/>
  <c r="P959" i="1" s="1"/>
  <c r="G947" i="1"/>
  <c r="P947" i="1" s="1"/>
  <c r="G960" i="1"/>
  <c r="P960" i="1" s="1"/>
  <c r="G952" i="1"/>
  <c r="P952" i="1" s="1"/>
  <c r="G958" i="1"/>
  <c r="P958" i="1" s="1"/>
  <c r="G950" i="1"/>
  <c r="P950" i="1" s="1"/>
  <c r="G949" i="1"/>
  <c r="P949" i="1" s="1"/>
  <c r="G957" i="1"/>
  <c r="P957" i="1" s="1"/>
  <c r="G965" i="1"/>
  <c r="P965" i="1" s="1"/>
  <c r="G961" i="1"/>
  <c r="P961" i="1" s="1"/>
  <c r="G969" i="1"/>
  <c r="P969" i="1" s="1"/>
  <c r="G971" i="1"/>
  <c r="P971" i="1" s="1"/>
  <c r="G968" i="1"/>
  <c r="P968" i="1" s="1"/>
  <c r="G970" i="1"/>
  <c r="P970" i="1" s="1"/>
  <c r="G966" i="1"/>
  <c r="P966" i="1" s="1"/>
  <c r="G962" i="1"/>
  <c r="P962" i="1" s="1"/>
  <c r="G964" i="1"/>
  <c r="P964" i="1" s="1"/>
  <c r="G967" i="1"/>
  <c r="P967" i="1" s="1"/>
  <c r="G963" i="1"/>
  <c r="P963" i="1" s="1"/>
  <c r="G976" i="1"/>
  <c r="P976" i="1" s="1"/>
  <c r="G981" i="1"/>
  <c r="P981" i="1" s="1"/>
  <c r="G985" i="1"/>
  <c r="P985" i="1" s="1"/>
  <c r="G972" i="1"/>
  <c r="P972" i="1" s="1"/>
  <c r="G975" i="1"/>
  <c r="P975" i="1" s="1"/>
  <c r="G980" i="1"/>
  <c r="P980" i="1" s="1"/>
  <c r="G974" i="1"/>
  <c r="P974" i="1" s="1"/>
  <c r="G986" i="1"/>
  <c r="P986" i="1" s="1"/>
  <c r="G982" i="1"/>
  <c r="P982" i="1" s="1"/>
  <c r="G983" i="1"/>
  <c r="P983" i="1" s="1"/>
  <c r="G984" i="1"/>
  <c r="P984" i="1" s="1"/>
  <c r="G987" i="1"/>
  <c r="P987" i="1" s="1"/>
  <c r="G977" i="1"/>
  <c r="P977" i="1" s="1"/>
  <c r="G973" i="1"/>
  <c r="P973" i="1" s="1"/>
  <c r="G979" i="1"/>
  <c r="P979" i="1" s="1"/>
  <c r="G978" i="1"/>
  <c r="P978" i="1" s="1"/>
  <c r="G1005" i="1"/>
  <c r="P1005" i="1" s="1"/>
  <c r="G997" i="1"/>
  <c r="P997" i="1" s="1"/>
  <c r="G1002" i="1"/>
  <c r="P1002" i="1" s="1"/>
  <c r="G995" i="1"/>
  <c r="P995" i="1" s="1"/>
  <c r="G1003" i="1"/>
  <c r="P1003" i="1" s="1"/>
  <c r="G991" i="1"/>
  <c r="P991" i="1" s="1"/>
  <c r="G999" i="1"/>
  <c r="P999" i="1" s="1"/>
  <c r="G1004" i="1"/>
  <c r="P1004" i="1" s="1"/>
  <c r="G988" i="1"/>
  <c r="P988" i="1" s="1"/>
  <c r="G996" i="1"/>
  <c r="P996" i="1" s="1"/>
  <c r="G1008" i="1"/>
  <c r="P1008" i="1" s="1"/>
  <c r="G1001" i="1"/>
  <c r="P1001" i="1" s="1"/>
  <c r="G998" i="1"/>
  <c r="P998" i="1" s="1"/>
  <c r="G1000" i="1"/>
  <c r="P1000" i="1" s="1"/>
  <c r="G1006" i="1"/>
  <c r="P1006" i="1" s="1"/>
  <c r="G992" i="1"/>
  <c r="P992" i="1" s="1"/>
  <c r="G989" i="1"/>
  <c r="P989" i="1" s="1"/>
  <c r="G1007" i="1"/>
  <c r="P1007" i="1" s="1"/>
  <c r="G994" i="1"/>
  <c r="P994" i="1" s="1"/>
  <c r="G990" i="1"/>
  <c r="P990" i="1" s="1"/>
  <c r="G993" i="1"/>
  <c r="P993" i="1" s="1"/>
  <c r="G1010" i="1"/>
  <c r="P1010" i="1" s="1"/>
  <c r="G1012" i="1"/>
  <c r="P1012" i="1" s="1"/>
  <c r="G1029" i="1"/>
  <c r="P1029" i="1" s="1"/>
  <c r="G1014" i="1"/>
  <c r="P1014" i="1" s="1"/>
  <c r="G1009" i="1"/>
  <c r="P1009" i="1" s="1"/>
  <c r="G1013" i="1"/>
  <c r="P1013" i="1" s="1"/>
  <c r="G1021" i="1"/>
  <c r="P1021" i="1" s="1"/>
  <c r="G1020" i="1"/>
  <c r="P1020" i="1" s="1"/>
  <c r="G1028" i="1"/>
  <c r="P1028" i="1" s="1"/>
  <c r="G1023" i="1"/>
  <c r="P1023" i="1" s="1"/>
  <c r="G1026" i="1"/>
  <c r="P1026" i="1" s="1"/>
  <c r="G1016" i="1"/>
  <c r="P1016" i="1" s="1"/>
  <c r="G1011" i="1"/>
  <c r="P1011" i="1" s="1"/>
  <c r="G1018" i="1"/>
  <c r="P1018" i="1" s="1"/>
  <c r="G1024" i="1"/>
  <c r="P1024" i="1" s="1"/>
  <c r="G1027" i="1"/>
  <c r="P1027" i="1" s="1"/>
  <c r="G1017" i="1"/>
  <c r="P1017" i="1" s="1"/>
  <c r="G1022" i="1"/>
  <c r="P1022" i="1" s="1"/>
  <c r="G1025" i="1"/>
  <c r="P1025" i="1" s="1"/>
  <c r="G1015" i="1"/>
  <c r="P1015" i="1" s="1"/>
  <c r="G1019" i="1"/>
  <c r="P1019" i="1" s="1"/>
  <c r="G1043" i="1"/>
  <c r="P1043" i="1" s="1"/>
  <c r="G1040" i="1"/>
  <c r="P1040" i="1" s="1"/>
  <c r="G1045" i="1"/>
  <c r="P1045" i="1" s="1"/>
  <c r="G1047" i="1"/>
  <c r="P1047" i="1" s="1"/>
  <c r="G1035" i="1"/>
  <c r="P1035" i="1" s="1"/>
  <c r="G1030" i="1"/>
  <c r="P1030" i="1" s="1"/>
  <c r="G1034" i="1"/>
  <c r="P1034" i="1" s="1"/>
  <c r="G1044" i="1"/>
  <c r="P1044" i="1" s="1"/>
  <c r="G1031" i="1"/>
  <c r="P1031" i="1" s="1"/>
  <c r="G1041" i="1"/>
  <c r="P1041" i="1" s="1"/>
  <c r="G1032" i="1"/>
  <c r="P1032" i="1" s="1"/>
  <c r="G1037" i="1"/>
  <c r="P1037" i="1" s="1"/>
  <c r="G1046" i="1"/>
  <c r="P1046" i="1" s="1"/>
  <c r="G1042" i="1"/>
  <c r="P1042" i="1" s="1"/>
  <c r="G1039" i="1"/>
  <c r="P1039" i="1" s="1"/>
  <c r="G1036" i="1"/>
  <c r="P1036" i="1" s="1"/>
  <c r="G1038" i="1"/>
  <c r="P1038" i="1" s="1"/>
  <c r="G1033" i="1"/>
  <c r="P1033" i="1" s="1"/>
  <c r="G1050" i="1"/>
  <c r="P1050" i="1" s="1"/>
  <c r="G1051" i="1"/>
  <c r="P1051" i="1" s="1"/>
  <c r="G1055" i="1"/>
  <c r="P1055" i="1" s="1"/>
  <c r="G1056" i="1"/>
  <c r="P1056" i="1" s="1"/>
  <c r="G1052" i="1"/>
  <c r="P1052" i="1" s="1"/>
  <c r="G1060" i="1"/>
  <c r="P1060" i="1" s="1"/>
  <c r="G1057" i="1"/>
  <c r="P1057" i="1" s="1"/>
  <c r="G1049" i="1"/>
  <c r="P1049" i="1" s="1"/>
  <c r="G1053" i="1"/>
  <c r="P1053" i="1" s="1"/>
  <c r="G1048" i="1"/>
  <c r="P1048" i="1" s="1"/>
  <c r="G1058" i="1"/>
  <c r="P1058" i="1" s="1"/>
  <c r="G1054" i="1"/>
  <c r="P1054" i="1" s="1"/>
  <c r="G1059" i="1"/>
  <c r="P1059" i="1" s="1"/>
  <c r="G1062" i="1"/>
  <c r="P1062" i="1" s="1"/>
  <c r="G1071" i="1"/>
  <c r="P1071" i="1" s="1"/>
  <c r="G1067" i="1"/>
  <c r="P1067" i="1" s="1"/>
  <c r="G1075" i="1"/>
  <c r="P1075" i="1" s="1"/>
  <c r="G1065" i="1"/>
  <c r="P1065" i="1" s="1"/>
  <c r="G1073" i="1"/>
  <c r="P1073" i="1" s="1"/>
  <c r="G1076" i="1"/>
  <c r="P1076" i="1" s="1"/>
  <c r="G1074" i="1"/>
  <c r="P1074" i="1" s="1"/>
  <c r="G1072" i="1"/>
  <c r="P1072" i="1" s="1"/>
  <c r="G1064" i="1"/>
  <c r="P1064" i="1" s="1"/>
  <c r="G1063" i="1"/>
  <c r="P1063" i="1" s="1"/>
  <c r="G1070" i="1"/>
  <c r="P1070" i="1" s="1"/>
  <c r="G1068" i="1"/>
  <c r="P1068" i="1" s="1"/>
  <c r="G1069" i="1"/>
  <c r="P1069" i="1" s="1"/>
  <c r="G1066" i="1"/>
  <c r="P1066" i="1" s="1"/>
  <c r="G1061" i="1"/>
  <c r="P1061" i="1" s="1"/>
  <c r="G1079" i="1"/>
  <c r="P1079" i="1" s="1"/>
  <c r="G1099" i="1"/>
  <c r="P1099" i="1" s="1"/>
  <c r="G1094" i="1"/>
  <c r="P1094" i="1" s="1"/>
  <c r="G1093" i="1"/>
  <c r="P1093" i="1" s="1"/>
  <c r="G1096" i="1"/>
  <c r="P1096" i="1" s="1"/>
  <c r="G1095" i="1"/>
  <c r="P1095" i="1" s="1"/>
  <c r="G1085" i="1"/>
  <c r="P1085" i="1" s="1"/>
  <c r="G1091" i="1"/>
  <c r="P1091" i="1" s="1"/>
  <c r="G1087" i="1"/>
  <c r="P1087" i="1" s="1"/>
  <c r="G1090" i="1"/>
  <c r="P1090" i="1" s="1"/>
  <c r="G1078" i="1"/>
  <c r="P1078" i="1" s="1"/>
  <c r="G1080" i="1"/>
  <c r="P1080" i="1" s="1"/>
  <c r="G1077" i="1"/>
  <c r="P1077" i="1" s="1"/>
  <c r="G1083" i="1"/>
  <c r="P1083" i="1" s="1"/>
  <c r="G1098" i="1"/>
  <c r="P1098" i="1" s="1"/>
  <c r="G1086" i="1"/>
  <c r="P1086" i="1" s="1"/>
  <c r="G1084" i="1"/>
  <c r="P1084" i="1" s="1"/>
  <c r="G1092" i="1"/>
  <c r="P1092" i="1" s="1"/>
  <c r="G1081" i="1"/>
  <c r="P1081" i="1" s="1"/>
  <c r="G1097" i="1"/>
  <c r="P1097" i="1" s="1"/>
  <c r="G1082" i="1"/>
  <c r="P1082" i="1" s="1"/>
  <c r="G1089" i="1"/>
  <c r="P1089" i="1" s="1"/>
  <c r="G1088" i="1"/>
  <c r="P1088" i="1" s="1"/>
  <c r="G1114" i="1"/>
  <c r="P1114" i="1" s="1"/>
  <c r="G1106" i="1"/>
  <c r="P1106" i="1" s="1"/>
  <c r="O809" i="1" l="1"/>
  <c r="O802" i="1"/>
  <c r="O801" i="1"/>
  <c r="O805" i="1"/>
  <c r="O813" i="1"/>
  <c r="O804" i="1"/>
  <c r="O811" i="1"/>
  <c r="O812" i="1"/>
  <c r="O808" i="1"/>
  <c r="O810" i="1"/>
  <c r="O803" i="1"/>
  <c r="O799" i="1"/>
  <c r="O800" i="1"/>
  <c r="O806" i="1"/>
  <c r="O822" i="1"/>
  <c r="O831" i="1"/>
  <c r="O830" i="1"/>
  <c r="O832" i="1"/>
  <c r="O820" i="1"/>
  <c r="O814" i="1"/>
  <c r="O815" i="1"/>
  <c r="O827" i="1"/>
  <c r="O828" i="1"/>
  <c r="O821" i="1"/>
  <c r="O819" i="1"/>
  <c r="O818" i="1"/>
  <c r="O823" i="1"/>
  <c r="O824" i="1"/>
  <c r="O826" i="1"/>
  <c r="O825" i="1"/>
  <c r="O817" i="1"/>
  <c r="O829" i="1"/>
  <c r="O816" i="1"/>
  <c r="O838" i="1"/>
  <c r="O847" i="1"/>
  <c r="O836" i="1"/>
  <c r="O846" i="1"/>
  <c r="O845" i="1"/>
  <c r="O835" i="1"/>
  <c r="O834" i="1"/>
  <c r="O844" i="1"/>
  <c r="O842" i="1"/>
  <c r="O837" i="1"/>
  <c r="O841" i="1"/>
  <c r="O843" i="1"/>
  <c r="O840" i="1"/>
  <c r="O839" i="1"/>
  <c r="O833" i="1"/>
  <c r="O861" i="1"/>
  <c r="O849" i="1"/>
  <c r="O855" i="1"/>
  <c r="O853" i="1"/>
  <c r="O858" i="1"/>
  <c r="O856" i="1"/>
  <c r="O860" i="1"/>
  <c r="O851" i="1"/>
  <c r="O862" i="1"/>
  <c r="O864" i="1"/>
  <c r="O854" i="1"/>
  <c r="O852" i="1"/>
  <c r="O859" i="1"/>
  <c r="O863" i="1"/>
  <c r="O857" i="1"/>
  <c r="O850" i="1"/>
  <c r="O848" i="1"/>
  <c r="O868" i="1"/>
  <c r="O866" i="1"/>
  <c r="O870" i="1"/>
  <c r="O871" i="1"/>
  <c r="O867" i="1"/>
  <c r="O869" i="1"/>
  <c r="O873" i="1"/>
  <c r="O872" i="1"/>
  <c r="O865" i="1"/>
  <c r="O879" i="1"/>
  <c r="O884" i="1"/>
  <c r="O886" i="1"/>
  <c r="O883" i="1"/>
  <c r="O882" i="1"/>
  <c r="O875" i="1"/>
  <c r="O877" i="1"/>
  <c r="O885" i="1"/>
  <c r="O878" i="1"/>
  <c r="O874" i="1"/>
  <c r="O876" i="1"/>
  <c r="O881" i="1"/>
  <c r="O887" i="1"/>
  <c r="O880" i="1"/>
  <c r="O891" i="1"/>
  <c r="O902" i="1"/>
  <c r="O893" i="1"/>
  <c r="O900" i="1"/>
  <c r="O889" i="1"/>
  <c r="O888" i="1"/>
  <c r="O904" i="1"/>
  <c r="O890" i="1"/>
  <c r="O895" i="1"/>
  <c r="O905" i="1"/>
  <c r="O897" i="1"/>
  <c r="O896" i="1"/>
  <c r="O899" i="1"/>
  <c r="O898" i="1"/>
  <c r="M809" i="1"/>
  <c r="N809" i="1" s="1"/>
  <c r="M802" i="1"/>
  <c r="N802" i="1" s="1"/>
  <c r="M801" i="1"/>
  <c r="N801" i="1" s="1"/>
  <c r="M805" i="1"/>
  <c r="N805" i="1" s="1"/>
  <c r="M813" i="1"/>
  <c r="N813" i="1" s="1"/>
  <c r="M804" i="1"/>
  <c r="N804" i="1" s="1"/>
  <c r="M811" i="1"/>
  <c r="N811" i="1" s="1"/>
  <c r="M812" i="1"/>
  <c r="N812" i="1" s="1"/>
  <c r="M808" i="1"/>
  <c r="N808" i="1" s="1"/>
  <c r="M810" i="1"/>
  <c r="N810" i="1" s="1"/>
  <c r="M803" i="1"/>
  <c r="N803" i="1" s="1"/>
  <c r="M799" i="1"/>
  <c r="N799" i="1" s="1"/>
  <c r="M800" i="1"/>
  <c r="N800" i="1" s="1"/>
  <c r="M806" i="1"/>
  <c r="N806" i="1" s="1"/>
  <c r="M822" i="1"/>
  <c r="N822" i="1" s="1"/>
  <c r="M831" i="1"/>
  <c r="N831" i="1" s="1"/>
  <c r="M830" i="1"/>
  <c r="N830" i="1" s="1"/>
  <c r="M832" i="1"/>
  <c r="N832" i="1" s="1"/>
  <c r="M820" i="1"/>
  <c r="N820" i="1" s="1"/>
  <c r="M814" i="1"/>
  <c r="N814" i="1" s="1"/>
  <c r="M815" i="1"/>
  <c r="N815" i="1" s="1"/>
  <c r="M827" i="1"/>
  <c r="N827" i="1" s="1"/>
  <c r="M828" i="1"/>
  <c r="N828" i="1" s="1"/>
  <c r="M821" i="1"/>
  <c r="N821" i="1" s="1"/>
  <c r="M819" i="1"/>
  <c r="N819" i="1" s="1"/>
  <c r="M818" i="1"/>
  <c r="N818" i="1" s="1"/>
  <c r="M823" i="1"/>
  <c r="N823" i="1" s="1"/>
  <c r="M824" i="1"/>
  <c r="N824" i="1" s="1"/>
  <c r="M826" i="1"/>
  <c r="N826" i="1" s="1"/>
  <c r="M825" i="1"/>
  <c r="N825" i="1" s="1"/>
  <c r="M817" i="1"/>
  <c r="N817" i="1" s="1"/>
  <c r="M829" i="1"/>
  <c r="N829" i="1" s="1"/>
  <c r="M816" i="1"/>
  <c r="N816" i="1" s="1"/>
  <c r="M838" i="1"/>
  <c r="N838" i="1" s="1"/>
  <c r="M847" i="1"/>
  <c r="N847" i="1" s="1"/>
  <c r="M836" i="1"/>
  <c r="N836" i="1" s="1"/>
  <c r="M846" i="1"/>
  <c r="N846" i="1" s="1"/>
  <c r="M845" i="1"/>
  <c r="N845" i="1" s="1"/>
  <c r="M835" i="1"/>
  <c r="N835" i="1" s="1"/>
  <c r="M834" i="1"/>
  <c r="N834" i="1" s="1"/>
  <c r="M844" i="1"/>
  <c r="N844" i="1" s="1"/>
  <c r="M842" i="1"/>
  <c r="N842" i="1" s="1"/>
  <c r="M837" i="1"/>
  <c r="N837" i="1" s="1"/>
  <c r="M841" i="1"/>
  <c r="N841" i="1" s="1"/>
  <c r="M843" i="1"/>
  <c r="N843" i="1" s="1"/>
  <c r="M840" i="1"/>
  <c r="N840" i="1" s="1"/>
  <c r="M839" i="1"/>
  <c r="N839" i="1" s="1"/>
  <c r="M833" i="1"/>
  <c r="N833" i="1" s="1"/>
  <c r="M861" i="1"/>
  <c r="N861" i="1" s="1"/>
  <c r="M849" i="1"/>
  <c r="N849" i="1" s="1"/>
  <c r="M855" i="1"/>
  <c r="N855" i="1" s="1"/>
  <c r="M853" i="1"/>
  <c r="N853" i="1" s="1"/>
  <c r="M858" i="1"/>
  <c r="N858" i="1" s="1"/>
  <c r="M856" i="1"/>
  <c r="N856" i="1" s="1"/>
  <c r="M860" i="1"/>
  <c r="N860" i="1" s="1"/>
  <c r="M851" i="1"/>
  <c r="N851" i="1" s="1"/>
  <c r="M862" i="1"/>
  <c r="N862" i="1" s="1"/>
  <c r="M864" i="1"/>
  <c r="N864" i="1" s="1"/>
  <c r="M854" i="1"/>
  <c r="N854" i="1" s="1"/>
  <c r="M852" i="1"/>
  <c r="N852" i="1" s="1"/>
  <c r="M859" i="1"/>
  <c r="N859" i="1" s="1"/>
  <c r="M863" i="1"/>
  <c r="N863" i="1" s="1"/>
  <c r="M857" i="1"/>
  <c r="N857" i="1" s="1"/>
  <c r="M850" i="1"/>
  <c r="N850" i="1" s="1"/>
  <c r="M848" i="1"/>
  <c r="N848" i="1" s="1"/>
  <c r="M868" i="1"/>
  <c r="N868" i="1" s="1"/>
  <c r="M866" i="1"/>
  <c r="N866" i="1" s="1"/>
  <c r="M870" i="1"/>
  <c r="N870" i="1" s="1"/>
  <c r="M871" i="1"/>
  <c r="N871" i="1" s="1"/>
  <c r="M867" i="1"/>
  <c r="N867" i="1" s="1"/>
  <c r="M869" i="1"/>
  <c r="N869" i="1" s="1"/>
  <c r="M873" i="1"/>
  <c r="N873" i="1" s="1"/>
  <c r="M872" i="1"/>
  <c r="N872" i="1" s="1"/>
  <c r="M865" i="1"/>
  <c r="N865" i="1" s="1"/>
  <c r="M879" i="1"/>
  <c r="N879" i="1" s="1"/>
  <c r="M884" i="1"/>
  <c r="N884" i="1" s="1"/>
  <c r="M886" i="1"/>
  <c r="N886" i="1" s="1"/>
  <c r="M883" i="1"/>
  <c r="N883" i="1" s="1"/>
  <c r="M882" i="1"/>
  <c r="N882" i="1" s="1"/>
  <c r="M875" i="1"/>
  <c r="N875" i="1" s="1"/>
  <c r="M877" i="1"/>
  <c r="N877" i="1" s="1"/>
  <c r="M885" i="1"/>
  <c r="N885" i="1" s="1"/>
  <c r="M878" i="1"/>
  <c r="N878" i="1" s="1"/>
  <c r="M874" i="1"/>
  <c r="N874" i="1" s="1"/>
  <c r="M876" i="1"/>
  <c r="N876" i="1" s="1"/>
  <c r="M881" i="1"/>
  <c r="N881" i="1" s="1"/>
  <c r="M887" i="1"/>
  <c r="N887" i="1" s="1"/>
  <c r="M880" i="1"/>
  <c r="N880" i="1" s="1"/>
  <c r="M891" i="1"/>
  <c r="N891" i="1" s="1"/>
  <c r="M902" i="1"/>
  <c r="N902" i="1" s="1"/>
  <c r="M893" i="1"/>
  <c r="N893" i="1" s="1"/>
  <c r="M900" i="1"/>
  <c r="N900" i="1" s="1"/>
  <c r="M889" i="1"/>
  <c r="N889" i="1" s="1"/>
  <c r="M888" i="1"/>
  <c r="N888" i="1" s="1"/>
  <c r="M904" i="1"/>
  <c r="N904" i="1" s="1"/>
  <c r="M890" i="1"/>
  <c r="N890" i="1" s="1"/>
  <c r="M895" i="1"/>
  <c r="N895" i="1" s="1"/>
  <c r="M905" i="1"/>
  <c r="N905" i="1" s="1"/>
  <c r="M897" i="1"/>
  <c r="N897" i="1" s="1"/>
  <c r="M896" i="1"/>
  <c r="N896" i="1" s="1"/>
  <c r="M899" i="1"/>
  <c r="N899" i="1" s="1"/>
  <c r="M898" i="1"/>
  <c r="N898" i="1" s="1"/>
  <c r="G809" i="1"/>
  <c r="P809" i="1" s="1"/>
  <c r="G802" i="1"/>
  <c r="P802" i="1" s="1"/>
  <c r="G801" i="1"/>
  <c r="P801" i="1" s="1"/>
  <c r="G805" i="1"/>
  <c r="P805" i="1" s="1"/>
  <c r="G813" i="1"/>
  <c r="P813" i="1" s="1"/>
  <c r="G804" i="1"/>
  <c r="P804" i="1" s="1"/>
  <c r="G811" i="1"/>
  <c r="P811" i="1" s="1"/>
  <c r="G812" i="1"/>
  <c r="P812" i="1" s="1"/>
  <c r="G808" i="1"/>
  <c r="P808" i="1" s="1"/>
  <c r="G810" i="1"/>
  <c r="P810" i="1" s="1"/>
  <c r="G803" i="1"/>
  <c r="P803" i="1" s="1"/>
  <c r="G799" i="1"/>
  <c r="P799" i="1" s="1"/>
  <c r="G800" i="1"/>
  <c r="P800" i="1" s="1"/>
  <c r="G806" i="1"/>
  <c r="P806" i="1" s="1"/>
  <c r="G822" i="1"/>
  <c r="P822" i="1" s="1"/>
  <c r="G831" i="1"/>
  <c r="P831" i="1" s="1"/>
  <c r="G830" i="1"/>
  <c r="P830" i="1" s="1"/>
  <c r="G832" i="1"/>
  <c r="P832" i="1" s="1"/>
  <c r="G820" i="1"/>
  <c r="P820" i="1" s="1"/>
  <c r="G814" i="1"/>
  <c r="P814" i="1" s="1"/>
  <c r="G815" i="1"/>
  <c r="P815" i="1" s="1"/>
  <c r="G827" i="1"/>
  <c r="P827" i="1" s="1"/>
  <c r="G828" i="1"/>
  <c r="P828" i="1" s="1"/>
  <c r="G821" i="1"/>
  <c r="P821" i="1" s="1"/>
  <c r="G819" i="1"/>
  <c r="P819" i="1" s="1"/>
  <c r="G818" i="1"/>
  <c r="P818" i="1" s="1"/>
  <c r="G823" i="1"/>
  <c r="P823" i="1" s="1"/>
  <c r="G824" i="1"/>
  <c r="P824" i="1" s="1"/>
  <c r="G826" i="1"/>
  <c r="P826" i="1" s="1"/>
  <c r="G825" i="1"/>
  <c r="P825" i="1" s="1"/>
  <c r="G817" i="1"/>
  <c r="P817" i="1" s="1"/>
  <c r="G829" i="1"/>
  <c r="P829" i="1" s="1"/>
  <c r="G816" i="1"/>
  <c r="P816" i="1" s="1"/>
  <c r="G838" i="1"/>
  <c r="P838" i="1" s="1"/>
  <c r="G847" i="1"/>
  <c r="P847" i="1" s="1"/>
  <c r="G836" i="1"/>
  <c r="P836" i="1" s="1"/>
  <c r="G846" i="1"/>
  <c r="P846" i="1" s="1"/>
  <c r="G845" i="1"/>
  <c r="P845" i="1" s="1"/>
  <c r="G835" i="1"/>
  <c r="P835" i="1" s="1"/>
  <c r="G834" i="1"/>
  <c r="P834" i="1" s="1"/>
  <c r="G844" i="1"/>
  <c r="P844" i="1" s="1"/>
  <c r="G842" i="1"/>
  <c r="P842" i="1" s="1"/>
  <c r="G837" i="1"/>
  <c r="P837" i="1" s="1"/>
  <c r="G841" i="1"/>
  <c r="P841" i="1" s="1"/>
  <c r="G843" i="1"/>
  <c r="P843" i="1" s="1"/>
  <c r="G840" i="1"/>
  <c r="P840" i="1" s="1"/>
  <c r="G839" i="1"/>
  <c r="P839" i="1" s="1"/>
  <c r="G833" i="1"/>
  <c r="P833" i="1" s="1"/>
  <c r="G861" i="1"/>
  <c r="P861" i="1" s="1"/>
  <c r="G849" i="1"/>
  <c r="P849" i="1" s="1"/>
  <c r="G855" i="1"/>
  <c r="P855" i="1" s="1"/>
  <c r="G853" i="1"/>
  <c r="P853" i="1" s="1"/>
  <c r="G858" i="1"/>
  <c r="P858" i="1" s="1"/>
  <c r="G856" i="1"/>
  <c r="P856" i="1" s="1"/>
  <c r="G860" i="1"/>
  <c r="P860" i="1" s="1"/>
  <c r="G851" i="1"/>
  <c r="P851" i="1" s="1"/>
  <c r="G862" i="1"/>
  <c r="P862" i="1" s="1"/>
  <c r="G864" i="1"/>
  <c r="P864" i="1" s="1"/>
  <c r="G854" i="1"/>
  <c r="P854" i="1" s="1"/>
  <c r="G852" i="1"/>
  <c r="P852" i="1" s="1"/>
  <c r="G859" i="1"/>
  <c r="P859" i="1" s="1"/>
  <c r="G863" i="1"/>
  <c r="P863" i="1" s="1"/>
  <c r="G857" i="1"/>
  <c r="P857" i="1" s="1"/>
  <c r="G850" i="1"/>
  <c r="P850" i="1" s="1"/>
  <c r="G848" i="1"/>
  <c r="P848" i="1" s="1"/>
  <c r="G868" i="1"/>
  <c r="P868" i="1" s="1"/>
  <c r="G866" i="1"/>
  <c r="P866" i="1" s="1"/>
  <c r="G870" i="1"/>
  <c r="P870" i="1" s="1"/>
  <c r="G871" i="1"/>
  <c r="P871" i="1" s="1"/>
  <c r="G867" i="1"/>
  <c r="P867" i="1" s="1"/>
  <c r="G869" i="1"/>
  <c r="P869" i="1" s="1"/>
  <c r="G873" i="1"/>
  <c r="P873" i="1" s="1"/>
  <c r="G872" i="1"/>
  <c r="P872" i="1" s="1"/>
  <c r="G865" i="1"/>
  <c r="P865" i="1" s="1"/>
  <c r="G879" i="1"/>
  <c r="P879" i="1" s="1"/>
  <c r="G884" i="1"/>
  <c r="P884" i="1" s="1"/>
  <c r="G886" i="1"/>
  <c r="P886" i="1" s="1"/>
  <c r="G883" i="1"/>
  <c r="P883" i="1" s="1"/>
  <c r="G882" i="1"/>
  <c r="P882" i="1" s="1"/>
  <c r="G875" i="1"/>
  <c r="P875" i="1" s="1"/>
  <c r="G877" i="1"/>
  <c r="P877" i="1" s="1"/>
  <c r="G885" i="1"/>
  <c r="P885" i="1" s="1"/>
  <c r="G878" i="1"/>
  <c r="P878" i="1" s="1"/>
  <c r="G874" i="1"/>
  <c r="P874" i="1" s="1"/>
  <c r="G876" i="1"/>
  <c r="P876" i="1" s="1"/>
  <c r="G881" i="1"/>
  <c r="P881" i="1" s="1"/>
  <c r="G887" i="1"/>
  <c r="P887" i="1" s="1"/>
  <c r="G880" i="1"/>
  <c r="P880" i="1" s="1"/>
  <c r="G891" i="1"/>
  <c r="P891" i="1" s="1"/>
  <c r="G902" i="1"/>
  <c r="P902" i="1" s="1"/>
  <c r="G893" i="1"/>
  <c r="P893" i="1" s="1"/>
  <c r="G900" i="1"/>
  <c r="P900" i="1" s="1"/>
  <c r="G889" i="1"/>
  <c r="P889" i="1" s="1"/>
  <c r="G888" i="1"/>
  <c r="P888" i="1" s="1"/>
  <c r="G904" i="1"/>
  <c r="P904" i="1" s="1"/>
  <c r="G890" i="1"/>
  <c r="P890" i="1" s="1"/>
  <c r="G895" i="1"/>
  <c r="P895" i="1" s="1"/>
  <c r="G905" i="1"/>
  <c r="P905" i="1" s="1"/>
  <c r="G897" i="1"/>
  <c r="P897" i="1" s="1"/>
  <c r="G896" i="1"/>
  <c r="P896" i="1" s="1"/>
  <c r="G899" i="1"/>
  <c r="P899" i="1" s="1"/>
  <c r="G898" i="1"/>
  <c r="P898" i="1" s="1"/>
  <c r="G807" i="1"/>
  <c r="M770" i="1"/>
  <c r="G666" i="1" l="1"/>
  <c r="O496" i="1" l="1"/>
  <c r="O499" i="1"/>
  <c r="O494" i="1"/>
  <c r="O514" i="1"/>
  <c r="O510" i="1"/>
  <c r="O511" i="1"/>
  <c r="O506" i="1"/>
  <c r="O515" i="1"/>
  <c r="O518" i="1"/>
  <c r="O513" i="1"/>
  <c r="O512" i="1"/>
  <c r="O507" i="1"/>
  <c r="O516" i="1"/>
  <c r="O505" i="1"/>
  <c r="O508" i="1"/>
  <c r="O509" i="1"/>
  <c r="O517" i="1"/>
  <c r="O504" i="1"/>
  <c r="O522" i="1"/>
  <c r="O524" i="1"/>
  <c r="O535" i="1"/>
  <c r="O536" i="1"/>
  <c r="O523" i="1"/>
  <c r="O528" i="1"/>
  <c r="O520" i="1"/>
  <c r="O532" i="1"/>
  <c r="O521" i="1"/>
  <c r="O526" i="1"/>
  <c r="O534" i="1"/>
  <c r="O529" i="1"/>
  <c r="O533" i="1"/>
  <c r="O525" i="1"/>
  <c r="O531" i="1"/>
  <c r="O530" i="1"/>
  <c r="O527" i="1"/>
  <c r="O519" i="1"/>
  <c r="O537" i="1"/>
  <c r="O548" i="1"/>
  <c r="O549" i="1"/>
  <c r="O550" i="1"/>
  <c r="O553" i="1"/>
  <c r="O554" i="1"/>
  <c r="O546" i="1"/>
  <c r="O542" i="1"/>
  <c r="O540" i="1"/>
  <c r="O551" i="1"/>
  <c r="O544" i="1"/>
  <c r="O541" i="1"/>
  <c r="O538" i="1"/>
  <c r="O539" i="1"/>
  <c r="O543" i="1"/>
  <c r="O547" i="1"/>
  <c r="O552" i="1"/>
  <c r="O555" i="1"/>
  <c r="O545" i="1"/>
  <c r="O565" i="1"/>
  <c r="O570" i="1"/>
  <c r="O562" i="1"/>
  <c r="O561" i="1"/>
  <c r="O568" i="1"/>
  <c r="O560" i="1"/>
  <c r="O559" i="1"/>
  <c r="O558" i="1"/>
  <c r="O564" i="1"/>
  <c r="O557" i="1"/>
  <c r="O556" i="1"/>
  <c r="O566" i="1"/>
  <c r="O571" i="1"/>
  <c r="O563" i="1"/>
  <c r="O569" i="1"/>
  <c r="O572" i="1"/>
  <c r="O567" i="1"/>
  <c r="O589" i="1"/>
  <c r="O585" i="1"/>
  <c r="O575" i="1"/>
  <c r="O576" i="1"/>
  <c r="O577" i="1"/>
  <c r="O584" i="1"/>
  <c r="O587" i="1"/>
  <c r="O583" i="1"/>
  <c r="O588" i="1"/>
  <c r="O580" i="1"/>
  <c r="O574" i="1"/>
  <c r="O590" i="1"/>
  <c r="O573" i="1"/>
  <c r="O581" i="1"/>
  <c r="O579" i="1"/>
  <c r="O582" i="1"/>
  <c r="O586" i="1"/>
  <c r="O578" i="1"/>
  <c r="O591" i="1"/>
  <c r="O592" i="1"/>
  <c r="O593" i="1"/>
  <c r="O596" i="1"/>
  <c r="O595" i="1"/>
  <c r="O599" i="1"/>
  <c r="O600" i="1"/>
  <c r="O598" i="1"/>
  <c r="O605" i="1"/>
  <c r="O606" i="1"/>
  <c r="O607" i="1"/>
  <c r="O602" i="1"/>
  <c r="O597" i="1"/>
  <c r="O604" i="1"/>
  <c r="O603" i="1"/>
  <c r="O601" i="1"/>
  <c r="O594" i="1"/>
  <c r="O613" i="1"/>
  <c r="O611" i="1"/>
  <c r="O615" i="1"/>
  <c r="O617" i="1"/>
  <c r="O609" i="1"/>
  <c r="O612" i="1"/>
  <c r="O616" i="1"/>
  <c r="O608" i="1"/>
  <c r="O610" i="1"/>
  <c r="O614" i="1"/>
  <c r="O625" i="1"/>
  <c r="O623" i="1"/>
  <c r="O622" i="1"/>
  <c r="O627" i="1"/>
  <c r="O631" i="1"/>
  <c r="O632" i="1"/>
  <c r="O630" i="1"/>
  <c r="O621" i="1"/>
  <c r="O619" i="1"/>
  <c r="O620" i="1"/>
  <c r="O629" i="1"/>
  <c r="O626" i="1"/>
  <c r="O624" i="1"/>
  <c r="O618" i="1"/>
  <c r="O628" i="1"/>
  <c r="O634" i="1"/>
  <c r="O635" i="1"/>
  <c r="O637" i="1"/>
  <c r="O641" i="1"/>
  <c r="O633" i="1"/>
  <c r="O639" i="1"/>
  <c r="O640" i="1"/>
  <c r="O642" i="1"/>
  <c r="O636" i="1"/>
  <c r="O638" i="1"/>
  <c r="O644" i="1"/>
  <c r="O646" i="1"/>
  <c r="O650" i="1"/>
  <c r="O651" i="1"/>
  <c r="O656" i="1"/>
  <c r="O655" i="1"/>
  <c r="O653" i="1"/>
  <c r="O645" i="1"/>
  <c r="O652" i="1"/>
  <c r="O657" i="1"/>
  <c r="O643" i="1"/>
  <c r="O658" i="1"/>
  <c r="O647" i="1"/>
  <c r="O648" i="1"/>
  <c r="O654" i="1"/>
  <c r="O649" i="1"/>
  <c r="O659" i="1"/>
  <c r="O674" i="1"/>
  <c r="O664" i="1"/>
  <c r="O673" i="1"/>
  <c r="O672" i="1"/>
  <c r="O668" i="1"/>
  <c r="O661" i="1"/>
  <c r="O662" i="1"/>
  <c r="O670" i="1"/>
  <c r="O665" i="1"/>
  <c r="O666" i="1"/>
  <c r="O671" i="1"/>
  <c r="O669" i="1"/>
  <c r="O663" i="1"/>
  <c r="O667" i="1"/>
  <c r="O660" i="1"/>
  <c r="O675" i="1"/>
  <c r="O677" i="1"/>
  <c r="O681" i="1"/>
  <c r="O687" i="1"/>
  <c r="O676" i="1"/>
  <c r="O688" i="1"/>
  <c r="O684" i="1"/>
  <c r="O685" i="1"/>
  <c r="O686" i="1"/>
  <c r="O682" i="1"/>
  <c r="O692" i="1"/>
  <c r="O680" i="1"/>
  <c r="O678" i="1"/>
  <c r="O691" i="1"/>
  <c r="O689" i="1"/>
  <c r="O690" i="1"/>
  <c r="O679" i="1"/>
  <c r="O683" i="1"/>
  <c r="O693" i="1"/>
  <c r="O697" i="1"/>
  <c r="O701" i="1"/>
  <c r="O695" i="1"/>
  <c r="O700" i="1"/>
  <c r="O702" i="1"/>
  <c r="O696" i="1"/>
  <c r="O694" i="1"/>
  <c r="O698" i="1"/>
  <c r="O699" i="1"/>
  <c r="O711" i="1"/>
  <c r="O708" i="1"/>
  <c r="O709" i="1"/>
  <c r="O710" i="1"/>
  <c r="O706" i="1"/>
  <c r="O707" i="1"/>
  <c r="O703" i="1"/>
  <c r="O704" i="1"/>
  <c r="O705" i="1"/>
  <c r="O713" i="1"/>
  <c r="O717" i="1"/>
  <c r="O715" i="1"/>
  <c r="O721" i="1"/>
  <c r="O714" i="1"/>
  <c r="O716" i="1"/>
  <c r="O719" i="1"/>
  <c r="O718" i="1"/>
  <c r="O720" i="1"/>
  <c r="O722" i="1"/>
  <c r="O712" i="1"/>
  <c r="O723" i="1"/>
  <c r="O727" i="1"/>
  <c r="O739" i="1"/>
  <c r="O735" i="1"/>
  <c r="O726" i="1"/>
  <c r="O728" i="1"/>
  <c r="O734" i="1"/>
  <c r="O730" i="1"/>
  <c r="O736" i="1"/>
  <c r="O725" i="1"/>
  <c r="O724" i="1"/>
  <c r="O729" i="1"/>
  <c r="O731" i="1"/>
  <c r="O737" i="1"/>
  <c r="O738" i="1"/>
  <c r="O733" i="1"/>
  <c r="O740" i="1"/>
  <c r="O732" i="1"/>
  <c r="O741" i="1"/>
  <c r="O748" i="1"/>
  <c r="O753" i="1"/>
  <c r="O743" i="1"/>
  <c r="O746" i="1"/>
  <c r="O756" i="1"/>
  <c r="O755" i="1"/>
  <c r="O749" i="1"/>
  <c r="O757" i="1"/>
  <c r="O745" i="1"/>
  <c r="O744" i="1"/>
  <c r="O747" i="1"/>
  <c r="O750" i="1"/>
  <c r="O752" i="1"/>
  <c r="O751" i="1"/>
  <c r="O754" i="1"/>
  <c r="O742" i="1"/>
  <c r="O759" i="1"/>
  <c r="O758" i="1"/>
  <c r="O769" i="1"/>
  <c r="O763" i="1"/>
  <c r="O764" i="1"/>
  <c r="O772" i="1"/>
  <c r="O768" i="1"/>
  <c r="O765" i="1"/>
  <c r="O761" i="1"/>
  <c r="O773" i="1"/>
  <c r="O766" i="1"/>
  <c r="O762" i="1"/>
  <c r="O770" i="1"/>
  <c r="O760" i="1"/>
  <c r="O771" i="1"/>
  <c r="O767" i="1"/>
  <c r="O780" i="1"/>
  <c r="O778" i="1"/>
  <c r="O781" i="1"/>
  <c r="O774" i="1"/>
  <c r="O777" i="1"/>
  <c r="O776" i="1"/>
  <c r="O782" i="1"/>
  <c r="O779" i="1"/>
  <c r="O775" i="1"/>
  <c r="O785" i="1"/>
  <c r="O796" i="1"/>
  <c r="O789" i="1"/>
  <c r="O788" i="1"/>
  <c r="O798" i="1"/>
  <c r="O794" i="1"/>
  <c r="O791" i="1"/>
  <c r="O783" i="1"/>
  <c r="O784" i="1"/>
  <c r="O786" i="1"/>
  <c r="O795" i="1"/>
  <c r="O797" i="1"/>
  <c r="O792" i="1"/>
  <c r="O793" i="1"/>
  <c r="O790" i="1"/>
  <c r="O787" i="1"/>
  <c r="O807" i="1"/>
  <c r="N770" i="1"/>
  <c r="M499" i="1"/>
  <c r="N499" i="1" s="1"/>
  <c r="M494" i="1"/>
  <c r="N494" i="1" s="1"/>
  <c r="M514" i="1"/>
  <c r="N514" i="1" s="1"/>
  <c r="M510" i="1"/>
  <c r="N510" i="1" s="1"/>
  <c r="M511" i="1"/>
  <c r="N511" i="1" s="1"/>
  <c r="M506" i="1"/>
  <c r="N506" i="1" s="1"/>
  <c r="M515" i="1"/>
  <c r="N515" i="1" s="1"/>
  <c r="M518" i="1"/>
  <c r="N518" i="1" s="1"/>
  <c r="M513" i="1"/>
  <c r="N513" i="1" s="1"/>
  <c r="M512" i="1"/>
  <c r="N512" i="1" s="1"/>
  <c r="M507" i="1"/>
  <c r="N507" i="1" s="1"/>
  <c r="M516" i="1"/>
  <c r="N516" i="1" s="1"/>
  <c r="M505" i="1"/>
  <c r="N505" i="1" s="1"/>
  <c r="M508" i="1"/>
  <c r="N508" i="1" s="1"/>
  <c r="M509" i="1"/>
  <c r="N509" i="1" s="1"/>
  <c r="M517" i="1"/>
  <c r="N517" i="1" s="1"/>
  <c r="M504" i="1"/>
  <c r="N504" i="1" s="1"/>
  <c r="M522" i="1"/>
  <c r="N522" i="1" s="1"/>
  <c r="M524" i="1"/>
  <c r="N524" i="1" s="1"/>
  <c r="M535" i="1"/>
  <c r="N535" i="1" s="1"/>
  <c r="M536" i="1"/>
  <c r="N536" i="1" s="1"/>
  <c r="M523" i="1"/>
  <c r="N523" i="1" s="1"/>
  <c r="M528" i="1"/>
  <c r="N528" i="1" s="1"/>
  <c r="M520" i="1"/>
  <c r="N520" i="1" s="1"/>
  <c r="M532" i="1"/>
  <c r="N532" i="1" s="1"/>
  <c r="M521" i="1"/>
  <c r="N521" i="1" s="1"/>
  <c r="M526" i="1"/>
  <c r="N526" i="1" s="1"/>
  <c r="M534" i="1"/>
  <c r="N534" i="1" s="1"/>
  <c r="M529" i="1"/>
  <c r="N529" i="1" s="1"/>
  <c r="M533" i="1"/>
  <c r="N533" i="1" s="1"/>
  <c r="M525" i="1"/>
  <c r="N525" i="1" s="1"/>
  <c r="M531" i="1"/>
  <c r="N531" i="1" s="1"/>
  <c r="M530" i="1"/>
  <c r="N530" i="1" s="1"/>
  <c r="M527" i="1"/>
  <c r="N527" i="1" s="1"/>
  <c r="M519" i="1"/>
  <c r="N519" i="1" s="1"/>
  <c r="M537" i="1"/>
  <c r="N537" i="1" s="1"/>
  <c r="M548" i="1"/>
  <c r="N548" i="1" s="1"/>
  <c r="M549" i="1"/>
  <c r="N549" i="1" s="1"/>
  <c r="M550" i="1"/>
  <c r="N550" i="1" s="1"/>
  <c r="M553" i="1"/>
  <c r="N553" i="1" s="1"/>
  <c r="M554" i="1"/>
  <c r="N554" i="1" s="1"/>
  <c r="M546" i="1"/>
  <c r="N546" i="1" s="1"/>
  <c r="M542" i="1"/>
  <c r="N542" i="1" s="1"/>
  <c r="M540" i="1"/>
  <c r="N540" i="1" s="1"/>
  <c r="M551" i="1"/>
  <c r="N551" i="1" s="1"/>
  <c r="M544" i="1"/>
  <c r="N544" i="1" s="1"/>
  <c r="M541" i="1"/>
  <c r="N541" i="1" s="1"/>
  <c r="M538" i="1"/>
  <c r="N538" i="1" s="1"/>
  <c r="M539" i="1"/>
  <c r="N539" i="1" s="1"/>
  <c r="M543" i="1"/>
  <c r="N543" i="1" s="1"/>
  <c r="M547" i="1"/>
  <c r="N547" i="1" s="1"/>
  <c r="M552" i="1"/>
  <c r="N552" i="1" s="1"/>
  <c r="M555" i="1"/>
  <c r="N555" i="1" s="1"/>
  <c r="M545" i="1"/>
  <c r="N545" i="1" s="1"/>
  <c r="M565" i="1"/>
  <c r="N565" i="1" s="1"/>
  <c r="M570" i="1"/>
  <c r="N570" i="1" s="1"/>
  <c r="M562" i="1"/>
  <c r="N562" i="1" s="1"/>
  <c r="M561" i="1"/>
  <c r="N561" i="1" s="1"/>
  <c r="M568" i="1"/>
  <c r="N568" i="1" s="1"/>
  <c r="M560" i="1"/>
  <c r="N560" i="1" s="1"/>
  <c r="M559" i="1"/>
  <c r="N559" i="1" s="1"/>
  <c r="M558" i="1"/>
  <c r="N558" i="1" s="1"/>
  <c r="M564" i="1"/>
  <c r="N564" i="1" s="1"/>
  <c r="M557" i="1"/>
  <c r="N557" i="1" s="1"/>
  <c r="M556" i="1"/>
  <c r="N556" i="1" s="1"/>
  <c r="M566" i="1"/>
  <c r="N566" i="1" s="1"/>
  <c r="M571" i="1"/>
  <c r="N571" i="1" s="1"/>
  <c r="M563" i="1"/>
  <c r="N563" i="1" s="1"/>
  <c r="M569" i="1"/>
  <c r="N569" i="1" s="1"/>
  <c r="M572" i="1"/>
  <c r="N572" i="1" s="1"/>
  <c r="M567" i="1"/>
  <c r="N567" i="1" s="1"/>
  <c r="M589" i="1"/>
  <c r="N589" i="1" s="1"/>
  <c r="M585" i="1"/>
  <c r="N585" i="1" s="1"/>
  <c r="M575" i="1"/>
  <c r="N575" i="1" s="1"/>
  <c r="M576" i="1"/>
  <c r="N576" i="1" s="1"/>
  <c r="M577" i="1"/>
  <c r="N577" i="1" s="1"/>
  <c r="M584" i="1"/>
  <c r="N584" i="1" s="1"/>
  <c r="M587" i="1"/>
  <c r="N587" i="1" s="1"/>
  <c r="M583" i="1"/>
  <c r="N583" i="1" s="1"/>
  <c r="M588" i="1"/>
  <c r="N588" i="1" s="1"/>
  <c r="M580" i="1"/>
  <c r="N580" i="1" s="1"/>
  <c r="M574" i="1"/>
  <c r="N574" i="1" s="1"/>
  <c r="M590" i="1"/>
  <c r="N590" i="1" s="1"/>
  <c r="M573" i="1"/>
  <c r="N573" i="1" s="1"/>
  <c r="M581" i="1"/>
  <c r="N581" i="1" s="1"/>
  <c r="M579" i="1"/>
  <c r="N579" i="1" s="1"/>
  <c r="M582" i="1"/>
  <c r="N582" i="1" s="1"/>
  <c r="M586" i="1"/>
  <c r="N586" i="1" s="1"/>
  <c r="M578" i="1"/>
  <c r="N578" i="1" s="1"/>
  <c r="M591" i="1"/>
  <c r="N591" i="1" s="1"/>
  <c r="M592" i="1"/>
  <c r="N592" i="1" s="1"/>
  <c r="M593" i="1"/>
  <c r="N593" i="1" s="1"/>
  <c r="M596" i="1"/>
  <c r="N596" i="1" s="1"/>
  <c r="M595" i="1"/>
  <c r="N595" i="1" s="1"/>
  <c r="M599" i="1"/>
  <c r="N599" i="1" s="1"/>
  <c r="M600" i="1"/>
  <c r="N600" i="1" s="1"/>
  <c r="M598" i="1"/>
  <c r="N598" i="1" s="1"/>
  <c r="M605" i="1"/>
  <c r="N605" i="1" s="1"/>
  <c r="M606" i="1"/>
  <c r="N606" i="1" s="1"/>
  <c r="M607" i="1"/>
  <c r="N607" i="1" s="1"/>
  <c r="M602" i="1"/>
  <c r="N602" i="1" s="1"/>
  <c r="M597" i="1"/>
  <c r="N597" i="1" s="1"/>
  <c r="M604" i="1"/>
  <c r="N604" i="1" s="1"/>
  <c r="M603" i="1"/>
  <c r="N603" i="1" s="1"/>
  <c r="M601" i="1"/>
  <c r="N601" i="1" s="1"/>
  <c r="M594" i="1"/>
  <c r="N594" i="1" s="1"/>
  <c r="M613" i="1"/>
  <c r="N613" i="1" s="1"/>
  <c r="M611" i="1"/>
  <c r="N611" i="1" s="1"/>
  <c r="M615" i="1"/>
  <c r="N615" i="1" s="1"/>
  <c r="M617" i="1"/>
  <c r="N617" i="1" s="1"/>
  <c r="M609" i="1"/>
  <c r="N609" i="1" s="1"/>
  <c r="M612" i="1"/>
  <c r="N612" i="1" s="1"/>
  <c r="M616" i="1"/>
  <c r="N616" i="1" s="1"/>
  <c r="M608" i="1"/>
  <c r="N608" i="1" s="1"/>
  <c r="M610" i="1"/>
  <c r="N610" i="1" s="1"/>
  <c r="M614" i="1"/>
  <c r="N614" i="1" s="1"/>
  <c r="M625" i="1"/>
  <c r="N625" i="1" s="1"/>
  <c r="M623" i="1"/>
  <c r="N623" i="1" s="1"/>
  <c r="M622" i="1"/>
  <c r="N622" i="1" s="1"/>
  <c r="M627" i="1"/>
  <c r="N627" i="1" s="1"/>
  <c r="M631" i="1"/>
  <c r="N631" i="1" s="1"/>
  <c r="M632" i="1"/>
  <c r="N632" i="1" s="1"/>
  <c r="M630" i="1"/>
  <c r="N630" i="1" s="1"/>
  <c r="M621" i="1"/>
  <c r="N621" i="1" s="1"/>
  <c r="M619" i="1"/>
  <c r="N619" i="1" s="1"/>
  <c r="M620" i="1"/>
  <c r="N620" i="1" s="1"/>
  <c r="M629" i="1"/>
  <c r="N629" i="1" s="1"/>
  <c r="M626" i="1"/>
  <c r="N626" i="1" s="1"/>
  <c r="M624" i="1"/>
  <c r="N624" i="1" s="1"/>
  <c r="M618" i="1"/>
  <c r="N618" i="1" s="1"/>
  <c r="M628" i="1"/>
  <c r="N628" i="1" s="1"/>
  <c r="M634" i="1"/>
  <c r="N634" i="1" s="1"/>
  <c r="M635" i="1"/>
  <c r="N635" i="1" s="1"/>
  <c r="M637" i="1"/>
  <c r="N637" i="1" s="1"/>
  <c r="M641" i="1"/>
  <c r="N641" i="1" s="1"/>
  <c r="M633" i="1"/>
  <c r="N633" i="1" s="1"/>
  <c r="M639" i="1"/>
  <c r="N639" i="1" s="1"/>
  <c r="M640" i="1"/>
  <c r="N640" i="1" s="1"/>
  <c r="M642" i="1"/>
  <c r="N642" i="1" s="1"/>
  <c r="M636" i="1"/>
  <c r="N636" i="1" s="1"/>
  <c r="M638" i="1"/>
  <c r="N638" i="1" s="1"/>
  <c r="M644" i="1"/>
  <c r="N644" i="1" s="1"/>
  <c r="M646" i="1"/>
  <c r="N646" i="1" s="1"/>
  <c r="M650" i="1"/>
  <c r="N650" i="1" s="1"/>
  <c r="M651" i="1"/>
  <c r="N651" i="1" s="1"/>
  <c r="M656" i="1"/>
  <c r="N656" i="1" s="1"/>
  <c r="M655" i="1"/>
  <c r="N655" i="1" s="1"/>
  <c r="M653" i="1"/>
  <c r="N653" i="1" s="1"/>
  <c r="M645" i="1"/>
  <c r="N645" i="1" s="1"/>
  <c r="M652" i="1"/>
  <c r="N652" i="1" s="1"/>
  <c r="M657" i="1"/>
  <c r="N657" i="1" s="1"/>
  <c r="M643" i="1"/>
  <c r="N643" i="1" s="1"/>
  <c r="M658" i="1"/>
  <c r="N658" i="1" s="1"/>
  <c r="M647" i="1"/>
  <c r="N647" i="1" s="1"/>
  <c r="M648" i="1"/>
  <c r="N648" i="1" s="1"/>
  <c r="M654" i="1"/>
  <c r="N654" i="1" s="1"/>
  <c r="M649" i="1"/>
  <c r="N649" i="1" s="1"/>
  <c r="M659" i="1"/>
  <c r="N659" i="1" s="1"/>
  <c r="M674" i="1"/>
  <c r="N674" i="1" s="1"/>
  <c r="M664" i="1"/>
  <c r="N664" i="1" s="1"/>
  <c r="M673" i="1"/>
  <c r="N673" i="1" s="1"/>
  <c r="M672" i="1"/>
  <c r="N672" i="1" s="1"/>
  <c r="M668" i="1"/>
  <c r="N668" i="1" s="1"/>
  <c r="M661" i="1"/>
  <c r="N661" i="1" s="1"/>
  <c r="M662" i="1"/>
  <c r="N662" i="1" s="1"/>
  <c r="M670" i="1"/>
  <c r="N670" i="1" s="1"/>
  <c r="M665" i="1"/>
  <c r="N665" i="1" s="1"/>
  <c r="M666" i="1"/>
  <c r="N666" i="1" s="1"/>
  <c r="M671" i="1"/>
  <c r="N671" i="1" s="1"/>
  <c r="M669" i="1"/>
  <c r="N669" i="1" s="1"/>
  <c r="M663" i="1"/>
  <c r="N663" i="1" s="1"/>
  <c r="M667" i="1"/>
  <c r="N667" i="1" s="1"/>
  <c r="M660" i="1"/>
  <c r="N660" i="1" s="1"/>
  <c r="M675" i="1"/>
  <c r="N675" i="1" s="1"/>
  <c r="M677" i="1"/>
  <c r="N677" i="1" s="1"/>
  <c r="M681" i="1"/>
  <c r="N681" i="1" s="1"/>
  <c r="M687" i="1"/>
  <c r="N687" i="1" s="1"/>
  <c r="M676" i="1"/>
  <c r="N676" i="1" s="1"/>
  <c r="M688" i="1"/>
  <c r="N688" i="1" s="1"/>
  <c r="M684" i="1"/>
  <c r="N684" i="1" s="1"/>
  <c r="M685" i="1"/>
  <c r="N685" i="1" s="1"/>
  <c r="M686" i="1"/>
  <c r="N686" i="1" s="1"/>
  <c r="M682" i="1"/>
  <c r="N682" i="1" s="1"/>
  <c r="M692" i="1"/>
  <c r="N692" i="1" s="1"/>
  <c r="M680" i="1"/>
  <c r="N680" i="1" s="1"/>
  <c r="M678" i="1"/>
  <c r="N678" i="1" s="1"/>
  <c r="M691" i="1"/>
  <c r="N691" i="1" s="1"/>
  <c r="M689" i="1"/>
  <c r="N689" i="1" s="1"/>
  <c r="M690" i="1"/>
  <c r="N690" i="1" s="1"/>
  <c r="M679" i="1"/>
  <c r="N679" i="1" s="1"/>
  <c r="M683" i="1"/>
  <c r="N683" i="1" s="1"/>
  <c r="M693" i="1"/>
  <c r="N693" i="1" s="1"/>
  <c r="M697" i="1"/>
  <c r="N697" i="1" s="1"/>
  <c r="M701" i="1"/>
  <c r="N701" i="1" s="1"/>
  <c r="M695" i="1"/>
  <c r="N695" i="1" s="1"/>
  <c r="M700" i="1"/>
  <c r="N700" i="1" s="1"/>
  <c r="M702" i="1"/>
  <c r="N702" i="1" s="1"/>
  <c r="M696" i="1"/>
  <c r="N696" i="1" s="1"/>
  <c r="M694" i="1"/>
  <c r="N694" i="1" s="1"/>
  <c r="M698" i="1"/>
  <c r="N698" i="1" s="1"/>
  <c r="M699" i="1"/>
  <c r="N699" i="1" s="1"/>
  <c r="M711" i="1"/>
  <c r="N711" i="1" s="1"/>
  <c r="M708" i="1"/>
  <c r="N708" i="1" s="1"/>
  <c r="M709" i="1"/>
  <c r="N709" i="1" s="1"/>
  <c r="M710" i="1"/>
  <c r="N710" i="1" s="1"/>
  <c r="M706" i="1"/>
  <c r="N706" i="1" s="1"/>
  <c r="M707" i="1"/>
  <c r="N707" i="1" s="1"/>
  <c r="M703" i="1"/>
  <c r="N703" i="1" s="1"/>
  <c r="M704" i="1"/>
  <c r="N704" i="1" s="1"/>
  <c r="M705" i="1"/>
  <c r="N705" i="1" s="1"/>
  <c r="M713" i="1"/>
  <c r="N713" i="1" s="1"/>
  <c r="M717" i="1"/>
  <c r="N717" i="1" s="1"/>
  <c r="M715" i="1"/>
  <c r="N715" i="1" s="1"/>
  <c r="M721" i="1"/>
  <c r="N721" i="1" s="1"/>
  <c r="M714" i="1"/>
  <c r="N714" i="1" s="1"/>
  <c r="M716" i="1"/>
  <c r="N716" i="1" s="1"/>
  <c r="M719" i="1"/>
  <c r="N719" i="1" s="1"/>
  <c r="M718" i="1"/>
  <c r="N718" i="1" s="1"/>
  <c r="M720" i="1"/>
  <c r="N720" i="1" s="1"/>
  <c r="M722" i="1"/>
  <c r="N722" i="1" s="1"/>
  <c r="M712" i="1"/>
  <c r="N712" i="1" s="1"/>
  <c r="M723" i="1"/>
  <c r="N723" i="1" s="1"/>
  <c r="M727" i="1"/>
  <c r="N727" i="1" s="1"/>
  <c r="M739" i="1"/>
  <c r="N739" i="1" s="1"/>
  <c r="M735" i="1"/>
  <c r="N735" i="1" s="1"/>
  <c r="M726" i="1"/>
  <c r="N726" i="1" s="1"/>
  <c r="M728" i="1"/>
  <c r="N728" i="1" s="1"/>
  <c r="M734" i="1"/>
  <c r="N734" i="1" s="1"/>
  <c r="M730" i="1"/>
  <c r="N730" i="1" s="1"/>
  <c r="M736" i="1"/>
  <c r="N736" i="1" s="1"/>
  <c r="M725" i="1"/>
  <c r="N725" i="1" s="1"/>
  <c r="M724" i="1"/>
  <c r="N724" i="1" s="1"/>
  <c r="M729" i="1"/>
  <c r="N729" i="1" s="1"/>
  <c r="M731" i="1"/>
  <c r="N731" i="1" s="1"/>
  <c r="M737" i="1"/>
  <c r="N737" i="1" s="1"/>
  <c r="M738" i="1"/>
  <c r="N738" i="1" s="1"/>
  <c r="M733" i="1"/>
  <c r="N733" i="1" s="1"/>
  <c r="M740" i="1"/>
  <c r="N740" i="1" s="1"/>
  <c r="M732" i="1"/>
  <c r="N732" i="1" s="1"/>
  <c r="M741" i="1"/>
  <c r="N741" i="1" s="1"/>
  <c r="M748" i="1"/>
  <c r="N748" i="1" s="1"/>
  <c r="M753" i="1"/>
  <c r="N753" i="1" s="1"/>
  <c r="M743" i="1"/>
  <c r="N743" i="1" s="1"/>
  <c r="M746" i="1"/>
  <c r="N746" i="1" s="1"/>
  <c r="M756" i="1"/>
  <c r="N756" i="1" s="1"/>
  <c r="M755" i="1"/>
  <c r="N755" i="1" s="1"/>
  <c r="M749" i="1"/>
  <c r="N749" i="1" s="1"/>
  <c r="M757" i="1"/>
  <c r="N757" i="1" s="1"/>
  <c r="M745" i="1"/>
  <c r="N745" i="1" s="1"/>
  <c r="M744" i="1"/>
  <c r="N744" i="1" s="1"/>
  <c r="M747" i="1"/>
  <c r="N747" i="1" s="1"/>
  <c r="M750" i="1"/>
  <c r="N750" i="1" s="1"/>
  <c r="M752" i="1"/>
  <c r="N752" i="1" s="1"/>
  <c r="M751" i="1"/>
  <c r="N751" i="1" s="1"/>
  <c r="M754" i="1"/>
  <c r="N754" i="1" s="1"/>
  <c r="M742" i="1"/>
  <c r="N742" i="1" s="1"/>
  <c r="M759" i="1"/>
  <c r="N759" i="1" s="1"/>
  <c r="M758" i="1"/>
  <c r="N758" i="1" s="1"/>
  <c r="M769" i="1"/>
  <c r="N769" i="1" s="1"/>
  <c r="M763" i="1"/>
  <c r="N763" i="1" s="1"/>
  <c r="M764" i="1"/>
  <c r="N764" i="1" s="1"/>
  <c r="M772" i="1"/>
  <c r="N772" i="1" s="1"/>
  <c r="M768" i="1"/>
  <c r="N768" i="1" s="1"/>
  <c r="M765" i="1"/>
  <c r="N765" i="1" s="1"/>
  <c r="M761" i="1"/>
  <c r="N761" i="1" s="1"/>
  <c r="M773" i="1"/>
  <c r="N773" i="1" s="1"/>
  <c r="M766" i="1"/>
  <c r="N766" i="1" s="1"/>
  <c r="M762" i="1"/>
  <c r="N762" i="1" s="1"/>
  <c r="M760" i="1"/>
  <c r="N760" i="1" s="1"/>
  <c r="M771" i="1"/>
  <c r="N771" i="1" s="1"/>
  <c r="M767" i="1"/>
  <c r="N767" i="1" s="1"/>
  <c r="M780" i="1"/>
  <c r="N780" i="1" s="1"/>
  <c r="M778" i="1"/>
  <c r="N778" i="1" s="1"/>
  <c r="M781" i="1"/>
  <c r="N781" i="1" s="1"/>
  <c r="M774" i="1"/>
  <c r="N774" i="1" s="1"/>
  <c r="M777" i="1"/>
  <c r="N777" i="1" s="1"/>
  <c r="M776" i="1"/>
  <c r="N776" i="1" s="1"/>
  <c r="M782" i="1"/>
  <c r="N782" i="1" s="1"/>
  <c r="M779" i="1"/>
  <c r="N779" i="1" s="1"/>
  <c r="M775" i="1"/>
  <c r="N775" i="1" s="1"/>
  <c r="M785" i="1"/>
  <c r="N785" i="1" s="1"/>
  <c r="M796" i="1"/>
  <c r="N796" i="1" s="1"/>
  <c r="M789" i="1"/>
  <c r="N789" i="1" s="1"/>
  <c r="M788" i="1"/>
  <c r="N788" i="1" s="1"/>
  <c r="M798" i="1"/>
  <c r="N798" i="1" s="1"/>
  <c r="M794" i="1"/>
  <c r="N794" i="1" s="1"/>
  <c r="M791" i="1"/>
  <c r="N791" i="1" s="1"/>
  <c r="M783" i="1"/>
  <c r="N783" i="1" s="1"/>
  <c r="M784" i="1"/>
  <c r="N784" i="1" s="1"/>
  <c r="M786" i="1"/>
  <c r="N786" i="1" s="1"/>
  <c r="M795" i="1"/>
  <c r="N795" i="1" s="1"/>
  <c r="M797" i="1"/>
  <c r="N797" i="1" s="1"/>
  <c r="M792" i="1"/>
  <c r="N792" i="1" s="1"/>
  <c r="M793" i="1"/>
  <c r="N793" i="1" s="1"/>
  <c r="M790" i="1"/>
  <c r="N790" i="1" s="1"/>
  <c r="M787" i="1"/>
  <c r="N787" i="1" s="1"/>
  <c r="M807" i="1"/>
  <c r="N807" i="1" s="1"/>
  <c r="M496" i="1"/>
  <c r="N496" i="1" s="1"/>
  <c r="G499" i="1"/>
  <c r="P499" i="1" s="1"/>
  <c r="G494" i="1"/>
  <c r="P494" i="1" s="1"/>
  <c r="G514" i="1"/>
  <c r="P514" i="1" s="1"/>
  <c r="G510" i="1"/>
  <c r="P510" i="1" s="1"/>
  <c r="G511" i="1"/>
  <c r="P511" i="1" s="1"/>
  <c r="G506" i="1"/>
  <c r="P506" i="1" s="1"/>
  <c r="G515" i="1"/>
  <c r="P515" i="1" s="1"/>
  <c r="G518" i="1"/>
  <c r="P518" i="1" s="1"/>
  <c r="G513" i="1"/>
  <c r="P513" i="1" s="1"/>
  <c r="G512" i="1"/>
  <c r="P512" i="1" s="1"/>
  <c r="G507" i="1"/>
  <c r="P507" i="1" s="1"/>
  <c r="G516" i="1"/>
  <c r="P516" i="1" s="1"/>
  <c r="G505" i="1"/>
  <c r="P505" i="1" s="1"/>
  <c r="G508" i="1"/>
  <c r="P508" i="1" s="1"/>
  <c r="G509" i="1"/>
  <c r="P509" i="1" s="1"/>
  <c r="G517" i="1"/>
  <c r="P517" i="1" s="1"/>
  <c r="G504" i="1"/>
  <c r="P504" i="1" s="1"/>
  <c r="G522" i="1"/>
  <c r="P522" i="1" s="1"/>
  <c r="G524" i="1"/>
  <c r="P524" i="1" s="1"/>
  <c r="G535" i="1"/>
  <c r="P535" i="1" s="1"/>
  <c r="G536" i="1"/>
  <c r="P536" i="1" s="1"/>
  <c r="G523" i="1"/>
  <c r="P523" i="1" s="1"/>
  <c r="G528" i="1"/>
  <c r="P528" i="1" s="1"/>
  <c r="G520" i="1"/>
  <c r="P520" i="1" s="1"/>
  <c r="G532" i="1"/>
  <c r="P532" i="1" s="1"/>
  <c r="G521" i="1"/>
  <c r="P521" i="1" s="1"/>
  <c r="G526" i="1"/>
  <c r="P526" i="1" s="1"/>
  <c r="G534" i="1"/>
  <c r="P534" i="1" s="1"/>
  <c r="G529" i="1"/>
  <c r="P529" i="1" s="1"/>
  <c r="G533" i="1"/>
  <c r="P533" i="1" s="1"/>
  <c r="G525" i="1"/>
  <c r="P525" i="1" s="1"/>
  <c r="G531" i="1"/>
  <c r="P531" i="1" s="1"/>
  <c r="G530" i="1"/>
  <c r="P530" i="1" s="1"/>
  <c r="G527" i="1"/>
  <c r="P527" i="1" s="1"/>
  <c r="G519" i="1"/>
  <c r="P519" i="1" s="1"/>
  <c r="G537" i="1"/>
  <c r="P537" i="1" s="1"/>
  <c r="G548" i="1"/>
  <c r="P548" i="1" s="1"/>
  <c r="G549" i="1"/>
  <c r="P549" i="1" s="1"/>
  <c r="G550" i="1"/>
  <c r="P550" i="1" s="1"/>
  <c r="G553" i="1"/>
  <c r="P553" i="1" s="1"/>
  <c r="G554" i="1"/>
  <c r="P554" i="1" s="1"/>
  <c r="G546" i="1"/>
  <c r="P546" i="1" s="1"/>
  <c r="G542" i="1"/>
  <c r="P542" i="1" s="1"/>
  <c r="G540" i="1"/>
  <c r="P540" i="1" s="1"/>
  <c r="G551" i="1"/>
  <c r="P551" i="1" s="1"/>
  <c r="G544" i="1"/>
  <c r="P544" i="1" s="1"/>
  <c r="G541" i="1"/>
  <c r="P541" i="1" s="1"/>
  <c r="G538" i="1"/>
  <c r="P538" i="1" s="1"/>
  <c r="G539" i="1"/>
  <c r="P539" i="1" s="1"/>
  <c r="G543" i="1"/>
  <c r="P543" i="1" s="1"/>
  <c r="G547" i="1"/>
  <c r="P547" i="1" s="1"/>
  <c r="G552" i="1"/>
  <c r="P552" i="1" s="1"/>
  <c r="G555" i="1"/>
  <c r="P555" i="1" s="1"/>
  <c r="G545" i="1"/>
  <c r="P545" i="1" s="1"/>
  <c r="G565" i="1"/>
  <c r="P565" i="1" s="1"/>
  <c r="G570" i="1"/>
  <c r="P570" i="1" s="1"/>
  <c r="G562" i="1"/>
  <c r="P562" i="1" s="1"/>
  <c r="G561" i="1"/>
  <c r="P561" i="1" s="1"/>
  <c r="G568" i="1"/>
  <c r="P568" i="1" s="1"/>
  <c r="G560" i="1"/>
  <c r="P560" i="1" s="1"/>
  <c r="G559" i="1"/>
  <c r="P559" i="1" s="1"/>
  <c r="G558" i="1"/>
  <c r="P558" i="1" s="1"/>
  <c r="G564" i="1"/>
  <c r="P564" i="1" s="1"/>
  <c r="G557" i="1"/>
  <c r="P557" i="1" s="1"/>
  <c r="G556" i="1"/>
  <c r="P556" i="1" s="1"/>
  <c r="G566" i="1"/>
  <c r="P566" i="1" s="1"/>
  <c r="G571" i="1"/>
  <c r="P571" i="1" s="1"/>
  <c r="G563" i="1"/>
  <c r="P563" i="1" s="1"/>
  <c r="G569" i="1"/>
  <c r="P569" i="1" s="1"/>
  <c r="G572" i="1"/>
  <c r="P572" i="1" s="1"/>
  <c r="G567" i="1"/>
  <c r="P567" i="1" s="1"/>
  <c r="G589" i="1"/>
  <c r="P589" i="1" s="1"/>
  <c r="G585" i="1"/>
  <c r="P585" i="1" s="1"/>
  <c r="G575" i="1"/>
  <c r="P575" i="1" s="1"/>
  <c r="G576" i="1"/>
  <c r="P576" i="1" s="1"/>
  <c r="G577" i="1"/>
  <c r="P577" i="1" s="1"/>
  <c r="G584" i="1"/>
  <c r="P584" i="1" s="1"/>
  <c r="G587" i="1"/>
  <c r="P587" i="1" s="1"/>
  <c r="G583" i="1"/>
  <c r="P583" i="1" s="1"/>
  <c r="G588" i="1"/>
  <c r="P588" i="1" s="1"/>
  <c r="G580" i="1"/>
  <c r="P580" i="1" s="1"/>
  <c r="G574" i="1"/>
  <c r="P574" i="1" s="1"/>
  <c r="G590" i="1"/>
  <c r="P590" i="1" s="1"/>
  <c r="G573" i="1"/>
  <c r="P573" i="1" s="1"/>
  <c r="G581" i="1"/>
  <c r="P581" i="1" s="1"/>
  <c r="G579" i="1"/>
  <c r="P579" i="1" s="1"/>
  <c r="G582" i="1"/>
  <c r="P582" i="1" s="1"/>
  <c r="G586" i="1"/>
  <c r="P586" i="1" s="1"/>
  <c r="G578" i="1"/>
  <c r="P578" i="1" s="1"/>
  <c r="G591" i="1"/>
  <c r="P591" i="1" s="1"/>
  <c r="G592" i="1"/>
  <c r="P592" i="1" s="1"/>
  <c r="G593" i="1"/>
  <c r="P593" i="1" s="1"/>
  <c r="G596" i="1"/>
  <c r="P596" i="1" s="1"/>
  <c r="G595" i="1"/>
  <c r="P595" i="1" s="1"/>
  <c r="G599" i="1"/>
  <c r="P599" i="1" s="1"/>
  <c r="G600" i="1"/>
  <c r="P600" i="1" s="1"/>
  <c r="G598" i="1"/>
  <c r="P598" i="1" s="1"/>
  <c r="G605" i="1"/>
  <c r="P605" i="1" s="1"/>
  <c r="G606" i="1"/>
  <c r="P606" i="1" s="1"/>
  <c r="G607" i="1"/>
  <c r="P607" i="1" s="1"/>
  <c r="G602" i="1"/>
  <c r="P602" i="1" s="1"/>
  <c r="G597" i="1"/>
  <c r="P597" i="1" s="1"/>
  <c r="G604" i="1"/>
  <c r="P604" i="1" s="1"/>
  <c r="G603" i="1"/>
  <c r="P603" i="1" s="1"/>
  <c r="G601" i="1"/>
  <c r="P601" i="1" s="1"/>
  <c r="G594" i="1"/>
  <c r="P594" i="1" s="1"/>
  <c r="G613" i="1"/>
  <c r="P613" i="1" s="1"/>
  <c r="G611" i="1"/>
  <c r="P611" i="1" s="1"/>
  <c r="G615" i="1"/>
  <c r="P615" i="1" s="1"/>
  <c r="G617" i="1"/>
  <c r="P617" i="1" s="1"/>
  <c r="G609" i="1"/>
  <c r="P609" i="1" s="1"/>
  <c r="G612" i="1"/>
  <c r="P612" i="1" s="1"/>
  <c r="G616" i="1"/>
  <c r="P616" i="1" s="1"/>
  <c r="G608" i="1"/>
  <c r="P608" i="1" s="1"/>
  <c r="G610" i="1"/>
  <c r="P610" i="1" s="1"/>
  <c r="G614" i="1"/>
  <c r="P614" i="1" s="1"/>
  <c r="G625" i="1"/>
  <c r="P625" i="1" s="1"/>
  <c r="G623" i="1"/>
  <c r="P623" i="1" s="1"/>
  <c r="G622" i="1"/>
  <c r="P622" i="1" s="1"/>
  <c r="G627" i="1"/>
  <c r="P627" i="1" s="1"/>
  <c r="G631" i="1"/>
  <c r="P631" i="1" s="1"/>
  <c r="G632" i="1"/>
  <c r="P632" i="1" s="1"/>
  <c r="G630" i="1"/>
  <c r="P630" i="1" s="1"/>
  <c r="G621" i="1"/>
  <c r="P621" i="1" s="1"/>
  <c r="G619" i="1"/>
  <c r="P619" i="1" s="1"/>
  <c r="G620" i="1"/>
  <c r="P620" i="1" s="1"/>
  <c r="G629" i="1"/>
  <c r="P629" i="1" s="1"/>
  <c r="G626" i="1"/>
  <c r="P626" i="1" s="1"/>
  <c r="G624" i="1"/>
  <c r="P624" i="1" s="1"/>
  <c r="G618" i="1"/>
  <c r="P618" i="1" s="1"/>
  <c r="G628" i="1"/>
  <c r="P628" i="1" s="1"/>
  <c r="G634" i="1"/>
  <c r="P634" i="1" s="1"/>
  <c r="G635" i="1"/>
  <c r="P635" i="1" s="1"/>
  <c r="G637" i="1"/>
  <c r="P637" i="1" s="1"/>
  <c r="G641" i="1"/>
  <c r="P641" i="1" s="1"/>
  <c r="G633" i="1"/>
  <c r="P633" i="1" s="1"/>
  <c r="G639" i="1"/>
  <c r="P639" i="1" s="1"/>
  <c r="G640" i="1"/>
  <c r="P640" i="1" s="1"/>
  <c r="G642" i="1"/>
  <c r="P642" i="1" s="1"/>
  <c r="G636" i="1"/>
  <c r="P636" i="1" s="1"/>
  <c r="G638" i="1"/>
  <c r="P638" i="1" s="1"/>
  <c r="G644" i="1"/>
  <c r="P644" i="1" s="1"/>
  <c r="G646" i="1"/>
  <c r="P646" i="1" s="1"/>
  <c r="G650" i="1"/>
  <c r="P650" i="1" s="1"/>
  <c r="G651" i="1"/>
  <c r="P651" i="1" s="1"/>
  <c r="G656" i="1"/>
  <c r="P656" i="1" s="1"/>
  <c r="G655" i="1"/>
  <c r="P655" i="1" s="1"/>
  <c r="G653" i="1"/>
  <c r="P653" i="1" s="1"/>
  <c r="G645" i="1"/>
  <c r="P645" i="1" s="1"/>
  <c r="G652" i="1"/>
  <c r="P652" i="1" s="1"/>
  <c r="G657" i="1"/>
  <c r="P657" i="1" s="1"/>
  <c r="G643" i="1"/>
  <c r="P643" i="1" s="1"/>
  <c r="G658" i="1"/>
  <c r="P658" i="1" s="1"/>
  <c r="G647" i="1"/>
  <c r="P647" i="1" s="1"/>
  <c r="G648" i="1"/>
  <c r="P648" i="1" s="1"/>
  <c r="G654" i="1"/>
  <c r="P654" i="1" s="1"/>
  <c r="G649" i="1"/>
  <c r="P649" i="1" s="1"/>
  <c r="G659" i="1"/>
  <c r="P659" i="1" s="1"/>
  <c r="G674" i="1"/>
  <c r="P674" i="1" s="1"/>
  <c r="G664" i="1"/>
  <c r="P664" i="1" s="1"/>
  <c r="G673" i="1"/>
  <c r="P673" i="1" s="1"/>
  <c r="G672" i="1"/>
  <c r="P672" i="1" s="1"/>
  <c r="G668" i="1"/>
  <c r="P668" i="1" s="1"/>
  <c r="G661" i="1"/>
  <c r="P661" i="1" s="1"/>
  <c r="G662" i="1"/>
  <c r="P662" i="1" s="1"/>
  <c r="G670" i="1"/>
  <c r="P670" i="1" s="1"/>
  <c r="G665" i="1"/>
  <c r="P665" i="1" s="1"/>
  <c r="P666" i="1"/>
  <c r="P671" i="1"/>
  <c r="G669" i="1"/>
  <c r="P669" i="1" s="1"/>
  <c r="G663" i="1"/>
  <c r="P663" i="1" s="1"/>
  <c r="G667" i="1"/>
  <c r="P667" i="1" s="1"/>
  <c r="G660" i="1"/>
  <c r="P660" i="1" s="1"/>
  <c r="G675" i="1"/>
  <c r="P675" i="1" s="1"/>
  <c r="G677" i="1"/>
  <c r="P677" i="1" s="1"/>
  <c r="G681" i="1"/>
  <c r="P681" i="1" s="1"/>
  <c r="G687" i="1"/>
  <c r="P687" i="1" s="1"/>
  <c r="G676" i="1"/>
  <c r="P676" i="1" s="1"/>
  <c r="G688" i="1"/>
  <c r="P688" i="1" s="1"/>
  <c r="G684" i="1"/>
  <c r="P684" i="1" s="1"/>
  <c r="G685" i="1"/>
  <c r="P685" i="1" s="1"/>
  <c r="G686" i="1"/>
  <c r="P686" i="1" s="1"/>
  <c r="G682" i="1"/>
  <c r="P682" i="1" s="1"/>
  <c r="G692" i="1"/>
  <c r="P692" i="1" s="1"/>
  <c r="G680" i="1"/>
  <c r="P680" i="1" s="1"/>
  <c r="G678" i="1"/>
  <c r="P678" i="1" s="1"/>
  <c r="G691" i="1"/>
  <c r="P691" i="1" s="1"/>
  <c r="G689" i="1"/>
  <c r="P689" i="1" s="1"/>
  <c r="G690" i="1"/>
  <c r="P690" i="1" s="1"/>
  <c r="G679" i="1"/>
  <c r="P679" i="1" s="1"/>
  <c r="G683" i="1"/>
  <c r="P683" i="1" s="1"/>
  <c r="G693" i="1"/>
  <c r="P693" i="1" s="1"/>
  <c r="G697" i="1"/>
  <c r="P697" i="1" s="1"/>
  <c r="G701" i="1"/>
  <c r="P701" i="1" s="1"/>
  <c r="G695" i="1"/>
  <c r="P695" i="1" s="1"/>
  <c r="G700" i="1"/>
  <c r="P700" i="1" s="1"/>
  <c r="G702" i="1"/>
  <c r="P702" i="1" s="1"/>
  <c r="G696" i="1"/>
  <c r="P696" i="1" s="1"/>
  <c r="G694" i="1"/>
  <c r="P694" i="1" s="1"/>
  <c r="G698" i="1"/>
  <c r="P698" i="1" s="1"/>
  <c r="G699" i="1"/>
  <c r="P699" i="1" s="1"/>
  <c r="G711" i="1"/>
  <c r="P711" i="1" s="1"/>
  <c r="G708" i="1"/>
  <c r="P708" i="1" s="1"/>
  <c r="G709" i="1"/>
  <c r="P709" i="1" s="1"/>
  <c r="G710" i="1"/>
  <c r="P710" i="1" s="1"/>
  <c r="G706" i="1"/>
  <c r="P706" i="1" s="1"/>
  <c r="G707" i="1"/>
  <c r="P707" i="1" s="1"/>
  <c r="G703" i="1"/>
  <c r="P703" i="1" s="1"/>
  <c r="G704" i="1"/>
  <c r="P704" i="1" s="1"/>
  <c r="G705" i="1"/>
  <c r="P705" i="1" s="1"/>
  <c r="G713" i="1"/>
  <c r="P713" i="1" s="1"/>
  <c r="G717" i="1"/>
  <c r="P717" i="1" s="1"/>
  <c r="G715" i="1"/>
  <c r="P715" i="1" s="1"/>
  <c r="G721" i="1"/>
  <c r="P721" i="1" s="1"/>
  <c r="G714" i="1"/>
  <c r="P714" i="1" s="1"/>
  <c r="G716" i="1"/>
  <c r="P716" i="1" s="1"/>
  <c r="G719" i="1"/>
  <c r="P719" i="1" s="1"/>
  <c r="G718" i="1"/>
  <c r="P718" i="1" s="1"/>
  <c r="G720" i="1"/>
  <c r="P720" i="1" s="1"/>
  <c r="G722" i="1"/>
  <c r="P722" i="1" s="1"/>
  <c r="G712" i="1"/>
  <c r="P712" i="1" s="1"/>
  <c r="G723" i="1"/>
  <c r="P723" i="1" s="1"/>
  <c r="G727" i="1"/>
  <c r="P727" i="1" s="1"/>
  <c r="G739" i="1"/>
  <c r="P739" i="1" s="1"/>
  <c r="G735" i="1"/>
  <c r="P735" i="1" s="1"/>
  <c r="G726" i="1"/>
  <c r="P726" i="1" s="1"/>
  <c r="G728" i="1"/>
  <c r="P728" i="1" s="1"/>
  <c r="G734" i="1"/>
  <c r="P734" i="1" s="1"/>
  <c r="G730" i="1"/>
  <c r="P730" i="1" s="1"/>
  <c r="G736" i="1"/>
  <c r="P736" i="1" s="1"/>
  <c r="G725" i="1"/>
  <c r="P725" i="1" s="1"/>
  <c r="G724" i="1"/>
  <c r="P724" i="1" s="1"/>
  <c r="G729" i="1"/>
  <c r="P729" i="1" s="1"/>
  <c r="G731" i="1"/>
  <c r="P731" i="1" s="1"/>
  <c r="G737" i="1"/>
  <c r="P737" i="1" s="1"/>
  <c r="G738" i="1"/>
  <c r="P738" i="1" s="1"/>
  <c r="G733" i="1"/>
  <c r="P733" i="1" s="1"/>
  <c r="G740" i="1"/>
  <c r="P740" i="1" s="1"/>
  <c r="G732" i="1"/>
  <c r="P732" i="1" s="1"/>
  <c r="G741" i="1"/>
  <c r="P741" i="1" s="1"/>
  <c r="G748" i="1"/>
  <c r="P748" i="1" s="1"/>
  <c r="G753" i="1"/>
  <c r="P753" i="1" s="1"/>
  <c r="G743" i="1"/>
  <c r="P743" i="1" s="1"/>
  <c r="G746" i="1"/>
  <c r="P746" i="1" s="1"/>
  <c r="G756" i="1"/>
  <c r="P756" i="1" s="1"/>
  <c r="G755" i="1"/>
  <c r="P755" i="1" s="1"/>
  <c r="G749" i="1"/>
  <c r="P749" i="1" s="1"/>
  <c r="G757" i="1"/>
  <c r="P757" i="1" s="1"/>
  <c r="G745" i="1"/>
  <c r="P745" i="1" s="1"/>
  <c r="G744" i="1"/>
  <c r="P744" i="1" s="1"/>
  <c r="G747" i="1"/>
  <c r="P747" i="1" s="1"/>
  <c r="G750" i="1"/>
  <c r="P750" i="1" s="1"/>
  <c r="G752" i="1"/>
  <c r="P752" i="1" s="1"/>
  <c r="G751" i="1"/>
  <c r="P751" i="1" s="1"/>
  <c r="G754" i="1"/>
  <c r="P754" i="1" s="1"/>
  <c r="G742" i="1"/>
  <c r="P742" i="1" s="1"/>
  <c r="G759" i="1"/>
  <c r="P759" i="1" s="1"/>
  <c r="G758" i="1"/>
  <c r="P758" i="1" s="1"/>
  <c r="G769" i="1"/>
  <c r="P769" i="1" s="1"/>
  <c r="G763" i="1"/>
  <c r="P763" i="1" s="1"/>
  <c r="G764" i="1"/>
  <c r="P764" i="1" s="1"/>
  <c r="G772" i="1"/>
  <c r="P772" i="1" s="1"/>
  <c r="G768" i="1"/>
  <c r="P768" i="1" s="1"/>
  <c r="G765" i="1"/>
  <c r="P765" i="1" s="1"/>
  <c r="G761" i="1"/>
  <c r="P761" i="1" s="1"/>
  <c r="G773" i="1"/>
  <c r="P773" i="1" s="1"/>
  <c r="G766" i="1"/>
  <c r="P766" i="1" s="1"/>
  <c r="G762" i="1"/>
  <c r="P762" i="1" s="1"/>
  <c r="G770" i="1"/>
  <c r="P770" i="1" s="1"/>
  <c r="G760" i="1"/>
  <c r="P760" i="1" s="1"/>
  <c r="G771" i="1"/>
  <c r="P771" i="1" s="1"/>
  <c r="G767" i="1"/>
  <c r="P767" i="1" s="1"/>
  <c r="G780" i="1"/>
  <c r="P780" i="1" s="1"/>
  <c r="G778" i="1"/>
  <c r="P778" i="1" s="1"/>
  <c r="G781" i="1"/>
  <c r="P781" i="1" s="1"/>
  <c r="G774" i="1"/>
  <c r="P774" i="1" s="1"/>
  <c r="G777" i="1"/>
  <c r="P777" i="1" s="1"/>
  <c r="G776" i="1"/>
  <c r="P776" i="1" s="1"/>
  <c r="G782" i="1"/>
  <c r="P782" i="1" s="1"/>
  <c r="G779" i="1"/>
  <c r="P779" i="1" s="1"/>
  <c r="G775" i="1"/>
  <c r="P775" i="1" s="1"/>
  <c r="G785" i="1"/>
  <c r="P785" i="1" s="1"/>
  <c r="G796" i="1"/>
  <c r="P796" i="1" s="1"/>
  <c r="G789" i="1"/>
  <c r="P789" i="1" s="1"/>
  <c r="G788" i="1"/>
  <c r="P788" i="1" s="1"/>
  <c r="G798" i="1"/>
  <c r="P798" i="1" s="1"/>
  <c r="G794" i="1"/>
  <c r="P794" i="1" s="1"/>
  <c r="G791" i="1"/>
  <c r="P791" i="1" s="1"/>
  <c r="G783" i="1"/>
  <c r="P783" i="1" s="1"/>
  <c r="G784" i="1"/>
  <c r="P784" i="1" s="1"/>
  <c r="G786" i="1"/>
  <c r="P786" i="1" s="1"/>
  <c r="G795" i="1"/>
  <c r="P795" i="1" s="1"/>
  <c r="G797" i="1"/>
  <c r="P797" i="1" s="1"/>
  <c r="G792" i="1"/>
  <c r="P792" i="1" s="1"/>
  <c r="G793" i="1"/>
  <c r="P793" i="1" s="1"/>
  <c r="G790" i="1"/>
  <c r="P790" i="1" s="1"/>
  <c r="G787" i="1"/>
  <c r="P787" i="1" s="1"/>
  <c r="P807" i="1"/>
  <c r="G496" i="1"/>
  <c r="P496" i="1" s="1"/>
  <c r="G295" i="1" l="1"/>
  <c r="P295" i="1" s="1"/>
  <c r="O298" i="1"/>
  <c r="O303" i="1"/>
  <c r="O295" i="1"/>
  <c r="O305" i="1"/>
  <c r="O300" i="1"/>
  <c r="O308" i="1"/>
  <c r="O313" i="1"/>
  <c r="O317" i="1"/>
  <c r="O318" i="1"/>
  <c r="O307" i="1"/>
  <c r="O306" i="1"/>
  <c r="O311" i="1"/>
  <c r="O315" i="1"/>
  <c r="O314" i="1"/>
  <c r="O319" i="1"/>
  <c r="O310" i="1"/>
  <c r="O309" i="1"/>
  <c r="O320" i="1"/>
  <c r="O312" i="1"/>
  <c r="O316" i="1"/>
  <c r="O321" i="1"/>
  <c r="O330" i="1"/>
  <c r="O328" i="1"/>
  <c r="O324" i="1"/>
  <c r="O329" i="1"/>
  <c r="O327" i="1"/>
  <c r="O326" i="1"/>
  <c r="O322" i="1"/>
  <c r="O323" i="1"/>
  <c r="O325" i="1"/>
  <c r="O341" i="1"/>
  <c r="O332" i="1"/>
  <c r="O337" i="1"/>
  <c r="O336" i="1"/>
  <c r="O340" i="1"/>
  <c r="O335" i="1"/>
  <c r="O342" i="1"/>
  <c r="O338" i="1"/>
  <c r="O343" i="1"/>
  <c r="O333" i="1"/>
  <c r="O331" i="1"/>
  <c r="O339" i="1"/>
  <c r="O334" i="1"/>
  <c r="O344" i="1"/>
  <c r="O345" i="1"/>
  <c r="O348" i="1"/>
  <c r="O353" i="1"/>
  <c r="O358" i="1"/>
  <c r="O354" i="1"/>
  <c r="O356" i="1"/>
  <c r="O350" i="1"/>
  <c r="O347" i="1"/>
  <c r="O357" i="1"/>
  <c r="O352" i="1"/>
  <c r="O355" i="1"/>
  <c r="O351" i="1"/>
  <c r="O346" i="1"/>
  <c r="O349" i="1"/>
  <c r="O359" i="1"/>
  <c r="O364" i="1"/>
  <c r="O363" i="1"/>
  <c r="O365" i="1"/>
  <c r="O361" i="1"/>
  <c r="O360" i="1"/>
  <c r="O362" i="1"/>
  <c r="O366" i="1"/>
  <c r="O369" i="1"/>
  <c r="O371" i="1"/>
  <c r="O368" i="1"/>
  <c r="O367" i="1"/>
  <c r="O370" i="1"/>
  <c r="O372" i="1"/>
  <c r="O373" i="1"/>
  <c r="O380" i="1"/>
  <c r="O374" i="1"/>
  <c r="O389" i="1"/>
  <c r="O379" i="1"/>
  <c r="O381" i="1"/>
  <c r="O375" i="1"/>
  <c r="O388" i="1"/>
  <c r="O383" i="1"/>
  <c r="O378" i="1"/>
  <c r="O384" i="1"/>
  <c r="O387" i="1"/>
  <c r="O382" i="1"/>
  <c r="O386" i="1"/>
  <c r="O385" i="1"/>
  <c r="O377" i="1"/>
  <c r="O390" i="1"/>
  <c r="O376" i="1"/>
  <c r="O391" i="1"/>
  <c r="O395" i="1"/>
  <c r="O410" i="1"/>
  <c r="O399" i="1"/>
  <c r="O397" i="1"/>
  <c r="O400" i="1"/>
  <c r="O409" i="1"/>
  <c r="O402" i="1"/>
  <c r="O411" i="1"/>
  <c r="O405" i="1"/>
  <c r="O404" i="1"/>
  <c r="O398" i="1"/>
  <c r="O407" i="1"/>
  <c r="O401" i="1"/>
  <c r="O396" i="1"/>
  <c r="O403" i="1"/>
  <c r="O393" i="1"/>
  <c r="O406" i="1"/>
  <c r="O392" i="1"/>
  <c r="O408" i="1"/>
  <c r="O394" i="1"/>
  <c r="O413" i="1"/>
  <c r="O426" i="1"/>
  <c r="O420" i="1"/>
  <c r="O429" i="1"/>
  <c r="O433" i="1"/>
  <c r="O414" i="1"/>
  <c r="O412" i="1"/>
  <c r="O423" i="1"/>
  <c r="O417" i="1"/>
  <c r="O419" i="1"/>
  <c r="O428" i="1"/>
  <c r="O432" i="1"/>
  <c r="O430" i="1"/>
  <c r="O434" i="1"/>
  <c r="O422" i="1"/>
  <c r="O425" i="1"/>
  <c r="O415" i="1"/>
  <c r="O418" i="1"/>
  <c r="O416" i="1"/>
  <c r="O421" i="1"/>
  <c r="O424" i="1"/>
  <c r="O431" i="1"/>
  <c r="O427" i="1"/>
  <c r="O441" i="1"/>
  <c r="O443" i="1"/>
  <c r="O447" i="1"/>
  <c r="O438" i="1"/>
  <c r="O437" i="1"/>
  <c r="O442" i="1"/>
  <c r="O444" i="1"/>
  <c r="O439" i="1"/>
  <c r="O445" i="1"/>
  <c r="O435" i="1"/>
  <c r="O440" i="1"/>
  <c r="O436" i="1"/>
  <c r="O446" i="1"/>
  <c r="O455" i="1"/>
  <c r="O450" i="1"/>
  <c r="O454" i="1"/>
  <c r="O463" i="1"/>
  <c r="O453" i="1"/>
  <c r="O448" i="1"/>
  <c r="O449" i="1"/>
  <c r="O451" i="1"/>
  <c r="O452" i="1"/>
  <c r="O456" i="1"/>
  <c r="O462" i="1"/>
  <c r="O461" i="1"/>
  <c r="O457" i="1"/>
  <c r="O460" i="1"/>
  <c r="O458" i="1"/>
  <c r="O459" i="1"/>
  <c r="O467" i="1"/>
  <c r="O473" i="1"/>
  <c r="O464" i="1"/>
  <c r="O471" i="1"/>
  <c r="O472" i="1"/>
  <c r="O468" i="1"/>
  <c r="O474" i="1"/>
  <c r="O466" i="1"/>
  <c r="O469" i="1"/>
  <c r="O470" i="1"/>
  <c r="O465" i="1"/>
  <c r="O482" i="1"/>
  <c r="O488" i="1"/>
  <c r="O493" i="1"/>
  <c r="O480" i="1"/>
  <c r="O490" i="1"/>
  <c r="O487" i="1"/>
  <c r="O491" i="1"/>
  <c r="O479" i="1"/>
  <c r="O483" i="1"/>
  <c r="O486" i="1"/>
  <c r="O476" i="1"/>
  <c r="O477" i="1"/>
  <c r="O492" i="1"/>
  <c r="O484" i="1"/>
  <c r="O478" i="1"/>
  <c r="O489" i="1"/>
  <c r="O485" i="1"/>
  <c r="O475" i="1"/>
  <c r="O481" i="1"/>
  <c r="O495" i="1"/>
  <c r="O503" i="1"/>
  <c r="O501" i="1"/>
  <c r="O497" i="1"/>
  <c r="O500" i="1"/>
  <c r="O502" i="1"/>
  <c r="O498" i="1"/>
  <c r="M298" i="1"/>
  <c r="N298" i="1" s="1"/>
  <c r="M303" i="1"/>
  <c r="N303" i="1" s="1"/>
  <c r="M295" i="1"/>
  <c r="N295" i="1" s="1"/>
  <c r="M305" i="1"/>
  <c r="N305" i="1" s="1"/>
  <c r="M300" i="1"/>
  <c r="N300" i="1" s="1"/>
  <c r="M308" i="1"/>
  <c r="N308" i="1" s="1"/>
  <c r="M313" i="1"/>
  <c r="N313" i="1" s="1"/>
  <c r="M317" i="1"/>
  <c r="N317" i="1" s="1"/>
  <c r="M318" i="1"/>
  <c r="N318" i="1" s="1"/>
  <c r="M307" i="1"/>
  <c r="N307" i="1" s="1"/>
  <c r="M306" i="1"/>
  <c r="N306" i="1" s="1"/>
  <c r="M311" i="1"/>
  <c r="N311" i="1" s="1"/>
  <c r="M315" i="1"/>
  <c r="N315" i="1" s="1"/>
  <c r="M314" i="1"/>
  <c r="N314" i="1" s="1"/>
  <c r="M319" i="1"/>
  <c r="N319" i="1" s="1"/>
  <c r="M310" i="1"/>
  <c r="N310" i="1" s="1"/>
  <c r="M309" i="1"/>
  <c r="N309" i="1" s="1"/>
  <c r="M320" i="1"/>
  <c r="N320" i="1" s="1"/>
  <c r="M312" i="1"/>
  <c r="N312" i="1" s="1"/>
  <c r="M316" i="1"/>
  <c r="N316" i="1" s="1"/>
  <c r="M321" i="1"/>
  <c r="N321" i="1" s="1"/>
  <c r="M330" i="1"/>
  <c r="N330" i="1" s="1"/>
  <c r="M328" i="1"/>
  <c r="N328" i="1" s="1"/>
  <c r="M324" i="1"/>
  <c r="N324" i="1" s="1"/>
  <c r="M329" i="1"/>
  <c r="N329" i="1" s="1"/>
  <c r="M327" i="1"/>
  <c r="N327" i="1" s="1"/>
  <c r="M326" i="1"/>
  <c r="N326" i="1" s="1"/>
  <c r="M322" i="1"/>
  <c r="N322" i="1" s="1"/>
  <c r="M323" i="1"/>
  <c r="N323" i="1" s="1"/>
  <c r="M325" i="1"/>
  <c r="N325" i="1" s="1"/>
  <c r="M341" i="1"/>
  <c r="N341" i="1" s="1"/>
  <c r="M332" i="1"/>
  <c r="N332" i="1" s="1"/>
  <c r="M337" i="1"/>
  <c r="N337" i="1" s="1"/>
  <c r="M336" i="1"/>
  <c r="N336" i="1" s="1"/>
  <c r="M340" i="1"/>
  <c r="N340" i="1" s="1"/>
  <c r="M335" i="1"/>
  <c r="N335" i="1" s="1"/>
  <c r="M342" i="1"/>
  <c r="N342" i="1" s="1"/>
  <c r="M338" i="1"/>
  <c r="N338" i="1" s="1"/>
  <c r="M343" i="1"/>
  <c r="N343" i="1" s="1"/>
  <c r="M333" i="1"/>
  <c r="N333" i="1" s="1"/>
  <c r="M331" i="1"/>
  <c r="N331" i="1" s="1"/>
  <c r="M339" i="1"/>
  <c r="N339" i="1" s="1"/>
  <c r="M334" i="1"/>
  <c r="N334" i="1" s="1"/>
  <c r="M344" i="1"/>
  <c r="N344" i="1" s="1"/>
  <c r="M345" i="1"/>
  <c r="N345" i="1" s="1"/>
  <c r="M348" i="1"/>
  <c r="N348" i="1" s="1"/>
  <c r="M353" i="1"/>
  <c r="N353" i="1" s="1"/>
  <c r="M358" i="1"/>
  <c r="N358" i="1" s="1"/>
  <c r="M354" i="1"/>
  <c r="N354" i="1" s="1"/>
  <c r="M356" i="1"/>
  <c r="N356" i="1" s="1"/>
  <c r="M350" i="1"/>
  <c r="N350" i="1" s="1"/>
  <c r="M347" i="1"/>
  <c r="N347" i="1" s="1"/>
  <c r="M357" i="1"/>
  <c r="N357" i="1" s="1"/>
  <c r="M352" i="1"/>
  <c r="N352" i="1" s="1"/>
  <c r="M355" i="1"/>
  <c r="N355" i="1" s="1"/>
  <c r="M351" i="1"/>
  <c r="N351" i="1" s="1"/>
  <c r="M346" i="1"/>
  <c r="N346" i="1" s="1"/>
  <c r="M349" i="1"/>
  <c r="N349" i="1" s="1"/>
  <c r="M359" i="1"/>
  <c r="N359" i="1" s="1"/>
  <c r="M364" i="1"/>
  <c r="N364" i="1" s="1"/>
  <c r="M363" i="1"/>
  <c r="N363" i="1" s="1"/>
  <c r="M365" i="1"/>
  <c r="N365" i="1" s="1"/>
  <c r="M361" i="1"/>
  <c r="N361" i="1" s="1"/>
  <c r="M360" i="1"/>
  <c r="N360" i="1" s="1"/>
  <c r="M362" i="1"/>
  <c r="N362" i="1" s="1"/>
  <c r="M366" i="1"/>
  <c r="N366" i="1" s="1"/>
  <c r="M369" i="1"/>
  <c r="N369" i="1" s="1"/>
  <c r="M371" i="1"/>
  <c r="N371" i="1" s="1"/>
  <c r="M368" i="1"/>
  <c r="N368" i="1" s="1"/>
  <c r="M367" i="1"/>
  <c r="N367" i="1" s="1"/>
  <c r="M370" i="1"/>
  <c r="N370" i="1" s="1"/>
  <c r="M372" i="1"/>
  <c r="N372" i="1" s="1"/>
  <c r="M373" i="1"/>
  <c r="N373" i="1" s="1"/>
  <c r="M380" i="1"/>
  <c r="N380" i="1" s="1"/>
  <c r="M374" i="1"/>
  <c r="N374" i="1" s="1"/>
  <c r="M389" i="1"/>
  <c r="N389" i="1" s="1"/>
  <c r="M379" i="1"/>
  <c r="N379" i="1" s="1"/>
  <c r="M381" i="1"/>
  <c r="N381" i="1" s="1"/>
  <c r="M375" i="1"/>
  <c r="N375" i="1" s="1"/>
  <c r="M388" i="1"/>
  <c r="N388" i="1" s="1"/>
  <c r="M383" i="1"/>
  <c r="N383" i="1" s="1"/>
  <c r="M378" i="1"/>
  <c r="N378" i="1" s="1"/>
  <c r="M384" i="1"/>
  <c r="N384" i="1" s="1"/>
  <c r="M387" i="1"/>
  <c r="N387" i="1" s="1"/>
  <c r="M382" i="1"/>
  <c r="N382" i="1" s="1"/>
  <c r="M386" i="1"/>
  <c r="N386" i="1" s="1"/>
  <c r="M385" i="1"/>
  <c r="N385" i="1" s="1"/>
  <c r="M377" i="1"/>
  <c r="N377" i="1" s="1"/>
  <c r="M390" i="1"/>
  <c r="N390" i="1" s="1"/>
  <c r="M376" i="1"/>
  <c r="N376" i="1" s="1"/>
  <c r="M391" i="1"/>
  <c r="N391" i="1" s="1"/>
  <c r="M395" i="1"/>
  <c r="N395" i="1" s="1"/>
  <c r="M410" i="1"/>
  <c r="N410" i="1" s="1"/>
  <c r="M399" i="1"/>
  <c r="N399" i="1" s="1"/>
  <c r="M397" i="1"/>
  <c r="N397" i="1" s="1"/>
  <c r="M400" i="1"/>
  <c r="N400" i="1" s="1"/>
  <c r="M409" i="1"/>
  <c r="N409" i="1" s="1"/>
  <c r="M402" i="1"/>
  <c r="N402" i="1" s="1"/>
  <c r="M411" i="1"/>
  <c r="N411" i="1" s="1"/>
  <c r="M405" i="1"/>
  <c r="N405" i="1" s="1"/>
  <c r="M404" i="1"/>
  <c r="N404" i="1" s="1"/>
  <c r="M398" i="1"/>
  <c r="N398" i="1" s="1"/>
  <c r="M407" i="1"/>
  <c r="N407" i="1" s="1"/>
  <c r="M401" i="1"/>
  <c r="N401" i="1" s="1"/>
  <c r="M396" i="1"/>
  <c r="N396" i="1" s="1"/>
  <c r="M403" i="1"/>
  <c r="N403" i="1" s="1"/>
  <c r="M393" i="1"/>
  <c r="N393" i="1" s="1"/>
  <c r="M406" i="1"/>
  <c r="N406" i="1" s="1"/>
  <c r="M392" i="1"/>
  <c r="N392" i="1" s="1"/>
  <c r="M408" i="1"/>
  <c r="N408" i="1" s="1"/>
  <c r="M394" i="1"/>
  <c r="N394" i="1" s="1"/>
  <c r="M413" i="1"/>
  <c r="N413" i="1" s="1"/>
  <c r="M426" i="1"/>
  <c r="N426" i="1" s="1"/>
  <c r="M420" i="1"/>
  <c r="N420" i="1" s="1"/>
  <c r="M429" i="1"/>
  <c r="N429" i="1" s="1"/>
  <c r="M433" i="1"/>
  <c r="N433" i="1" s="1"/>
  <c r="M414" i="1"/>
  <c r="N414" i="1" s="1"/>
  <c r="M412" i="1"/>
  <c r="N412" i="1" s="1"/>
  <c r="M423" i="1"/>
  <c r="N423" i="1" s="1"/>
  <c r="M417" i="1"/>
  <c r="N417" i="1" s="1"/>
  <c r="M419" i="1"/>
  <c r="N419" i="1" s="1"/>
  <c r="M428" i="1"/>
  <c r="N428" i="1" s="1"/>
  <c r="M432" i="1"/>
  <c r="N432" i="1" s="1"/>
  <c r="M430" i="1"/>
  <c r="N430" i="1" s="1"/>
  <c r="M434" i="1"/>
  <c r="N434" i="1" s="1"/>
  <c r="M422" i="1"/>
  <c r="N422" i="1" s="1"/>
  <c r="M425" i="1"/>
  <c r="N425" i="1" s="1"/>
  <c r="M415" i="1"/>
  <c r="N415" i="1" s="1"/>
  <c r="M418" i="1"/>
  <c r="N418" i="1" s="1"/>
  <c r="M416" i="1"/>
  <c r="N416" i="1" s="1"/>
  <c r="M421" i="1"/>
  <c r="N421" i="1" s="1"/>
  <c r="M424" i="1"/>
  <c r="N424" i="1" s="1"/>
  <c r="M431" i="1"/>
  <c r="N431" i="1" s="1"/>
  <c r="M427" i="1"/>
  <c r="N427" i="1" s="1"/>
  <c r="M441" i="1"/>
  <c r="N441" i="1" s="1"/>
  <c r="M443" i="1"/>
  <c r="N443" i="1" s="1"/>
  <c r="M447" i="1"/>
  <c r="N447" i="1" s="1"/>
  <c r="M438" i="1"/>
  <c r="N438" i="1" s="1"/>
  <c r="M437" i="1"/>
  <c r="N437" i="1" s="1"/>
  <c r="M442" i="1"/>
  <c r="N442" i="1" s="1"/>
  <c r="M444" i="1"/>
  <c r="N444" i="1" s="1"/>
  <c r="M439" i="1"/>
  <c r="N439" i="1" s="1"/>
  <c r="M445" i="1"/>
  <c r="N445" i="1" s="1"/>
  <c r="M435" i="1"/>
  <c r="N435" i="1" s="1"/>
  <c r="M440" i="1"/>
  <c r="N440" i="1" s="1"/>
  <c r="M436" i="1"/>
  <c r="N436" i="1" s="1"/>
  <c r="M446" i="1"/>
  <c r="N446" i="1" s="1"/>
  <c r="M455" i="1"/>
  <c r="N455" i="1" s="1"/>
  <c r="M450" i="1"/>
  <c r="N450" i="1" s="1"/>
  <c r="M454" i="1"/>
  <c r="N454" i="1" s="1"/>
  <c r="M463" i="1"/>
  <c r="N463" i="1" s="1"/>
  <c r="M453" i="1"/>
  <c r="N453" i="1" s="1"/>
  <c r="M448" i="1"/>
  <c r="N448" i="1" s="1"/>
  <c r="M449" i="1"/>
  <c r="N449" i="1" s="1"/>
  <c r="M451" i="1"/>
  <c r="N451" i="1" s="1"/>
  <c r="M452" i="1"/>
  <c r="N452" i="1" s="1"/>
  <c r="M456" i="1"/>
  <c r="N456" i="1" s="1"/>
  <c r="M462" i="1"/>
  <c r="N462" i="1" s="1"/>
  <c r="M461" i="1"/>
  <c r="N461" i="1" s="1"/>
  <c r="M457" i="1"/>
  <c r="N457" i="1" s="1"/>
  <c r="M460" i="1"/>
  <c r="N460" i="1" s="1"/>
  <c r="M458" i="1"/>
  <c r="N458" i="1" s="1"/>
  <c r="M459" i="1"/>
  <c r="N459" i="1" s="1"/>
  <c r="M467" i="1"/>
  <c r="N467" i="1" s="1"/>
  <c r="M473" i="1"/>
  <c r="N473" i="1" s="1"/>
  <c r="M464" i="1"/>
  <c r="N464" i="1" s="1"/>
  <c r="M471" i="1"/>
  <c r="N471" i="1" s="1"/>
  <c r="M472" i="1"/>
  <c r="N472" i="1" s="1"/>
  <c r="M468" i="1"/>
  <c r="N468" i="1" s="1"/>
  <c r="M474" i="1"/>
  <c r="N474" i="1" s="1"/>
  <c r="M466" i="1"/>
  <c r="N466" i="1" s="1"/>
  <c r="M469" i="1"/>
  <c r="N469" i="1" s="1"/>
  <c r="M470" i="1"/>
  <c r="N470" i="1" s="1"/>
  <c r="M465" i="1"/>
  <c r="N465" i="1" s="1"/>
  <c r="M482" i="1"/>
  <c r="N482" i="1" s="1"/>
  <c r="M488" i="1"/>
  <c r="N488" i="1" s="1"/>
  <c r="M493" i="1"/>
  <c r="N493" i="1" s="1"/>
  <c r="M480" i="1"/>
  <c r="N480" i="1" s="1"/>
  <c r="M490" i="1"/>
  <c r="N490" i="1" s="1"/>
  <c r="M487" i="1"/>
  <c r="N487" i="1" s="1"/>
  <c r="M491" i="1"/>
  <c r="N491" i="1" s="1"/>
  <c r="M479" i="1"/>
  <c r="N479" i="1" s="1"/>
  <c r="M483" i="1"/>
  <c r="N483" i="1" s="1"/>
  <c r="M486" i="1"/>
  <c r="N486" i="1" s="1"/>
  <c r="M476" i="1"/>
  <c r="N476" i="1" s="1"/>
  <c r="M477" i="1"/>
  <c r="N477" i="1" s="1"/>
  <c r="M492" i="1"/>
  <c r="N492" i="1" s="1"/>
  <c r="M484" i="1"/>
  <c r="N484" i="1" s="1"/>
  <c r="M478" i="1"/>
  <c r="N478" i="1" s="1"/>
  <c r="M489" i="1"/>
  <c r="N489" i="1" s="1"/>
  <c r="M485" i="1"/>
  <c r="N485" i="1" s="1"/>
  <c r="M475" i="1"/>
  <c r="N475" i="1" s="1"/>
  <c r="M481" i="1"/>
  <c r="N481" i="1" s="1"/>
  <c r="M495" i="1"/>
  <c r="N495" i="1" s="1"/>
  <c r="M503" i="1"/>
  <c r="N503" i="1" s="1"/>
  <c r="M501" i="1"/>
  <c r="N501" i="1" s="1"/>
  <c r="M497" i="1"/>
  <c r="N497" i="1" s="1"/>
  <c r="M500" i="1"/>
  <c r="N500" i="1" s="1"/>
  <c r="M502" i="1"/>
  <c r="N502" i="1" s="1"/>
  <c r="M498" i="1"/>
  <c r="N498" i="1" s="1"/>
  <c r="G298" i="1"/>
  <c r="P298" i="1" s="1"/>
  <c r="G303" i="1"/>
  <c r="P303" i="1" s="1"/>
  <c r="G305" i="1"/>
  <c r="P305" i="1" s="1"/>
  <c r="G300" i="1"/>
  <c r="P300" i="1" s="1"/>
  <c r="G308" i="1"/>
  <c r="P308" i="1" s="1"/>
  <c r="G313" i="1"/>
  <c r="P313" i="1" s="1"/>
  <c r="G317" i="1"/>
  <c r="P317" i="1" s="1"/>
  <c r="G318" i="1"/>
  <c r="P318" i="1" s="1"/>
  <c r="G307" i="1"/>
  <c r="P307" i="1" s="1"/>
  <c r="G306" i="1"/>
  <c r="P306" i="1" s="1"/>
  <c r="G311" i="1"/>
  <c r="P311" i="1" s="1"/>
  <c r="G315" i="1"/>
  <c r="P315" i="1" s="1"/>
  <c r="G314" i="1"/>
  <c r="P314" i="1" s="1"/>
  <c r="G319" i="1"/>
  <c r="P319" i="1" s="1"/>
  <c r="G310" i="1"/>
  <c r="P310" i="1" s="1"/>
  <c r="G309" i="1"/>
  <c r="P309" i="1" s="1"/>
  <c r="G320" i="1"/>
  <c r="P320" i="1" s="1"/>
  <c r="G312" i="1"/>
  <c r="P312" i="1" s="1"/>
  <c r="G316" i="1"/>
  <c r="P316" i="1" s="1"/>
  <c r="G321" i="1"/>
  <c r="P321" i="1" s="1"/>
  <c r="G330" i="1"/>
  <c r="P330" i="1" s="1"/>
  <c r="G328" i="1"/>
  <c r="P328" i="1" s="1"/>
  <c r="G324" i="1"/>
  <c r="P324" i="1" s="1"/>
  <c r="G329" i="1"/>
  <c r="P329" i="1" s="1"/>
  <c r="G327" i="1"/>
  <c r="P327" i="1" s="1"/>
  <c r="G326" i="1"/>
  <c r="P326" i="1" s="1"/>
  <c r="G322" i="1"/>
  <c r="P322" i="1" s="1"/>
  <c r="G323" i="1"/>
  <c r="P323" i="1" s="1"/>
  <c r="G325" i="1"/>
  <c r="P325" i="1" s="1"/>
  <c r="G341" i="1"/>
  <c r="P341" i="1" s="1"/>
  <c r="G332" i="1"/>
  <c r="P332" i="1" s="1"/>
  <c r="G337" i="1"/>
  <c r="P337" i="1" s="1"/>
  <c r="G336" i="1"/>
  <c r="P336" i="1" s="1"/>
  <c r="G340" i="1"/>
  <c r="P340" i="1" s="1"/>
  <c r="G335" i="1"/>
  <c r="P335" i="1" s="1"/>
  <c r="G342" i="1"/>
  <c r="P342" i="1" s="1"/>
  <c r="G338" i="1"/>
  <c r="P338" i="1" s="1"/>
  <c r="G343" i="1"/>
  <c r="P343" i="1" s="1"/>
  <c r="G333" i="1"/>
  <c r="P333" i="1" s="1"/>
  <c r="G331" i="1"/>
  <c r="P331" i="1" s="1"/>
  <c r="G339" i="1"/>
  <c r="P339" i="1" s="1"/>
  <c r="G334" i="1"/>
  <c r="P334" i="1" s="1"/>
  <c r="G344" i="1"/>
  <c r="P344" i="1" s="1"/>
  <c r="G345" i="1"/>
  <c r="P345" i="1" s="1"/>
  <c r="G348" i="1"/>
  <c r="P348" i="1" s="1"/>
  <c r="G353" i="1"/>
  <c r="P353" i="1" s="1"/>
  <c r="G358" i="1"/>
  <c r="P358" i="1" s="1"/>
  <c r="G354" i="1"/>
  <c r="P354" i="1" s="1"/>
  <c r="G356" i="1"/>
  <c r="P356" i="1" s="1"/>
  <c r="G350" i="1"/>
  <c r="P350" i="1" s="1"/>
  <c r="G347" i="1"/>
  <c r="P347" i="1" s="1"/>
  <c r="G357" i="1"/>
  <c r="P357" i="1" s="1"/>
  <c r="G352" i="1"/>
  <c r="P352" i="1" s="1"/>
  <c r="G355" i="1"/>
  <c r="P355" i="1" s="1"/>
  <c r="G351" i="1"/>
  <c r="P351" i="1" s="1"/>
  <c r="G346" i="1"/>
  <c r="P346" i="1" s="1"/>
  <c r="G349" i="1"/>
  <c r="P349" i="1" s="1"/>
  <c r="G359" i="1"/>
  <c r="P359" i="1" s="1"/>
  <c r="G364" i="1"/>
  <c r="P364" i="1" s="1"/>
  <c r="G363" i="1"/>
  <c r="P363" i="1" s="1"/>
  <c r="G365" i="1"/>
  <c r="P365" i="1" s="1"/>
  <c r="G361" i="1"/>
  <c r="P361" i="1" s="1"/>
  <c r="G360" i="1"/>
  <c r="P360" i="1" s="1"/>
  <c r="G362" i="1"/>
  <c r="P362" i="1" s="1"/>
  <c r="G366" i="1"/>
  <c r="P366" i="1" s="1"/>
  <c r="G369" i="1"/>
  <c r="P369" i="1" s="1"/>
  <c r="G371" i="1"/>
  <c r="P371" i="1" s="1"/>
  <c r="G368" i="1"/>
  <c r="P368" i="1" s="1"/>
  <c r="G367" i="1"/>
  <c r="P367" i="1" s="1"/>
  <c r="G370" i="1"/>
  <c r="P370" i="1" s="1"/>
  <c r="G372" i="1"/>
  <c r="P372" i="1" s="1"/>
  <c r="G373" i="1"/>
  <c r="P373" i="1" s="1"/>
  <c r="G380" i="1"/>
  <c r="P380" i="1" s="1"/>
  <c r="G374" i="1"/>
  <c r="P374" i="1" s="1"/>
  <c r="G389" i="1"/>
  <c r="P389" i="1" s="1"/>
  <c r="G379" i="1"/>
  <c r="P379" i="1" s="1"/>
  <c r="G381" i="1"/>
  <c r="P381" i="1" s="1"/>
  <c r="G375" i="1"/>
  <c r="P375" i="1" s="1"/>
  <c r="G388" i="1"/>
  <c r="P388" i="1" s="1"/>
  <c r="G383" i="1"/>
  <c r="P383" i="1" s="1"/>
  <c r="G378" i="1"/>
  <c r="P378" i="1" s="1"/>
  <c r="G384" i="1"/>
  <c r="P384" i="1" s="1"/>
  <c r="G387" i="1"/>
  <c r="P387" i="1" s="1"/>
  <c r="G382" i="1"/>
  <c r="P382" i="1" s="1"/>
  <c r="G386" i="1"/>
  <c r="P386" i="1" s="1"/>
  <c r="G385" i="1"/>
  <c r="P385" i="1" s="1"/>
  <c r="G377" i="1"/>
  <c r="P377" i="1" s="1"/>
  <c r="G390" i="1"/>
  <c r="P390" i="1" s="1"/>
  <c r="G376" i="1"/>
  <c r="P376" i="1" s="1"/>
  <c r="G391" i="1"/>
  <c r="P391" i="1" s="1"/>
  <c r="G395" i="1"/>
  <c r="P395" i="1" s="1"/>
  <c r="G410" i="1"/>
  <c r="P410" i="1" s="1"/>
  <c r="G399" i="1"/>
  <c r="P399" i="1" s="1"/>
  <c r="G397" i="1"/>
  <c r="P397" i="1" s="1"/>
  <c r="G400" i="1"/>
  <c r="P400" i="1" s="1"/>
  <c r="G409" i="1"/>
  <c r="P409" i="1" s="1"/>
  <c r="G402" i="1"/>
  <c r="P402" i="1" s="1"/>
  <c r="G411" i="1"/>
  <c r="P411" i="1" s="1"/>
  <c r="G405" i="1"/>
  <c r="P405" i="1" s="1"/>
  <c r="G404" i="1"/>
  <c r="P404" i="1" s="1"/>
  <c r="G398" i="1"/>
  <c r="P398" i="1" s="1"/>
  <c r="G407" i="1"/>
  <c r="P407" i="1" s="1"/>
  <c r="G401" i="1"/>
  <c r="P401" i="1" s="1"/>
  <c r="G396" i="1"/>
  <c r="P396" i="1" s="1"/>
  <c r="G403" i="1"/>
  <c r="P403" i="1" s="1"/>
  <c r="G393" i="1"/>
  <c r="P393" i="1" s="1"/>
  <c r="G406" i="1"/>
  <c r="P406" i="1" s="1"/>
  <c r="G392" i="1"/>
  <c r="P392" i="1" s="1"/>
  <c r="G408" i="1"/>
  <c r="P408" i="1" s="1"/>
  <c r="G394" i="1"/>
  <c r="P394" i="1" s="1"/>
  <c r="G413" i="1"/>
  <c r="P413" i="1" s="1"/>
  <c r="G426" i="1"/>
  <c r="P426" i="1" s="1"/>
  <c r="G420" i="1"/>
  <c r="P420" i="1" s="1"/>
  <c r="G429" i="1"/>
  <c r="P429" i="1" s="1"/>
  <c r="G433" i="1"/>
  <c r="P433" i="1" s="1"/>
  <c r="G414" i="1"/>
  <c r="P414" i="1" s="1"/>
  <c r="G412" i="1"/>
  <c r="P412" i="1" s="1"/>
  <c r="G423" i="1"/>
  <c r="P423" i="1" s="1"/>
  <c r="G417" i="1"/>
  <c r="P417" i="1" s="1"/>
  <c r="G419" i="1"/>
  <c r="P419" i="1" s="1"/>
  <c r="G428" i="1"/>
  <c r="P428" i="1" s="1"/>
  <c r="G432" i="1"/>
  <c r="P432" i="1" s="1"/>
  <c r="G430" i="1"/>
  <c r="P430" i="1" s="1"/>
  <c r="G434" i="1"/>
  <c r="P434" i="1" s="1"/>
  <c r="G422" i="1"/>
  <c r="P422" i="1" s="1"/>
  <c r="G425" i="1"/>
  <c r="P425" i="1" s="1"/>
  <c r="G415" i="1"/>
  <c r="P415" i="1" s="1"/>
  <c r="G418" i="1"/>
  <c r="P418" i="1" s="1"/>
  <c r="G416" i="1"/>
  <c r="P416" i="1" s="1"/>
  <c r="G421" i="1"/>
  <c r="P421" i="1" s="1"/>
  <c r="G424" i="1"/>
  <c r="P424" i="1" s="1"/>
  <c r="G431" i="1"/>
  <c r="P431" i="1" s="1"/>
  <c r="G427" i="1"/>
  <c r="P427" i="1" s="1"/>
  <c r="G441" i="1"/>
  <c r="P441" i="1" s="1"/>
  <c r="G443" i="1"/>
  <c r="P443" i="1" s="1"/>
  <c r="G447" i="1"/>
  <c r="P447" i="1" s="1"/>
  <c r="G438" i="1"/>
  <c r="P438" i="1" s="1"/>
  <c r="G437" i="1"/>
  <c r="P437" i="1" s="1"/>
  <c r="G442" i="1"/>
  <c r="P442" i="1" s="1"/>
  <c r="G444" i="1"/>
  <c r="P444" i="1" s="1"/>
  <c r="G439" i="1"/>
  <c r="P439" i="1" s="1"/>
  <c r="G445" i="1"/>
  <c r="P445" i="1" s="1"/>
  <c r="G435" i="1"/>
  <c r="P435" i="1" s="1"/>
  <c r="G440" i="1"/>
  <c r="P440" i="1" s="1"/>
  <c r="G436" i="1"/>
  <c r="P436" i="1" s="1"/>
  <c r="G446" i="1"/>
  <c r="P446" i="1" s="1"/>
  <c r="G455" i="1"/>
  <c r="P455" i="1" s="1"/>
  <c r="G450" i="1"/>
  <c r="P450" i="1" s="1"/>
  <c r="G454" i="1"/>
  <c r="P454" i="1" s="1"/>
  <c r="G463" i="1"/>
  <c r="P463" i="1" s="1"/>
  <c r="G453" i="1"/>
  <c r="P453" i="1" s="1"/>
  <c r="G448" i="1"/>
  <c r="P448" i="1" s="1"/>
  <c r="G449" i="1"/>
  <c r="P449" i="1" s="1"/>
  <c r="G451" i="1"/>
  <c r="P451" i="1" s="1"/>
  <c r="G452" i="1"/>
  <c r="P452" i="1" s="1"/>
  <c r="G456" i="1"/>
  <c r="P456" i="1" s="1"/>
  <c r="G462" i="1"/>
  <c r="P462" i="1" s="1"/>
  <c r="G461" i="1"/>
  <c r="P461" i="1" s="1"/>
  <c r="G457" i="1"/>
  <c r="P457" i="1" s="1"/>
  <c r="G460" i="1"/>
  <c r="P460" i="1" s="1"/>
  <c r="G458" i="1"/>
  <c r="P458" i="1" s="1"/>
  <c r="G459" i="1"/>
  <c r="P459" i="1" s="1"/>
  <c r="G467" i="1"/>
  <c r="P467" i="1" s="1"/>
  <c r="G473" i="1"/>
  <c r="P473" i="1" s="1"/>
  <c r="G464" i="1"/>
  <c r="P464" i="1" s="1"/>
  <c r="G471" i="1"/>
  <c r="P471" i="1" s="1"/>
  <c r="G472" i="1"/>
  <c r="P472" i="1" s="1"/>
  <c r="G468" i="1"/>
  <c r="P468" i="1" s="1"/>
  <c r="G474" i="1"/>
  <c r="P474" i="1" s="1"/>
  <c r="G466" i="1"/>
  <c r="P466" i="1" s="1"/>
  <c r="G469" i="1"/>
  <c r="P469" i="1" s="1"/>
  <c r="G470" i="1"/>
  <c r="P470" i="1" s="1"/>
  <c r="G465" i="1"/>
  <c r="P465" i="1" s="1"/>
  <c r="G482" i="1"/>
  <c r="P482" i="1" s="1"/>
  <c r="G488" i="1"/>
  <c r="P488" i="1" s="1"/>
  <c r="G493" i="1"/>
  <c r="P493" i="1" s="1"/>
  <c r="G480" i="1"/>
  <c r="P480" i="1" s="1"/>
  <c r="G490" i="1"/>
  <c r="P490" i="1" s="1"/>
  <c r="G487" i="1"/>
  <c r="P487" i="1" s="1"/>
  <c r="G491" i="1"/>
  <c r="P491" i="1" s="1"/>
  <c r="G479" i="1"/>
  <c r="P479" i="1" s="1"/>
  <c r="G483" i="1"/>
  <c r="P483" i="1" s="1"/>
  <c r="G486" i="1"/>
  <c r="P486" i="1" s="1"/>
  <c r="G476" i="1"/>
  <c r="P476" i="1" s="1"/>
  <c r="G477" i="1"/>
  <c r="P477" i="1" s="1"/>
  <c r="G492" i="1"/>
  <c r="P492" i="1" s="1"/>
  <c r="G484" i="1"/>
  <c r="P484" i="1" s="1"/>
  <c r="G478" i="1"/>
  <c r="P478" i="1" s="1"/>
  <c r="G489" i="1"/>
  <c r="P489" i="1" s="1"/>
  <c r="G485" i="1"/>
  <c r="P485" i="1" s="1"/>
  <c r="G475" i="1"/>
  <c r="P475" i="1" s="1"/>
  <c r="G481" i="1"/>
  <c r="P481" i="1" s="1"/>
  <c r="G495" i="1"/>
  <c r="P495" i="1" s="1"/>
  <c r="G503" i="1"/>
  <c r="P503" i="1" s="1"/>
  <c r="G501" i="1"/>
  <c r="P501" i="1" s="1"/>
  <c r="G497" i="1"/>
  <c r="P497" i="1" s="1"/>
  <c r="G500" i="1"/>
  <c r="P500" i="1" s="1"/>
  <c r="G502" i="1"/>
  <c r="P502" i="1" s="1"/>
  <c r="G498" i="1"/>
  <c r="P498" i="1" s="1"/>
  <c r="O57" i="1" l="1"/>
  <c r="O62" i="1"/>
  <c r="O54" i="1"/>
  <c r="O66" i="1"/>
  <c r="O58" i="1"/>
  <c r="O53" i="1"/>
  <c r="O52" i="1"/>
  <c r="O64" i="1"/>
  <c r="O59" i="1"/>
  <c r="O51" i="1"/>
  <c r="O50" i="1"/>
  <c r="O61" i="1"/>
  <c r="O72" i="1"/>
  <c r="O67" i="1"/>
  <c r="O69" i="1"/>
  <c r="O85" i="1"/>
  <c r="O70" i="1"/>
  <c r="O86" i="1"/>
  <c r="O82" i="1"/>
  <c r="O68" i="1"/>
  <c r="O83" i="1"/>
  <c r="O88" i="1"/>
  <c r="O76" i="1"/>
  <c r="O84" i="1"/>
  <c r="O75" i="1"/>
  <c r="O80" i="1"/>
  <c r="O81" i="1"/>
  <c r="O77" i="1"/>
  <c r="O74" i="1"/>
  <c r="O73" i="1"/>
  <c r="O78" i="1"/>
  <c r="O79" i="1"/>
  <c r="O71" i="1"/>
  <c r="O87" i="1"/>
  <c r="O89" i="1"/>
  <c r="O93" i="1"/>
  <c r="O96" i="1"/>
  <c r="O100" i="1"/>
  <c r="O104" i="1"/>
  <c r="O97" i="1"/>
  <c r="O102" i="1"/>
  <c r="O95" i="1"/>
  <c r="O92" i="1"/>
  <c r="O101" i="1"/>
  <c r="O94" i="1"/>
  <c r="O98" i="1"/>
  <c r="O99" i="1"/>
  <c r="O103" i="1"/>
  <c r="O91" i="1"/>
  <c r="O90" i="1"/>
  <c r="O111" i="1"/>
  <c r="O107" i="1"/>
  <c r="O110" i="1"/>
  <c r="O114" i="1"/>
  <c r="O117" i="1"/>
  <c r="O119" i="1"/>
  <c r="O112" i="1"/>
  <c r="O118" i="1"/>
  <c r="O108" i="1"/>
  <c r="O106" i="1"/>
  <c r="O105" i="1"/>
  <c r="O109" i="1"/>
  <c r="O113" i="1"/>
  <c r="O120" i="1"/>
  <c r="O121" i="1"/>
  <c r="O116" i="1"/>
  <c r="O115" i="1"/>
  <c r="O122" i="1"/>
  <c r="O124" i="1"/>
  <c r="O127" i="1"/>
  <c r="O123" i="1"/>
  <c r="O133" i="1"/>
  <c r="O135" i="1"/>
  <c r="O125" i="1"/>
  <c r="O128" i="1"/>
  <c r="O129" i="1"/>
  <c r="O130" i="1"/>
  <c r="O131" i="1"/>
  <c r="O138" i="1"/>
  <c r="O126" i="1"/>
  <c r="O132" i="1"/>
  <c r="O134" i="1"/>
  <c r="O136" i="1"/>
  <c r="O137" i="1"/>
  <c r="O141" i="1"/>
  <c r="O153" i="1"/>
  <c r="O150" i="1"/>
  <c r="O145" i="1"/>
  <c r="O157" i="1"/>
  <c r="O142" i="1"/>
  <c r="O146" i="1"/>
  <c r="O144" i="1"/>
  <c r="O151" i="1"/>
  <c r="O139" i="1"/>
  <c r="O143" i="1"/>
  <c r="O148" i="1"/>
  <c r="O156" i="1"/>
  <c r="O149" i="1"/>
  <c r="O154" i="1"/>
  <c r="O152" i="1"/>
  <c r="O140" i="1"/>
  <c r="O155" i="1"/>
  <c r="O147" i="1"/>
  <c r="O167" i="1"/>
  <c r="O170" i="1"/>
  <c r="O168" i="1"/>
  <c r="O163" i="1"/>
  <c r="O165" i="1"/>
  <c r="O166" i="1"/>
  <c r="O159" i="1"/>
  <c r="O160" i="1"/>
  <c r="O164" i="1"/>
  <c r="O171" i="1"/>
  <c r="O169" i="1"/>
  <c r="O162" i="1"/>
  <c r="O161" i="1"/>
  <c r="O158" i="1"/>
  <c r="O175" i="1"/>
  <c r="O178" i="1"/>
  <c r="O182" i="1"/>
  <c r="O187" i="1"/>
  <c r="O179" i="1"/>
  <c r="O188" i="1"/>
  <c r="O172" i="1"/>
  <c r="O180" i="1"/>
  <c r="O185" i="1"/>
  <c r="O189" i="1"/>
  <c r="O181" i="1"/>
  <c r="O183" i="1"/>
  <c r="O173" i="1"/>
  <c r="O190" i="1"/>
  <c r="O177" i="1"/>
  <c r="O186" i="1"/>
  <c r="O184" i="1"/>
  <c r="O176" i="1"/>
  <c r="O174" i="1"/>
  <c r="O202" i="1"/>
  <c r="O203" i="1"/>
  <c r="O199" i="1"/>
  <c r="O204" i="1"/>
  <c r="O201" i="1"/>
  <c r="O192" i="1"/>
  <c r="O200" i="1"/>
  <c r="O193" i="1"/>
  <c r="O195" i="1"/>
  <c r="O194" i="1"/>
  <c r="O197" i="1"/>
  <c r="O196" i="1"/>
  <c r="O198" i="1"/>
  <c r="O191" i="1"/>
  <c r="O205" i="1"/>
  <c r="O215" i="1"/>
  <c r="O210" i="1"/>
  <c r="O207" i="1"/>
  <c r="O211" i="1"/>
  <c r="O217" i="1"/>
  <c r="O213" i="1"/>
  <c r="O214" i="1"/>
  <c r="O218" i="1"/>
  <c r="O220" i="1"/>
  <c r="O212" i="1"/>
  <c r="O222" i="1"/>
  <c r="O219" i="1"/>
  <c r="O221" i="1"/>
  <c r="O216" i="1"/>
  <c r="O208" i="1"/>
  <c r="O209" i="1"/>
  <c r="O206" i="1"/>
  <c r="O228" i="1"/>
  <c r="O226" i="1"/>
  <c r="O231" i="1"/>
  <c r="O233" i="1"/>
  <c r="O232" i="1"/>
  <c r="O237" i="1"/>
  <c r="O239" i="1"/>
  <c r="O238" i="1"/>
  <c r="O241" i="1"/>
  <c r="O224" i="1"/>
  <c r="O230" i="1"/>
  <c r="O225" i="1"/>
  <c r="O235" i="1"/>
  <c r="O240" i="1"/>
  <c r="O227" i="1"/>
  <c r="O236" i="1"/>
  <c r="O229" i="1"/>
  <c r="O223" i="1"/>
  <c r="O234" i="1"/>
  <c r="O244" i="1"/>
  <c r="O251" i="1"/>
  <c r="O248" i="1"/>
  <c r="O243" i="1"/>
  <c r="O247" i="1"/>
  <c r="O245" i="1"/>
  <c r="O246" i="1"/>
  <c r="O242" i="1"/>
  <c r="O250" i="1"/>
  <c r="O249" i="1"/>
  <c r="O252" i="1"/>
  <c r="O254" i="1"/>
  <c r="O253" i="1"/>
  <c r="O262" i="1"/>
  <c r="O256" i="1"/>
  <c r="O263" i="1"/>
  <c r="O271" i="1"/>
  <c r="O268" i="1"/>
  <c r="O266" i="1"/>
  <c r="O257" i="1"/>
  <c r="O264" i="1"/>
  <c r="O265" i="1"/>
  <c r="O259" i="1"/>
  <c r="O261" i="1"/>
  <c r="O260" i="1"/>
  <c r="O269" i="1"/>
  <c r="O270" i="1"/>
  <c r="O267" i="1"/>
  <c r="O258" i="1"/>
  <c r="O274" i="1"/>
  <c r="O289" i="1"/>
  <c r="O286" i="1"/>
  <c r="O273" i="1"/>
  <c r="O280" i="1"/>
  <c r="O285" i="1"/>
  <c r="O275" i="1"/>
  <c r="O288" i="1"/>
  <c r="O284" i="1"/>
  <c r="O279" i="1"/>
  <c r="O272" i="1"/>
  <c r="O277" i="1"/>
  <c r="O283" i="1"/>
  <c r="O281" i="1"/>
  <c r="O282" i="1"/>
  <c r="O276" i="1"/>
  <c r="O290" i="1"/>
  <c r="O278" i="1"/>
  <c r="O287" i="1"/>
  <c r="O291" i="1"/>
  <c r="O294" i="1"/>
  <c r="O304" i="1"/>
  <c r="O297" i="1"/>
  <c r="O293" i="1"/>
  <c r="O302" i="1"/>
  <c r="O301" i="1"/>
  <c r="O296" i="1"/>
  <c r="O292" i="1"/>
  <c r="O299" i="1"/>
  <c r="M57" i="1"/>
  <c r="N57" i="1" s="1"/>
  <c r="M62" i="1"/>
  <c r="N62" i="1" s="1"/>
  <c r="M54" i="1"/>
  <c r="N54" i="1" s="1"/>
  <c r="M66" i="1"/>
  <c r="N66" i="1" s="1"/>
  <c r="M58" i="1"/>
  <c r="N58" i="1" s="1"/>
  <c r="M53" i="1"/>
  <c r="N53" i="1" s="1"/>
  <c r="M52" i="1"/>
  <c r="N52" i="1" s="1"/>
  <c r="M64" i="1"/>
  <c r="N64" i="1" s="1"/>
  <c r="M59" i="1"/>
  <c r="N59" i="1" s="1"/>
  <c r="M51" i="1"/>
  <c r="N51" i="1" s="1"/>
  <c r="M50" i="1"/>
  <c r="N50" i="1" s="1"/>
  <c r="M61" i="1"/>
  <c r="N61" i="1" s="1"/>
  <c r="M72" i="1"/>
  <c r="N72" i="1" s="1"/>
  <c r="M67" i="1"/>
  <c r="N67" i="1" s="1"/>
  <c r="M69" i="1"/>
  <c r="N69" i="1" s="1"/>
  <c r="M85" i="1"/>
  <c r="N85" i="1" s="1"/>
  <c r="M70" i="1"/>
  <c r="N70" i="1" s="1"/>
  <c r="M86" i="1"/>
  <c r="N86" i="1" s="1"/>
  <c r="M82" i="1"/>
  <c r="N82" i="1" s="1"/>
  <c r="M68" i="1"/>
  <c r="N68" i="1" s="1"/>
  <c r="M83" i="1"/>
  <c r="N83" i="1" s="1"/>
  <c r="M88" i="1"/>
  <c r="N88" i="1" s="1"/>
  <c r="M76" i="1"/>
  <c r="N76" i="1" s="1"/>
  <c r="M84" i="1"/>
  <c r="N84" i="1" s="1"/>
  <c r="M75" i="1"/>
  <c r="N75" i="1" s="1"/>
  <c r="M80" i="1"/>
  <c r="N80" i="1" s="1"/>
  <c r="M81" i="1"/>
  <c r="N81" i="1" s="1"/>
  <c r="M77" i="1"/>
  <c r="N77" i="1" s="1"/>
  <c r="M74" i="1"/>
  <c r="N74" i="1" s="1"/>
  <c r="M73" i="1"/>
  <c r="N73" i="1" s="1"/>
  <c r="M78" i="1"/>
  <c r="N78" i="1" s="1"/>
  <c r="M79" i="1"/>
  <c r="N79" i="1" s="1"/>
  <c r="M71" i="1"/>
  <c r="N71" i="1" s="1"/>
  <c r="M87" i="1"/>
  <c r="N87" i="1" s="1"/>
  <c r="M89" i="1"/>
  <c r="N89" i="1" s="1"/>
  <c r="M93" i="1"/>
  <c r="N93" i="1" s="1"/>
  <c r="M96" i="1"/>
  <c r="N96" i="1" s="1"/>
  <c r="M100" i="1"/>
  <c r="N100" i="1" s="1"/>
  <c r="M104" i="1"/>
  <c r="N104" i="1" s="1"/>
  <c r="M97" i="1"/>
  <c r="N97" i="1" s="1"/>
  <c r="M102" i="1"/>
  <c r="N102" i="1" s="1"/>
  <c r="M95" i="1"/>
  <c r="N95" i="1" s="1"/>
  <c r="M92" i="1"/>
  <c r="N92" i="1" s="1"/>
  <c r="M101" i="1"/>
  <c r="N101" i="1" s="1"/>
  <c r="M94" i="1"/>
  <c r="N94" i="1" s="1"/>
  <c r="M98" i="1"/>
  <c r="N98" i="1" s="1"/>
  <c r="M99" i="1"/>
  <c r="N99" i="1" s="1"/>
  <c r="M103" i="1"/>
  <c r="N103" i="1" s="1"/>
  <c r="M91" i="1"/>
  <c r="N91" i="1" s="1"/>
  <c r="M90" i="1"/>
  <c r="N90" i="1" s="1"/>
  <c r="M111" i="1"/>
  <c r="N111" i="1" s="1"/>
  <c r="M107" i="1"/>
  <c r="N107" i="1" s="1"/>
  <c r="M110" i="1"/>
  <c r="N110" i="1" s="1"/>
  <c r="M114" i="1"/>
  <c r="N114" i="1" s="1"/>
  <c r="M117" i="1"/>
  <c r="N117" i="1" s="1"/>
  <c r="M119" i="1"/>
  <c r="N119" i="1" s="1"/>
  <c r="M112" i="1"/>
  <c r="N112" i="1" s="1"/>
  <c r="M118" i="1"/>
  <c r="N118" i="1" s="1"/>
  <c r="M108" i="1"/>
  <c r="N108" i="1" s="1"/>
  <c r="M106" i="1"/>
  <c r="N106" i="1" s="1"/>
  <c r="M105" i="1"/>
  <c r="N105" i="1" s="1"/>
  <c r="M109" i="1"/>
  <c r="N109" i="1" s="1"/>
  <c r="M113" i="1"/>
  <c r="N113" i="1" s="1"/>
  <c r="M120" i="1"/>
  <c r="N120" i="1" s="1"/>
  <c r="M121" i="1"/>
  <c r="N121" i="1" s="1"/>
  <c r="M116" i="1"/>
  <c r="N116" i="1" s="1"/>
  <c r="M115" i="1"/>
  <c r="N115" i="1" s="1"/>
  <c r="M122" i="1"/>
  <c r="N122" i="1" s="1"/>
  <c r="M124" i="1"/>
  <c r="N124" i="1" s="1"/>
  <c r="M127" i="1"/>
  <c r="N127" i="1" s="1"/>
  <c r="M123" i="1"/>
  <c r="N123" i="1" s="1"/>
  <c r="M133" i="1"/>
  <c r="N133" i="1" s="1"/>
  <c r="M135" i="1"/>
  <c r="N135" i="1" s="1"/>
  <c r="M125" i="1"/>
  <c r="N125" i="1" s="1"/>
  <c r="M128" i="1"/>
  <c r="N128" i="1" s="1"/>
  <c r="M129" i="1"/>
  <c r="N129" i="1" s="1"/>
  <c r="M130" i="1"/>
  <c r="N130" i="1" s="1"/>
  <c r="M131" i="1"/>
  <c r="N131" i="1" s="1"/>
  <c r="M138" i="1"/>
  <c r="N138" i="1" s="1"/>
  <c r="M126" i="1"/>
  <c r="N126" i="1" s="1"/>
  <c r="M132" i="1"/>
  <c r="N132" i="1" s="1"/>
  <c r="M134" i="1"/>
  <c r="N134" i="1" s="1"/>
  <c r="M136" i="1"/>
  <c r="N136" i="1" s="1"/>
  <c r="M137" i="1"/>
  <c r="N137" i="1" s="1"/>
  <c r="M141" i="1"/>
  <c r="N141" i="1" s="1"/>
  <c r="M153" i="1"/>
  <c r="N153" i="1" s="1"/>
  <c r="M150" i="1"/>
  <c r="N150" i="1" s="1"/>
  <c r="M145" i="1"/>
  <c r="N145" i="1" s="1"/>
  <c r="M157" i="1"/>
  <c r="N157" i="1" s="1"/>
  <c r="M142" i="1"/>
  <c r="N142" i="1" s="1"/>
  <c r="M146" i="1"/>
  <c r="N146" i="1" s="1"/>
  <c r="M144" i="1"/>
  <c r="N144" i="1" s="1"/>
  <c r="M151" i="1"/>
  <c r="N151" i="1" s="1"/>
  <c r="M139" i="1"/>
  <c r="N139" i="1" s="1"/>
  <c r="M143" i="1"/>
  <c r="N143" i="1" s="1"/>
  <c r="M148" i="1"/>
  <c r="N148" i="1" s="1"/>
  <c r="M156" i="1"/>
  <c r="N156" i="1" s="1"/>
  <c r="M149" i="1"/>
  <c r="N149" i="1" s="1"/>
  <c r="M154" i="1"/>
  <c r="N154" i="1" s="1"/>
  <c r="M152" i="1"/>
  <c r="N152" i="1" s="1"/>
  <c r="M140" i="1"/>
  <c r="N140" i="1" s="1"/>
  <c r="M155" i="1"/>
  <c r="N155" i="1" s="1"/>
  <c r="M147" i="1"/>
  <c r="N147" i="1" s="1"/>
  <c r="M167" i="1"/>
  <c r="N167" i="1" s="1"/>
  <c r="M170" i="1"/>
  <c r="N170" i="1" s="1"/>
  <c r="M168" i="1"/>
  <c r="N168" i="1" s="1"/>
  <c r="M163" i="1"/>
  <c r="N163" i="1" s="1"/>
  <c r="M165" i="1"/>
  <c r="N165" i="1" s="1"/>
  <c r="M166" i="1"/>
  <c r="N166" i="1" s="1"/>
  <c r="M159" i="1"/>
  <c r="N159" i="1" s="1"/>
  <c r="M160" i="1"/>
  <c r="N160" i="1" s="1"/>
  <c r="M164" i="1"/>
  <c r="N164" i="1" s="1"/>
  <c r="M171" i="1"/>
  <c r="N171" i="1" s="1"/>
  <c r="M169" i="1"/>
  <c r="N169" i="1" s="1"/>
  <c r="M162" i="1"/>
  <c r="N162" i="1" s="1"/>
  <c r="M161" i="1"/>
  <c r="N161" i="1" s="1"/>
  <c r="M158" i="1"/>
  <c r="N158" i="1" s="1"/>
  <c r="M175" i="1"/>
  <c r="N175" i="1" s="1"/>
  <c r="M178" i="1"/>
  <c r="N178" i="1" s="1"/>
  <c r="M182" i="1"/>
  <c r="N182" i="1" s="1"/>
  <c r="M187" i="1"/>
  <c r="N187" i="1" s="1"/>
  <c r="M179" i="1"/>
  <c r="N179" i="1" s="1"/>
  <c r="M188" i="1"/>
  <c r="N188" i="1" s="1"/>
  <c r="M172" i="1"/>
  <c r="N172" i="1" s="1"/>
  <c r="M180" i="1"/>
  <c r="N180" i="1" s="1"/>
  <c r="M185" i="1"/>
  <c r="N185" i="1" s="1"/>
  <c r="M189" i="1"/>
  <c r="N189" i="1" s="1"/>
  <c r="M181" i="1"/>
  <c r="N181" i="1" s="1"/>
  <c r="M183" i="1"/>
  <c r="N183" i="1" s="1"/>
  <c r="M173" i="1"/>
  <c r="N173" i="1" s="1"/>
  <c r="M190" i="1"/>
  <c r="N190" i="1" s="1"/>
  <c r="M177" i="1"/>
  <c r="N177" i="1" s="1"/>
  <c r="M186" i="1"/>
  <c r="N186" i="1" s="1"/>
  <c r="M184" i="1"/>
  <c r="N184" i="1" s="1"/>
  <c r="M176" i="1"/>
  <c r="N176" i="1" s="1"/>
  <c r="M174" i="1"/>
  <c r="N174" i="1" s="1"/>
  <c r="M202" i="1"/>
  <c r="N202" i="1" s="1"/>
  <c r="M203" i="1"/>
  <c r="N203" i="1" s="1"/>
  <c r="M199" i="1"/>
  <c r="N199" i="1" s="1"/>
  <c r="M204" i="1"/>
  <c r="N204" i="1" s="1"/>
  <c r="M201" i="1"/>
  <c r="N201" i="1" s="1"/>
  <c r="M192" i="1"/>
  <c r="N192" i="1" s="1"/>
  <c r="M200" i="1"/>
  <c r="N200" i="1" s="1"/>
  <c r="M193" i="1"/>
  <c r="N193" i="1" s="1"/>
  <c r="M195" i="1"/>
  <c r="N195" i="1" s="1"/>
  <c r="M194" i="1"/>
  <c r="N194" i="1" s="1"/>
  <c r="M197" i="1"/>
  <c r="N197" i="1" s="1"/>
  <c r="M196" i="1"/>
  <c r="N196" i="1" s="1"/>
  <c r="M198" i="1"/>
  <c r="N198" i="1" s="1"/>
  <c r="M191" i="1"/>
  <c r="N191" i="1" s="1"/>
  <c r="M205" i="1"/>
  <c r="N205" i="1" s="1"/>
  <c r="M215" i="1"/>
  <c r="N215" i="1" s="1"/>
  <c r="M210" i="1"/>
  <c r="N210" i="1" s="1"/>
  <c r="M207" i="1"/>
  <c r="N207" i="1" s="1"/>
  <c r="M211" i="1"/>
  <c r="N211" i="1" s="1"/>
  <c r="M217" i="1"/>
  <c r="N217" i="1" s="1"/>
  <c r="M213" i="1"/>
  <c r="N213" i="1" s="1"/>
  <c r="M214" i="1"/>
  <c r="N214" i="1" s="1"/>
  <c r="M218" i="1"/>
  <c r="N218" i="1" s="1"/>
  <c r="M220" i="1"/>
  <c r="N220" i="1" s="1"/>
  <c r="M212" i="1"/>
  <c r="N212" i="1" s="1"/>
  <c r="M222" i="1"/>
  <c r="N222" i="1" s="1"/>
  <c r="M219" i="1"/>
  <c r="N219" i="1" s="1"/>
  <c r="M221" i="1"/>
  <c r="N221" i="1" s="1"/>
  <c r="M216" i="1"/>
  <c r="N216" i="1" s="1"/>
  <c r="M208" i="1"/>
  <c r="N208" i="1" s="1"/>
  <c r="M209" i="1"/>
  <c r="N209" i="1" s="1"/>
  <c r="M206" i="1"/>
  <c r="N206" i="1" s="1"/>
  <c r="M228" i="1"/>
  <c r="N228" i="1" s="1"/>
  <c r="M226" i="1"/>
  <c r="N226" i="1" s="1"/>
  <c r="M231" i="1"/>
  <c r="N231" i="1" s="1"/>
  <c r="M233" i="1"/>
  <c r="N233" i="1" s="1"/>
  <c r="M232" i="1"/>
  <c r="N232" i="1" s="1"/>
  <c r="M237" i="1"/>
  <c r="N237" i="1" s="1"/>
  <c r="M239" i="1"/>
  <c r="N239" i="1" s="1"/>
  <c r="M238" i="1"/>
  <c r="N238" i="1" s="1"/>
  <c r="M241" i="1"/>
  <c r="N241" i="1" s="1"/>
  <c r="M224" i="1"/>
  <c r="N224" i="1" s="1"/>
  <c r="M230" i="1"/>
  <c r="N230" i="1" s="1"/>
  <c r="M225" i="1"/>
  <c r="N225" i="1" s="1"/>
  <c r="M235" i="1"/>
  <c r="N235" i="1" s="1"/>
  <c r="M240" i="1"/>
  <c r="N240" i="1" s="1"/>
  <c r="M227" i="1"/>
  <c r="N227" i="1" s="1"/>
  <c r="M236" i="1"/>
  <c r="N236" i="1" s="1"/>
  <c r="M229" i="1"/>
  <c r="N229" i="1" s="1"/>
  <c r="M223" i="1"/>
  <c r="N223" i="1" s="1"/>
  <c r="M234" i="1"/>
  <c r="N234" i="1" s="1"/>
  <c r="M244" i="1"/>
  <c r="N244" i="1" s="1"/>
  <c r="M251" i="1"/>
  <c r="N251" i="1" s="1"/>
  <c r="M248" i="1"/>
  <c r="N248" i="1" s="1"/>
  <c r="M243" i="1"/>
  <c r="N243" i="1" s="1"/>
  <c r="M255" i="1"/>
  <c r="N255" i="1" s="1"/>
  <c r="M247" i="1"/>
  <c r="N247" i="1" s="1"/>
  <c r="M245" i="1"/>
  <c r="N245" i="1" s="1"/>
  <c r="M246" i="1"/>
  <c r="N246" i="1" s="1"/>
  <c r="M242" i="1"/>
  <c r="N242" i="1" s="1"/>
  <c r="M250" i="1"/>
  <c r="N250" i="1" s="1"/>
  <c r="M249" i="1"/>
  <c r="N249" i="1" s="1"/>
  <c r="M252" i="1"/>
  <c r="N252" i="1" s="1"/>
  <c r="M254" i="1"/>
  <c r="N254" i="1" s="1"/>
  <c r="M253" i="1"/>
  <c r="N253" i="1" s="1"/>
  <c r="M262" i="1"/>
  <c r="N262" i="1" s="1"/>
  <c r="M256" i="1"/>
  <c r="N256" i="1" s="1"/>
  <c r="M263" i="1"/>
  <c r="N263" i="1" s="1"/>
  <c r="M271" i="1"/>
  <c r="N271" i="1" s="1"/>
  <c r="M268" i="1"/>
  <c r="N268" i="1" s="1"/>
  <c r="M266" i="1"/>
  <c r="N266" i="1" s="1"/>
  <c r="M257" i="1"/>
  <c r="N257" i="1" s="1"/>
  <c r="M264" i="1"/>
  <c r="N264" i="1" s="1"/>
  <c r="M265" i="1"/>
  <c r="N265" i="1" s="1"/>
  <c r="M259" i="1"/>
  <c r="N259" i="1" s="1"/>
  <c r="M261" i="1"/>
  <c r="N261" i="1" s="1"/>
  <c r="M260" i="1"/>
  <c r="N260" i="1" s="1"/>
  <c r="M269" i="1"/>
  <c r="N269" i="1" s="1"/>
  <c r="M270" i="1"/>
  <c r="N270" i="1" s="1"/>
  <c r="M267" i="1"/>
  <c r="N267" i="1" s="1"/>
  <c r="M258" i="1"/>
  <c r="N258" i="1" s="1"/>
  <c r="M274" i="1"/>
  <c r="N274" i="1" s="1"/>
  <c r="M289" i="1"/>
  <c r="N289" i="1" s="1"/>
  <c r="M286" i="1"/>
  <c r="N286" i="1" s="1"/>
  <c r="M273" i="1"/>
  <c r="N273" i="1" s="1"/>
  <c r="M280" i="1"/>
  <c r="N280" i="1" s="1"/>
  <c r="M285" i="1"/>
  <c r="N285" i="1" s="1"/>
  <c r="M275" i="1"/>
  <c r="N275" i="1" s="1"/>
  <c r="M288" i="1"/>
  <c r="N288" i="1" s="1"/>
  <c r="M284" i="1"/>
  <c r="N284" i="1" s="1"/>
  <c r="M279" i="1"/>
  <c r="N279" i="1" s="1"/>
  <c r="M272" i="1"/>
  <c r="N272" i="1" s="1"/>
  <c r="M277" i="1"/>
  <c r="N277" i="1" s="1"/>
  <c r="M283" i="1"/>
  <c r="N283" i="1" s="1"/>
  <c r="M281" i="1"/>
  <c r="N281" i="1" s="1"/>
  <c r="M282" i="1"/>
  <c r="N282" i="1" s="1"/>
  <c r="M276" i="1"/>
  <c r="N276" i="1" s="1"/>
  <c r="M290" i="1"/>
  <c r="N290" i="1" s="1"/>
  <c r="M278" i="1"/>
  <c r="N278" i="1" s="1"/>
  <c r="M287" i="1"/>
  <c r="N287" i="1" s="1"/>
  <c r="M291" i="1"/>
  <c r="N291" i="1" s="1"/>
  <c r="M294" i="1"/>
  <c r="N294" i="1" s="1"/>
  <c r="M304" i="1"/>
  <c r="N304" i="1" s="1"/>
  <c r="M297" i="1"/>
  <c r="N297" i="1" s="1"/>
  <c r="M293" i="1"/>
  <c r="N293" i="1" s="1"/>
  <c r="M302" i="1"/>
  <c r="N302" i="1" s="1"/>
  <c r="M301" i="1"/>
  <c r="N301" i="1" s="1"/>
  <c r="M296" i="1"/>
  <c r="N296" i="1" s="1"/>
  <c r="M292" i="1"/>
  <c r="N292" i="1" s="1"/>
  <c r="M299" i="1"/>
  <c r="N299" i="1" s="1"/>
  <c r="G62" i="1"/>
  <c r="P62" i="1" s="1"/>
  <c r="G54" i="1"/>
  <c r="P54" i="1" s="1"/>
  <c r="G66" i="1"/>
  <c r="P66" i="1" s="1"/>
  <c r="G58" i="1"/>
  <c r="P58" i="1" s="1"/>
  <c r="G53" i="1"/>
  <c r="P53" i="1" s="1"/>
  <c r="G52" i="1"/>
  <c r="P52" i="1" s="1"/>
  <c r="G64" i="1"/>
  <c r="P64" i="1" s="1"/>
  <c r="G59" i="1"/>
  <c r="P59" i="1" s="1"/>
  <c r="G51" i="1"/>
  <c r="P51" i="1" s="1"/>
  <c r="G50" i="1"/>
  <c r="P50" i="1" s="1"/>
  <c r="G61" i="1"/>
  <c r="P61" i="1" s="1"/>
  <c r="G72" i="1"/>
  <c r="P72" i="1" s="1"/>
  <c r="G67" i="1"/>
  <c r="P67" i="1" s="1"/>
  <c r="G69" i="1"/>
  <c r="P69" i="1" s="1"/>
  <c r="G85" i="1"/>
  <c r="P85" i="1" s="1"/>
  <c r="G70" i="1"/>
  <c r="P70" i="1" s="1"/>
  <c r="G86" i="1"/>
  <c r="P86" i="1" s="1"/>
  <c r="G82" i="1"/>
  <c r="P82" i="1" s="1"/>
  <c r="G68" i="1"/>
  <c r="P68" i="1" s="1"/>
  <c r="G83" i="1"/>
  <c r="P83" i="1" s="1"/>
  <c r="G88" i="1"/>
  <c r="P88" i="1" s="1"/>
  <c r="G76" i="1"/>
  <c r="P76" i="1" s="1"/>
  <c r="G84" i="1"/>
  <c r="P84" i="1" s="1"/>
  <c r="G75" i="1"/>
  <c r="P75" i="1" s="1"/>
  <c r="G80" i="1"/>
  <c r="P80" i="1" s="1"/>
  <c r="G81" i="1"/>
  <c r="P81" i="1" s="1"/>
  <c r="G77" i="1"/>
  <c r="P77" i="1" s="1"/>
  <c r="G74" i="1"/>
  <c r="P74" i="1" s="1"/>
  <c r="G73" i="1"/>
  <c r="P73" i="1" s="1"/>
  <c r="G78" i="1"/>
  <c r="P78" i="1" s="1"/>
  <c r="G79" i="1"/>
  <c r="P79" i="1" s="1"/>
  <c r="G71" i="1"/>
  <c r="P71" i="1" s="1"/>
  <c r="G87" i="1"/>
  <c r="P87" i="1" s="1"/>
  <c r="G89" i="1"/>
  <c r="P89" i="1" s="1"/>
  <c r="G93" i="1"/>
  <c r="P93" i="1" s="1"/>
  <c r="G96" i="1"/>
  <c r="P96" i="1" s="1"/>
  <c r="G100" i="1"/>
  <c r="P100" i="1" s="1"/>
  <c r="G104" i="1"/>
  <c r="P104" i="1" s="1"/>
  <c r="G97" i="1"/>
  <c r="P97" i="1" s="1"/>
  <c r="G102" i="1"/>
  <c r="P102" i="1" s="1"/>
  <c r="G95" i="1"/>
  <c r="P95" i="1" s="1"/>
  <c r="G92" i="1"/>
  <c r="P92" i="1" s="1"/>
  <c r="G101" i="1"/>
  <c r="P101" i="1" s="1"/>
  <c r="G94" i="1"/>
  <c r="P94" i="1" s="1"/>
  <c r="G98" i="1"/>
  <c r="P98" i="1" s="1"/>
  <c r="G99" i="1"/>
  <c r="P99" i="1" s="1"/>
  <c r="G103" i="1"/>
  <c r="P103" i="1" s="1"/>
  <c r="G91" i="1"/>
  <c r="P91" i="1" s="1"/>
  <c r="G90" i="1"/>
  <c r="P90" i="1" s="1"/>
  <c r="G111" i="1"/>
  <c r="P111" i="1" s="1"/>
  <c r="G107" i="1"/>
  <c r="P107" i="1" s="1"/>
  <c r="G110" i="1"/>
  <c r="P110" i="1" s="1"/>
  <c r="G114" i="1"/>
  <c r="P114" i="1" s="1"/>
  <c r="G117" i="1"/>
  <c r="P117" i="1" s="1"/>
  <c r="G119" i="1"/>
  <c r="P119" i="1" s="1"/>
  <c r="G112" i="1"/>
  <c r="P112" i="1" s="1"/>
  <c r="G118" i="1"/>
  <c r="P118" i="1" s="1"/>
  <c r="G108" i="1"/>
  <c r="P108" i="1" s="1"/>
  <c r="G106" i="1"/>
  <c r="P106" i="1" s="1"/>
  <c r="G105" i="1"/>
  <c r="P105" i="1" s="1"/>
  <c r="G109" i="1"/>
  <c r="P109" i="1" s="1"/>
  <c r="G113" i="1"/>
  <c r="P113" i="1" s="1"/>
  <c r="G120" i="1"/>
  <c r="P120" i="1" s="1"/>
  <c r="G121" i="1"/>
  <c r="P121" i="1" s="1"/>
  <c r="G116" i="1"/>
  <c r="P116" i="1" s="1"/>
  <c r="G115" i="1"/>
  <c r="P115" i="1" s="1"/>
  <c r="G122" i="1"/>
  <c r="P122" i="1" s="1"/>
  <c r="G124" i="1"/>
  <c r="P124" i="1" s="1"/>
  <c r="G127" i="1"/>
  <c r="P127" i="1" s="1"/>
  <c r="G123" i="1"/>
  <c r="P123" i="1" s="1"/>
  <c r="G133" i="1"/>
  <c r="P133" i="1" s="1"/>
  <c r="G135" i="1"/>
  <c r="P135" i="1" s="1"/>
  <c r="G125" i="1"/>
  <c r="P125" i="1" s="1"/>
  <c r="G128" i="1"/>
  <c r="P128" i="1" s="1"/>
  <c r="G129" i="1"/>
  <c r="P129" i="1" s="1"/>
  <c r="G130" i="1"/>
  <c r="P130" i="1" s="1"/>
  <c r="G131" i="1"/>
  <c r="P131" i="1" s="1"/>
  <c r="G138" i="1"/>
  <c r="P138" i="1" s="1"/>
  <c r="G126" i="1"/>
  <c r="P126" i="1" s="1"/>
  <c r="G132" i="1"/>
  <c r="P132" i="1" s="1"/>
  <c r="G134" i="1"/>
  <c r="P134" i="1" s="1"/>
  <c r="G136" i="1"/>
  <c r="P136" i="1" s="1"/>
  <c r="G137" i="1"/>
  <c r="P137" i="1" s="1"/>
  <c r="G141" i="1"/>
  <c r="P141" i="1" s="1"/>
  <c r="G153" i="1"/>
  <c r="P153" i="1" s="1"/>
  <c r="G150" i="1"/>
  <c r="P150" i="1" s="1"/>
  <c r="G145" i="1"/>
  <c r="P145" i="1" s="1"/>
  <c r="G157" i="1"/>
  <c r="P157" i="1" s="1"/>
  <c r="G142" i="1"/>
  <c r="P142" i="1" s="1"/>
  <c r="G146" i="1"/>
  <c r="P146" i="1" s="1"/>
  <c r="G144" i="1"/>
  <c r="P144" i="1" s="1"/>
  <c r="G151" i="1"/>
  <c r="P151" i="1" s="1"/>
  <c r="G139" i="1"/>
  <c r="P139" i="1" s="1"/>
  <c r="G143" i="1"/>
  <c r="P143" i="1" s="1"/>
  <c r="G148" i="1"/>
  <c r="P148" i="1" s="1"/>
  <c r="G156" i="1"/>
  <c r="P156" i="1" s="1"/>
  <c r="G149" i="1"/>
  <c r="P149" i="1" s="1"/>
  <c r="G154" i="1"/>
  <c r="P154" i="1" s="1"/>
  <c r="G152" i="1"/>
  <c r="P152" i="1" s="1"/>
  <c r="G140" i="1"/>
  <c r="P140" i="1" s="1"/>
  <c r="G155" i="1"/>
  <c r="P155" i="1" s="1"/>
  <c r="G147" i="1"/>
  <c r="P147" i="1" s="1"/>
  <c r="G167" i="1"/>
  <c r="P167" i="1" s="1"/>
  <c r="G170" i="1"/>
  <c r="P170" i="1" s="1"/>
  <c r="G168" i="1"/>
  <c r="P168" i="1" s="1"/>
  <c r="G163" i="1"/>
  <c r="P163" i="1" s="1"/>
  <c r="G165" i="1"/>
  <c r="P165" i="1" s="1"/>
  <c r="G166" i="1"/>
  <c r="P166" i="1" s="1"/>
  <c r="G159" i="1"/>
  <c r="P159" i="1" s="1"/>
  <c r="G160" i="1"/>
  <c r="P160" i="1" s="1"/>
  <c r="G164" i="1"/>
  <c r="P164" i="1" s="1"/>
  <c r="G171" i="1"/>
  <c r="P171" i="1" s="1"/>
  <c r="G169" i="1"/>
  <c r="P169" i="1" s="1"/>
  <c r="G162" i="1"/>
  <c r="P162" i="1" s="1"/>
  <c r="G161" i="1"/>
  <c r="P161" i="1" s="1"/>
  <c r="G158" i="1"/>
  <c r="P158" i="1" s="1"/>
  <c r="G175" i="1"/>
  <c r="P175" i="1" s="1"/>
  <c r="G178" i="1"/>
  <c r="P178" i="1" s="1"/>
  <c r="G182" i="1"/>
  <c r="P182" i="1" s="1"/>
  <c r="G187" i="1"/>
  <c r="P187" i="1" s="1"/>
  <c r="G179" i="1"/>
  <c r="P179" i="1" s="1"/>
  <c r="G188" i="1"/>
  <c r="P188" i="1" s="1"/>
  <c r="G172" i="1"/>
  <c r="P172" i="1" s="1"/>
  <c r="G180" i="1"/>
  <c r="P180" i="1" s="1"/>
  <c r="G185" i="1"/>
  <c r="P185" i="1" s="1"/>
  <c r="G189" i="1"/>
  <c r="P189" i="1" s="1"/>
  <c r="G181" i="1"/>
  <c r="P181" i="1" s="1"/>
  <c r="G183" i="1"/>
  <c r="P183" i="1" s="1"/>
  <c r="G173" i="1"/>
  <c r="P173" i="1" s="1"/>
  <c r="G190" i="1"/>
  <c r="P190" i="1" s="1"/>
  <c r="G177" i="1"/>
  <c r="P177" i="1" s="1"/>
  <c r="G186" i="1"/>
  <c r="P186" i="1" s="1"/>
  <c r="G184" i="1"/>
  <c r="P184" i="1" s="1"/>
  <c r="G176" i="1"/>
  <c r="P176" i="1" s="1"/>
  <c r="G174" i="1"/>
  <c r="P174" i="1" s="1"/>
  <c r="G202" i="1"/>
  <c r="P202" i="1" s="1"/>
  <c r="G203" i="1"/>
  <c r="P203" i="1" s="1"/>
  <c r="G199" i="1"/>
  <c r="P199" i="1" s="1"/>
  <c r="G204" i="1"/>
  <c r="P204" i="1" s="1"/>
  <c r="G201" i="1"/>
  <c r="P201" i="1" s="1"/>
  <c r="G192" i="1"/>
  <c r="P192" i="1" s="1"/>
  <c r="G200" i="1"/>
  <c r="P200" i="1" s="1"/>
  <c r="G193" i="1"/>
  <c r="P193" i="1" s="1"/>
  <c r="G195" i="1"/>
  <c r="P195" i="1" s="1"/>
  <c r="G194" i="1"/>
  <c r="P194" i="1" s="1"/>
  <c r="G197" i="1"/>
  <c r="P197" i="1" s="1"/>
  <c r="G196" i="1"/>
  <c r="P196" i="1" s="1"/>
  <c r="G198" i="1"/>
  <c r="P198" i="1" s="1"/>
  <c r="G191" i="1"/>
  <c r="P191" i="1" s="1"/>
  <c r="G205" i="1"/>
  <c r="P205" i="1" s="1"/>
  <c r="G215" i="1"/>
  <c r="P215" i="1" s="1"/>
  <c r="G210" i="1"/>
  <c r="P210" i="1" s="1"/>
  <c r="G207" i="1"/>
  <c r="P207" i="1" s="1"/>
  <c r="G211" i="1"/>
  <c r="P211" i="1" s="1"/>
  <c r="G217" i="1"/>
  <c r="P217" i="1" s="1"/>
  <c r="G213" i="1"/>
  <c r="P213" i="1" s="1"/>
  <c r="G214" i="1"/>
  <c r="P214" i="1" s="1"/>
  <c r="G218" i="1"/>
  <c r="P218" i="1" s="1"/>
  <c r="G220" i="1"/>
  <c r="P220" i="1" s="1"/>
  <c r="G212" i="1"/>
  <c r="P212" i="1" s="1"/>
  <c r="G222" i="1"/>
  <c r="P222" i="1" s="1"/>
  <c r="G219" i="1"/>
  <c r="P219" i="1" s="1"/>
  <c r="G221" i="1"/>
  <c r="P221" i="1" s="1"/>
  <c r="G216" i="1"/>
  <c r="P216" i="1" s="1"/>
  <c r="G208" i="1"/>
  <c r="P208" i="1" s="1"/>
  <c r="G209" i="1"/>
  <c r="P209" i="1" s="1"/>
  <c r="G206" i="1"/>
  <c r="P206" i="1" s="1"/>
  <c r="G228" i="1"/>
  <c r="P228" i="1" s="1"/>
  <c r="G226" i="1"/>
  <c r="P226" i="1" s="1"/>
  <c r="G231" i="1"/>
  <c r="P231" i="1" s="1"/>
  <c r="G233" i="1"/>
  <c r="P233" i="1" s="1"/>
  <c r="G232" i="1"/>
  <c r="P232" i="1" s="1"/>
  <c r="G237" i="1"/>
  <c r="P237" i="1" s="1"/>
  <c r="G239" i="1"/>
  <c r="P239" i="1" s="1"/>
  <c r="G238" i="1"/>
  <c r="P238" i="1" s="1"/>
  <c r="G241" i="1"/>
  <c r="P241" i="1" s="1"/>
  <c r="G224" i="1"/>
  <c r="P224" i="1" s="1"/>
  <c r="G230" i="1"/>
  <c r="P230" i="1" s="1"/>
  <c r="G225" i="1"/>
  <c r="P225" i="1" s="1"/>
  <c r="G235" i="1"/>
  <c r="P235" i="1" s="1"/>
  <c r="G240" i="1"/>
  <c r="P240" i="1" s="1"/>
  <c r="G227" i="1"/>
  <c r="P227" i="1" s="1"/>
  <c r="G236" i="1"/>
  <c r="P236" i="1" s="1"/>
  <c r="G229" i="1"/>
  <c r="P229" i="1" s="1"/>
  <c r="G223" i="1"/>
  <c r="P223" i="1" s="1"/>
  <c r="G234" i="1"/>
  <c r="P234" i="1" s="1"/>
  <c r="G244" i="1"/>
  <c r="P244" i="1" s="1"/>
  <c r="G251" i="1"/>
  <c r="P251" i="1" s="1"/>
  <c r="G248" i="1"/>
  <c r="P248" i="1" s="1"/>
  <c r="G243" i="1"/>
  <c r="P243" i="1" s="1"/>
  <c r="G255" i="1"/>
  <c r="P255" i="1" s="1"/>
  <c r="G247" i="1"/>
  <c r="P247" i="1" s="1"/>
  <c r="G245" i="1"/>
  <c r="P245" i="1" s="1"/>
  <c r="G246" i="1"/>
  <c r="P246" i="1" s="1"/>
  <c r="G242" i="1"/>
  <c r="P242" i="1" s="1"/>
  <c r="G250" i="1"/>
  <c r="P250" i="1" s="1"/>
  <c r="G249" i="1"/>
  <c r="P249" i="1" s="1"/>
  <c r="G252" i="1"/>
  <c r="P252" i="1" s="1"/>
  <c r="G254" i="1"/>
  <c r="P254" i="1" s="1"/>
  <c r="G253" i="1"/>
  <c r="P253" i="1" s="1"/>
  <c r="G262" i="1"/>
  <c r="P262" i="1" s="1"/>
  <c r="G256" i="1"/>
  <c r="P256" i="1" s="1"/>
  <c r="G263" i="1"/>
  <c r="P263" i="1" s="1"/>
  <c r="G271" i="1"/>
  <c r="P271" i="1" s="1"/>
  <c r="G268" i="1"/>
  <c r="P268" i="1" s="1"/>
  <c r="G266" i="1"/>
  <c r="P266" i="1" s="1"/>
  <c r="G257" i="1"/>
  <c r="P257" i="1" s="1"/>
  <c r="G264" i="1"/>
  <c r="P264" i="1" s="1"/>
  <c r="G265" i="1"/>
  <c r="P265" i="1" s="1"/>
  <c r="G259" i="1"/>
  <c r="P259" i="1" s="1"/>
  <c r="G261" i="1"/>
  <c r="P261" i="1" s="1"/>
  <c r="G260" i="1"/>
  <c r="P260" i="1" s="1"/>
  <c r="G269" i="1"/>
  <c r="P269" i="1" s="1"/>
  <c r="G270" i="1"/>
  <c r="P270" i="1" s="1"/>
  <c r="G267" i="1"/>
  <c r="P267" i="1" s="1"/>
  <c r="G258" i="1"/>
  <c r="P258" i="1" s="1"/>
  <c r="G274" i="1"/>
  <c r="P274" i="1" s="1"/>
  <c r="G289" i="1"/>
  <c r="P289" i="1" s="1"/>
  <c r="G286" i="1"/>
  <c r="P286" i="1" s="1"/>
  <c r="G273" i="1"/>
  <c r="P273" i="1" s="1"/>
  <c r="G280" i="1"/>
  <c r="P280" i="1" s="1"/>
  <c r="G285" i="1"/>
  <c r="P285" i="1" s="1"/>
  <c r="G275" i="1"/>
  <c r="P275" i="1" s="1"/>
  <c r="G288" i="1"/>
  <c r="P288" i="1" s="1"/>
  <c r="G284" i="1"/>
  <c r="P284" i="1" s="1"/>
  <c r="G279" i="1"/>
  <c r="P279" i="1" s="1"/>
  <c r="G272" i="1"/>
  <c r="P272" i="1" s="1"/>
  <c r="G277" i="1"/>
  <c r="P277" i="1" s="1"/>
  <c r="G283" i="1"/>
  <c r="P283" i="1" s="1"/>
  <c r="G281" i="1"/>
  <c r="P281" i="1" s="1"/>
  <c r="G282" i="1"/>
  <c r="P282" i="1" s="1"/>
  <c r="G276" i="1"/>
  <c r="P276" i="1" s="1"/>
  <c r="G290" i="1"/>
  <c r="P290" i="1" s="1"/>
  <c r="G278" i="1"/>
  <c r="P278" i="1" s="1"/>
  <c r="G287" i="1"/>
  <c r="P287" i="1" s="1"/>
  <c r="G291" i="1"/>
  <c r="P291" i="1" s="1"/>
  <c r="G294" i="1"/>
  <c r="P294" i="1" s="1"/>
  <c r="G304" i="1"/>
  <c r="P304" i="1" s="1"/>
  <c r="G297" i="1"/>
  <c r="P297" i="1" s="1"/>
  <c r="G293" i="1"/>
  <c r="P293" i="1" s="1"/>
  <c r="G302" i="1"/>
  <c r="P302" i="1" s="1"/>
  <c r="G301" i="1"/>
  <c r="P301" i="1" s="1"/>
  <c r="G296" i="1"/>
  <c r="P296" i="1" s="1"/>
  <c r="G292" i="1"/>
  <c r="P292" i="1" s="1"/>
  <c r="G299" i="1"/>
  <c r="P299" i="1" s="1"/>
  <c r="G57" i="1"/>
  <c r="P57" i="1" s="1"/>
  <c r="G10" i="1" l="1"/>
  <c r="G6" i="1"/>
  <c r="P6" i="1" s="1"/>
  <c r="G3" i="1"/>
  <c r="P3" i="1" s="1"/>
  <c r="G12" i="1"/>
  <c r="P12" i="1" s="1"/>
  <c r="G5" i="1"/>
  <c r="P5" i="1" s="1"/>
  <c r="G8" i="1"/>
  <c r="P8" i="1" s="1"/>
  <c r="G9" i="1"/>
  <c r="P9" i="1" s="1"/>
  <c r="G11" i="1"/>
  <c r="P11" i="1" s="1"/>
  <c r="G4" i="1"/>
  <c r="P4" i="1" s="1"/>
  <c r="G7" i="1"/>
  <c r="P7" i="1" s="1"/>
  <c r="G14" i="1"/>
  <c r="P14" i="1" s="1"/>
  <c r="P10" i="1"/>
  <c r="G2" i="1"/>
  <c r="P2" i="1" s="1"/>
  <c r="G28" i="1"/>
  <c r="P28" i="1" s="1"/>
  <c r="G23" i="1"/>
  <c r="P23" i="1" s="1"/>
  <c r="G24" i="1"/>
  <c r="P24" i="1" s="1"/>
  <c r="G17" i="1"/>
  <c r="P17" i="1" s="1"/>
  <c r="G16" i="1"/>
  <c r="P16" i="1" s="1"/>
  <c r="G27" i="1"/>
  <c r="P27" i="1" s="1"/>
  <c r="G29" i="1"/>
  <c r="P29" i="1" s="1"/>
  <c r="G25" i="1"/>
  <c r="P25" i="1" s="1"/>
  <c r="G30" i="1"/>
  <c r="P30" i="1" s="1"/>
  <c r="G22" i="1"/>
  <c r="P22" i="1" s="1"/>
  <c r="G19" i="1"/>
  <c r="P19" i="1" s="1"/>
  <c r="G21" i="1"/>
  <c r="P21" i="1" s="1"/>
  <c r="G18" i="1"/>
  <c r="P18" i="1" s="1"/>
  <c r="G26" i="1"/>
  <c r="P26" i="1" s="1"/>
  <c r="G20" i="1"/>
  <c r="P20" i="1" s="1"/>
  <c r="G15" i="1"/>
  <c r="P15" i="1" s="1"/>
  <c r="G44" i="1"/>
  <c r="P44" i="1" s="1"/>
  <c r="G32" i="1"/>
  <c r="P32" i="1" s="1"/>
  <c r="G45" i="1"/>
  <c r="P45" i="1" s="1"/>
  <c r="G36" i="1"/>
  <c r="P36" i="1" s="1"/>
  <c r="G41" i="1"/>
  <c r="P41" i="1" s="1"/>
  <c r="G42" i="1"/>
  <c r="P42" i="1" s="1"/>
  <c r="G38" i="1"/>
  <c r="P38" i="1" s="1"/>
  <c r="G34" i="1"/>
  <c r="P34" i="1" s="1"/>
  <c r="G31" i="1"/>
  <c r="P31" i="1" s="1"/>
  <c r="G47" i="1"/>
  <c r="P47" i="1" s="1"/>
  <c r="G40" i="1"/>
  <c r="P40" i="1" s="1"/>
  <c r="G39" i="1"/>
  <c r="P39" i="1" s="1"/>
  <c r="G35" i="1"/>
  <c r="P35" i="1" s="1"/>
  <c r="G37" i="1"/>
  <c r="P37" i="1" s="1"/>
  <c r="G43" i="1"/>
  <c r="P43" i="1" s="1"/>
  <c r="G46" i="1"/>
  <c r="P46" i="1" s="1"/>
  <c r="G33" i="1"/>
  <c r="P33" i="1" s="1"/>
  <c r="G56" i="1"/>
  <c r="P56" i="1" s="1"/>
  <c r="G55" i="1"/>
  <c r="P55" i="1" s="1"/>
  <c r="G63" i="1"/>
  <c r="P63" i="1" s="1"/>
  <c r="G60" i="1"/>
  <c r="P60" i="1" s="1"/>
  <c r="G48" i="1"/>
  <c r="P48" i="1" s="1"/>
  <c r="G49" i="1"/>
  <c r="P49" i="1" s="1"/>
  <c r="G65" i="1"/>
  <c r="P65" i="1" s="1"/>
  <c r="G13" i="1"/>
  <c r="P13" i="1" s="1"/>
  <c r="O3" i="1"/>
  <c r="O12" i="1"/>
  <c r="O5" i="1"/>
  <c r="O8" i="1"/>
  <c r="O9" i="1"/>
  <c r="O11" i="1"/>
  <c r="O4" i="1"/>
  <c r="O7" i="1"/>
  <c r="O14" i="1"/>
  <c r="O10" i="1"/>
  <c r="O2" i="1"/>
  <c r="O28" i="1"/>
  <c r="O23" i="1"/>
  <c r="O24" i="1"/>
  <c r="O17" i="1"/>
  <c r="O16" i="1"/>
  <c r="O27" i="1"/>
  <c r="O29" i="1"/>
  <c r="O25" i="1"/>
  <c r="O30" i="1"/>
  <c r="O22" i="1"/>
  <c r="O19" i="1"/>
  <c r="O21" i="1"/>
  <c r="O18" i="1"/>
  <c r="O26" i="1"/>
  <c r="O20" i="1"/>
  <c r="O15" i="1"/>
  <c r="O44" i="1"/>
  <c r="O32" i="1"/>
  <c r="O45" i="1"/>
  <c r="O36" i="1"/>
  <c r="O41" i="1"/>
  <c r="O42" i="1"/>
  <c r="O38" i="1"/>
  <c r="O34" i="1"/>
  <c r="O31" i="1"/>
  <c r="O47" i="1"/>
  <c r="O40" i="1"/>
  <c r="O39" i="1"/>
  <c r="O35" i="1"/>
  <c r="O37" i="1"/>
  <c r="O43" i="1"/>
  <c r="O46" i="1"/>
  <c r="O33" i="1"/>
  <c r="O56" i="1"/>
  <c r="O55" i="1"/>
  <c r="O63" i="1"/>
  <c r="O60" i="1"/>
  <c r="O48" i="1"/>
  <c r="O49" i="1"/>
  <c r="O65" i="1"/>
  <c r="M24" i="1"/>
  <c r="N24" i="1" s="1"/>
  <c r="M17" i="1"/>
  <c r="N17" i="1" s="1"/>
  <c r="M16" i="1"/>
  <c r="N16" i="1" s="1"/>
  <c r="M27" i="1"/>
  <c r="N27" i="1" s="1"/>
  <c r="M29" i="1"/>
  <c r="N29" i="1" s="1"/>
  <c r="M25" i="1"/>
  <c r="N25" i="1" s="1"/>
  <c r="M30" i="1"/>
  <c r="N30" i="1" s="1"/>
  <c r="M22" i="1"/>
  <c r="N22" i="1" s="1"/>
  <c r="M19" i="1"/>
  <c r="N19" i="1" s="1"/>
  <c r="M21" i="1"/>
  <c r="N21" i="1" s="1"/>
  <c r="M18" i="1"/>
  <c r="N18" i="1" s="1"/>
  <c r="M26" i="1"/>
  <c r="N26" i="1" s="1"/>
  <c r="M20" i="1"/>
  <c r="N20" i="1" s="1"/>
  <c r="M15" i="1"/>
  <c r="N15" i="1" s="1"/>
  <c r="M44" i="1"/>
  <c r="N44" i="1" s="1"/>
  <c r="M32" i="1"/>
  <c r="N32" i="1" s="1"/>
  <c r="M45" i="1"/>
  <c r="N45" i="1" s="1"/>
  <c r="M36" i="1"/>
  <c r="N36" i="1" s="1"/>
  <c r="M41" i="1"/>
  <c r="N41" i="1" s="1"/>
  <c r="M42" i="1"/>
  <c r="N42" i="1" s="1"/>
  <c r="M38" i="1"/>
  <c r="N38" i="1" s="1"/>
  <c r="M34" i="1"/>
  <c r="N34" i="1" s="1"/>
  <c r="M31" i="1"/>
  <c r="N31" i="1" s="1"/>
  <c r="M47" i="1"/>
  <c r="N47" i="1" s="1"/>
  <c r="M40" i="1"/>
  <c r="N40" i="1" s="1"/>
  <c r="M39" i="1"/>
  <c r="N39" i="1" s="1"/>
  <c r="M35" i="1"/>
  <c r="N35" i="1" s="1"/>
  <c r="M37" i="1"/>
  <c r="N37" i="1" s="1"/>
  <c r="M43" i="1"/>
  <c r="N43" i="1" s="1"/>
  <c r="M46" i="1"/>
  <c r="N46" i="1" s="1"/>
  <c r="M33" i="1"/>
  <c r="N33" i="1" s="1"/>
  <c r="M56" i="1"/>
  <c r="N56" i="1" s="1"/>
  <c r="M55" i="1"/>
  <c r="N55" i="1" s="1"/>
  <c r="M63" i="1"/>
  <c r="N63" i="1" s="1"/>
  <c r="M60" i="1"/>
  <c r="N60" i="1" s="1"/>
  <c r="M48" i="1"/>
  <c r="N48" i="1" s="1"/>
  <c r="M49" i="1"/>
  <c r="N49" i="1" s="1"/>
  <c r="M65" i="1"/>
  <c r="N65" i="1" s="1"/>
  <c r="M3" i="1"/>
  <c r="N3" i="1" s="1"/>
  <c r="M12" i="1"/>
  <c r="N12" i="1" s="1"/>
  <c r="M5" i="1"/>
  <c r="N5" i="1" s="1"/>
  <c r="M8" i="1"/>
  <c r="N8" i="1" s="1"/>
  <c r="M9" i="1"/>
  <c r="N9" i="1" s="1"/>
  <c r="M11" i="1"/>
  <c r="N11" i="1" s="1"/>
  <c r="M4" i="1"/>
  <c r="N4" i="1" s="1"/>
  <c r="M7" i="1"/>
  <c r="N7" i="1" s="1"/>
  <c r="M14" i="1"/>
  <c r="N14" i="1" s="1"/>
  <c r="M10" i="1"/>
  <c r="N10" i="1" s="1"/>
  <c r="M2" i="1"/>
  <c r="N2" i="1" s="1"/>
  <c r="M28" i="1"/>
  <c r="N28" i="1" s="1"/>
  <c r="M23" i="1"/>
  <c r="N23" i="1" s="1"/>
  <c r="M13" i="1"/>
  <c r="N13" i="1" s="1"/>
  <c r="O13" i="1"/>
  <c r="M6" i="1"/>
  <c r="N6" i="1" s="1"/>
  <c r="O6" i="1"/>
  <c r="C27" i="3" l="1"/>
  <c r="C24" i="3"/>
  <c r="C23" i="3"/>
  <c r="C22" i="3"/>
  <c r="C21" i="3"/>
  <c r="C13" i="3"/>
  <c r="C12" i="3"/>
  <c r="C6" i="3"/>
  <c r="C5" i="3"/>
  <c r="C4" i="3"/>
  <c r="E4" i="2"/>
  <c r="D4" i="2"/>
  <c r="C4" i="2"/>
  <c r="H3" i="2"/>
  <c r="J3" i="2" s="1"/>
  <c r="F3" i="2"/>
  <c r="G3" i="2" s="1"/>
  <c r="E3" i="2"/>
  <c r="H2" i="2"/>
  <c r="F2" i="2"/>
  <c r="G2" i="2" s="1"/>
  <c r="E2" i="2"/>
  <c r="C14" i="3"/>
  <c r="C15" i="3" l="1"/>
  <c r="H4" i="2"/>
  <c r="I4" i="2" s="1"/>
  <c r="C18" i="3"/>
  <c r="C9" i="3"/>
  <c r="C16" i="3"/>
  <c r="C8" i="3"/>
  <c r="C30" i="3"/>
  <c r="J2" i="2"/>
  <c r="J4" i="2" s="1"/>
  <c r="C28" i="3"/>
  <c r="C7" i="3"/>
  <c r="C17" i="3" s="1"/>
  <c r="C29" i="3"/>
  <c r="I3" i="2"/>
  <c r="I2" i="2"/>
  <c r="F4" i="2"/>
  <c r="G4" i="2" s="1"/>
  <c r="C31" i="3" l="1"/>
</calcChain>
</file>

<file path=xl/sharedStrings.xml><?xml version="1.0" encoding="utf-8"?>
<sst xmlns="http://schemas.openxmlformats.org/spreadsheetml/2006/main" count="12941" uniqueCount="5433">
  <si>
    <t>Ride_ID</t>
  </si>
  <si>
    <t>Platform</t>
  </si>
  <si>
    <t>Category</t>
  </si>
  <si>
    <t>Date</t>
  </si>
  <si>
    <t>Day_of_Week</t>
  </si>
  <si>
    <t>Start_Time</t>
  </si>
  <si>
    <t>End_Time</t>
  </si>
  <si>
    <t>Duration_Min</t>
  </si>
  <si>
    <t>Origin_PostCode</t>
  </si>
  <si>
    <t>Dest_PostCode</t>
  </si>
  <si>
    <t>Distance_Km</t>
  </si>
  <si>
    <t>Client_Fare_EUR</t>
  </si>
  <si>
    <t>Driver_Earnings_EUR</t>
  </si>
  <si>
    <t>Platform_Fee_EUR</t>
  </si>
  <si>
    <t>Fee_Pct</t>
  </si>
  <si>
    <t>EUR_per_Km</t>
  </si>
  <si>
    <t>EUR_per_Min</t>
  </si>
  <si>
    <t>R001</t>
  </si>
  <si>
    <t>Uber</t>
  </si>
  <si>
    <t>13/05/2026</t>
  </si>
  <si>
    <t>Wednesday</t>
  </si>
  <si>
    <t>19:21</t>
  </si>
  <si>
    <t>19:38</t>
  </si>
  <si>
    <t>2685-343</t>
  </si>
  <si>
    <t>2625-583</t>
  </si>
  <si>
    <t>R002</t>
  </si>
  <si>
    <t>Bolt</t>
  </si>
  <si>
    <t>Economy</t>
  </si>
  <si>
    <t>Week</t>
  </si>
  <si>
    <t>Refuel_Date</t>
  </si>
  <si>
    <t>PRIO_Amount_EUR</t>
  </si>
  <si>
    <t>Liters</t>
  </si>
  <si>
    <t>EUR_per_Liter</t>
  </si>
  <si>
    <t>Week_Km</t>
  </si>
  <si>
    <t>Fuel_Cost_per_Km</t>
  </si>
  <si>
    <t>Week_Earnings_EUR</t>
  </si>
  <si>
    <t>Fuel_Pct_Earnings</t>
  </si>
  <si>
    <t>Net_Profit_EUR</t>
  </si>
  <si>
    <t>Notes</t>
  </si>
  <si>
    <t>W20/2026</t>
  </si>
  <si>
    <t>12/05/2026</t>
  </si>
  <si>
    <t>W19/2026</t>
  </si>
  <si>
    <t>05/05/2026</t>
  </si>
  <si>
    <t>TOTAL</t>
  </si>
  <si>
    <t>📊 MONTHLY SUMMARY — TVDE</t>
  </si>
  <si>
    <t>RIDES</t>
  </si>
  <si>
    <t>Total Rides</t>
  </si>
  <si>
    <t>Total Distance (Km)</t>
  </si>
  <si>
    <t>Total Duration (Min)</t>
  </si>
  <si>
    <t>Total Duration (Hours)</t>
  </si>
  <si>
    <t>Avg Distance per Ride (Km)</t>
  </si>
  <si>
    <t>Avg Duration per Ride (Min)</t>
  </si>
  <si>
    <t>EARNINGS</t>
  </si>
  <si>
    <t>Total Client Fare (€)</t>
  </si>
  <si>
    <t>Total Driver Earnings (€)</t>
  </si>
  <si>
    <t>Total Platform Fees (€)</t>
  </si>
  <si>
    <t>Avg Platform Fee %</t>
  </si>
  <si>
    <t>Earnings per Km (€)</t>
  </si>
  <si>
    <t>Earnings per Hour (€)</t>
  </si>
  <si>
    <t>Earnings per Ride (€)</t>
  </si>
  <si>
    <t>BY PLATFORM</t>
  </si>
  <si>
    <t>Uber — Total Rides</t>
  </si>
  <si>
    <t>Uber — Driver Earnings (€)</t>
  </si>
  <si>
    <t>Bolt — Total Rides</t>
  </si>
  <si>
    <t>Bolt — Driver Earnings (€)</t>
  </si>
  <si>
    <t>FUEL</t>
  </si>
  <si>
    <t>Total Fuel Cost — PRIO (€)</t>
  </si>
  <si>
    <t>Avg Fuel Cost per Km (€)</t>
  </si>
  <si>
    <t>Fuel % of Driver Earnings</t>
  </si>
  <si>
    <t>Net Profit after Fuel (€)</t>
  </si>
  <si>
    <t>Net Profit per Hour (€)</t>
  </si>
  <si>
    <t>DATA DICTIONARY — TVDE Rides Database</t>
  </si>
  <si>
    <t>Field</t>
  </si>
  <si>
    <t>Description</t>
  </si>
  <si>
    <t>Example</t>
  </si>
  <si>
    <t>Entry Type</t>
  </si>
  <si>
    <t>— RIDES TABLE —</t>
  </si>
  <si>
    <t>Unique sequential ride identifier</t>
  </si>
  <si>
    <t>Manual</t>
  </si>
  <si>
    <t>Ride-hailing app used</t>
  </si>
  <si>
    <t>Uber / Bolt</t>
  </si>
  <si>
    <t>Service tier offered by the platform</t>
  </si>
  <si>
    <t>UberX / Economy</t>
  </si>
  <si>
    <t>Date the ride took place (DD/MM/YYYY)</t>
  </si>
  <si>
    <t>Day of the week</t>
  </si>
  <si>
    <t>Ride start time (HH:MM)</t>
  </si>
  <si>
    <t>Ride end time (HH:MM)</t>
  </si>
  <si>
    <t>Ride duration in minutes (decimal)</t>
  </si>
  <si>
    <t>17.58</t>
  </si>
  <si>
    <t>Postal code where the ride started</t>
  </si>
  <si>
    <t>Postal code where the ride ended</t>
  </si>
  <si>
    <t>Total distance of the ride in kilometres</t>
  </si>
  <si>
    <t>18.31</t>
  </si>
  <si>
    <t>Total amount paid by the passenger</t>
  </si>
  <si>
    <t>11.96 €</t>
  </si>
  <si>
    <t>Net amount received by the driver</t>
  </si>
  <si>
    <t>8.15 €</t>
  </si>
  <si>
    <t>Fee retained by the platform (Client_Fare - Earnings)</t>
  </si>
  <si>
    <t>3.81 €</t>
  </si>
  <si>
    <t>Formula</t>
  </si>
  <si>
    <t>Platform fee as % of client fare</t>
  </si>
  <si>
    <t>31.9%</t>
  </si>
  <si>
    <t>Driver earnings divided by distance</t>
  </si>
  <si>
    <t>0.44 €/km</t>
  </si>
  <si>
    <t>Driver earnings divided by duration</t>
  </si>
  <si>
    <t>0.46 €/min</t>
  </si>
  <si>
    <t>— FUEL TABLE —</t>
  </si>
  <si>
    <t>Week reference label</t>
  </si>
  <si>
    <t>Date of PRIO refuel</t>
  </si>
  <si>
    <t>Total amount paid at PRIO that week</t>
  </si>
  <si>
    <t>55.00 €</t>
  </si>
  <si>
    <t>Litres fuelled that week</t>
  </si>
  <si>
    <t>42.30 L</t>
  </si>
  <si>
    <t>Price per litre (auto-calculated)</t>
  </si>
  <si>
    <t>1.30 €/L</t>
  </si>
  <si>
    <t>Total km driven that week (from Rides tab)</t>
  </si>
  <si>
    <t>210.5 km</t>
  </si>
  <si>
    <t>Formula (cross-sheet)</t>
  </si>
  <si>
    <t>Fuel cost divided by km driven</t>
  </si>
  <si>
    <t>0.26 €/km</t>
  </si>
  <si>
    <t>Total driver earnings that week (from Rides tab)</t>
  </si>
  <si>
    <t>92.40 €</t>
  </si>
  <si>
    <t>Fuel cost as % of driver earnings</t>
  </si>
  <si>
    <t>59.5%</t>
  </si>
  <si>
    <t>Driver earnings minus fuel cost</t>
  </si>
  <si>
    <t>37.40 €</t>
  </si>
  <si>
    <t>2790-022</t>
  </si>
  <si>
    <t>2790-379</t>
  </si>
  <si>
    <t>1500-663</t>
  </si>
  <si>
    <t>2785-816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</si>
  <si>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</si>
  <si>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</si>
  <si>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</si>
  <si>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</si>
  <si>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</si>
  <si>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</si>
  <si>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</si>
  <si>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</si>
  <si>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</si>
  <si>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</si>
  <si>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</si>
  <si>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</si>
  <si>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</si>
  <si>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</si>
  <si>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</si>
  <si>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</si>
  <si>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</si>
  <si>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</si>
  <si>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</si>
  <si>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</si>
  <si>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</si>
  <si>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</si>
  <si>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</si>
  <si>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</si>
  <si>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</si>
  <si>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</si>
  <si>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</si>
  <si>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</si>
  <si>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</si>
  <si>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</si>
  <si>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</si>
  <si>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</si>
  <si>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</si>
  <si>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</si>
  <si>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</si>
  <si>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</si>
  <si>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</si>
  <si>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</si>
  <si>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</si>
  <si>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</si>
  <si>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</si>
  <si>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</si>
  <si>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</si>
  <si>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</si>
  <si>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</si>
  <si>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</si>
  <si>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</si>
  <si>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</si>
  <si>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</si>
  <si>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</si>
  <si>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</si>
  <si>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2675-472</t>
  </si>
  <si>
    <t>1600-196</t>
  </si>
  <si>
    <t>1150-200</t>
  </si>
  <si>
    <t>Uber X</t>
  </si>
  <si>
    <t>1250-096</t>
  </si>
  <si>
    <t>1070-100</t>
  </si>
  <si>
    <t>1300-294</t>
  </si>
  <si>
    <t>1300-291</t>
  </si>
  <si>
    <t>1600-159</t>
  </si>
  <si>
    <t>1600-776</t>
  </si>
  <si>
    <t>Portagem</t>
  </si>
  <si>
    <t>2635-304</t>
  </si>
  <si>
    <t>2720-145</t>
  </si>
  <si>
    <t>2790-114</t>
  </si>
  <si>
    <t>2790-196</t>
  </si>
  <si>
    <t>Uber X Priority</t>
  </si>
  <si>
    <t>2760-127</t>
  </si>
  <si>
    <t>1500-288</t>
  </si>
  <si>
    <t>2785-115</t>
  </si>
  <si>
    <t>2675-663</t>
  </si>
  <si>
    <t>1000-245</t>
  </si>
  <si>
    <t>1100-240</t>
  </si>
  <si>
    <t>1200-482</t>
  </si>
  <si>
    <t>1300-474</t>
  </si>
  <si>
    <t>2620-535</t>
  </si>
  <si>
    <t>2620-529</t>
  </si>
  <si>
    <t>1495-061</t>
  </si>
  <si>
    <t>1400-127</t>
  </si>
  <si>
    <t>1300-070</t>
  </si>
  <si>
    <t>1400-423</t>
  </si>
  <si>
    <t>1400-256</t>
  </si>
  <si>
    <t>1495-113</t>
  </si>
  <si>
    <t>1500-231</t>
  </si>
  <si>
    <t>1500-392</t>
  </si>
  <si>
    <t>1500-353</t>
  </si>
  <si>
    <t>1500-179</t>
  </si>
  <si>
    <t>1350-025</t>
  </si>
  <si>
    <t>1400-033</t>
  </si>
  <si>
    <t>1200-109</t>
  </si>
  <si>
    <t>1700-096</t>
  </si>
  <si>
    <t>1800-081</t>
  </si>
  <si>
    <t>2685-246</t>
  </si>
  <si>
    <t>1000-042</t>
  </si>
  <si>
    <t>1070-11</t>
  </si>
  <si>
    <t>1600-404</t>
  </si>
  <si>
    <t>1600-548</t>
  </si>
  <si>
    <t>1300-107</t>
  </si>
  <si>
    <t>1200-479</t>
  </si>
  <si>
    <t>1700-087</t>
  </si>
  <si>
    <t>Share</t>
  </si>
  <si>
    <t>2625-005</t>
  </si>
  <si>
    <t>1100-316</t>
  </si>
  <si>
    <t>1400-038</t>
  </si>
  <si>
    <t>1500-313</t>
  </si>
  <si>
    <t>1050-020</t>
  </si>
  <si>
    <t>1300-319</t>
  </si>
  <si>
    <t>1300-510</t>
  </si>
  <si>
    <t>1885-010</t>
  </si>
  <si>
    <t>2615-037</t>
  </si>
  <si>
    <t>2625-082</t>
  </si>
  <si>
    <t>1100-148</t>
  </si>
  <si>
    <t>1400-034</t>
  </si>
  <si>
    <t>2790-045</t>
  </si>
  <si>
    <t>2790-218</t>
  </si>
  <si>
    <t>2785-171</t>
  </si>
  <si>
    <t>2744-017</t>
  </si>
  <si>
    <t>1750-065</t>
  </si>
  <si>
    <t>1600-237</t>
  </si>
  <si>
    <t>1200-786</t>
  </si>
  <si>
    <t>Dinamica</t>
  </si>
  <si>
    <t>1200-869</t>
  </si>
  <si>
    <t>2795-208</t>
  </si>
  <si>
    <t>2795-102</t>
  </si>
  <si>
    <t>2635-353</t>
  </si>
  <si>
    <t>2735-472</t>
  </si>
  <si>
    <t>1070-051</t>
  </si>
  <si>
    <t>1990-307</t>
  </si>
  <si>
    <t>1070-234</t>
  </si>
  <si>
    <t>1070-066</t>
  </si>
  <si>
    <t>1150-195</t>
  </si>
  <si>
    <t>1990-083</t>
  </si>
  <si>
    <t>2615-043</t>
  </si>
  <si>
    <t>2615-157</t>
  </si>
  <si>
    <t>2690-158</t>
  </si>
  <si>
    <t>2695-599</t>
  </si>
  <si>
    <t>1600-428</t>
  </si>
  <si>
    <t>1750-002</t>
  </si>
  <si>
    <t>1100-471</t>
  </si>
  <si>
    <t>1170-299</t>
  </si>
  <si>
    <t>1600-622</t>
  </si>
  <si>
    <t>1750-433</t>
  </si>
  <si>
    <t>2770-136</t>
  </si>
  <si>
    <t>2770-103</t>
  </si>
  <si>
    <t>1300-012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</si>
  <si>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</si>
  <si>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</si>
  <si>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</si>
  <si>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</si>
  <si>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</si>
  <si>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</si>
  <si>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</si>
  <si>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</si>
  <si>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</si>
  <si>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</si>
  <si>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</si>
  <si>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</si>
  <si>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</si>
  <si>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</si>
  <si>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</si>
  <si>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</si>
  <si>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</si>
  <si>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</si>
  <si>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</si>
  <si>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</si>
  <si>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</si>
  <si>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</si>
  <si>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</si>
  <si>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</si>
  <si>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</si>
  <si>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</si>
  <si>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</si>
  <si>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</si>
  <si>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</si>
  <si>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</si>
  <si>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</si>
  <si>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</si>
  <si>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</si>
  <si>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</si>
  <si>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</si>
  <si>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</si>
  <si>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</si>
  <si>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</si>
  <si>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</si>
  <si>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</si>
  <si>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</si>
  <si>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</si>
  <si>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</si>
  <si>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</si>
  <si>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</si>
  <si>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</si>
  <si>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</si>
  <si>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</si>
  <si>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</si>
  <si>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</si>
  <si>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</si>
  <si>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</si>
  <si>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</si>
  <si>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</si>
  <si>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</si>
  <si>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</si>
  <si>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</si>
  <si>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</si>
  <si>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</si>
  <si>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</si>
  <si>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</si>
  <si>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</si>
  <si>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</si>
  <si>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</si>
  <si>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</si>
  <si>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</si>
  <si>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</si>
  <si>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</si>
  <si>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</si>
  <si>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</si>
  <si>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</si>
  <si>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</si>
  <si>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</si>
  <si>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</si>
  <si>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</si>
  <si>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</si>
  <si>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</si>
  <si>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</si>
  <si>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</si>
  <si>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</si>
  <si>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</si>
  <si>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</si>
  <si>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</si>
  <si>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</si>
  <si>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</si>
  <si>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</si>
  <si>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</si>
  <si>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</si>
  <si>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</si>
  <si>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</si>
  <si>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</si>
  <si>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</si>
  <si>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</si>
  <si>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</si>
  <si>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</si>
  <si>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</si>
  <si>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</si>
  <si>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</si>
  <si>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</si>
  <si>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</si>
  <si>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</si>
  <si>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</si>
  <si>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</si>
  <si>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</si>
  <si>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</si>
  <si>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</si>
  <si>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</si>
  <si>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</si>
  <si>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</si>
  <si>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</si>
  <si>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</si>
  <si>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</si>
  <si>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</si>
  <si>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</si>
  <si>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</si>
  <si>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</si>
  <si>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</si>
  <si>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</si>
  <si>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</si>
  <si>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</si>
  <si>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</si>
  <si>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</si>
  <si>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</si>
  <si>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</si>
  <si>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</si>
  <si>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</si>
  <si>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</si>
  <si>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</si>
  <si>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</si>
  <si>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</si>
  <si>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</si>
  <si>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</si>
  <si>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</si>
  <si>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</si>
  <si>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</si>
  <si>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</si>
  <si>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</si>
  <si>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</si>
  <si>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</si>
  <si>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</si>
  <si>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</si>
  <si>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</si>
  <si>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</si>
  <si>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</si>
  <si>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</si>
  <si>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</si>
  <si>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</si>
  <si>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</si>
  <si>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</si>
  <si>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</si>
  <si>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</si>
  <si>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</si>
  <si>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</si>
  <si>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</si>
  <si>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</si>
  <si>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</si>
  <si>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</si>
  <si>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</si>
  <si>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</si>
  <si>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</si>
  <si>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</si>
  <si>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</si>
  <si>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</si>
  <si>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</si>
  <si>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</si>
  <si>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</si>
  <si>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</si>
  <si>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</si>
  <si>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</si>
  <si>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</si>
  <si>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</si>
  <si>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</si>
  <si>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</si>
  <si>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</si>
  <si>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</si>
  <si>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</si>
  <si>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</si>
  <si>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</si>
  <si>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</si>
  <si>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</si>
  <si>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</si>
  <si>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</si>
  <si>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</si>
  <si>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</si>
  <si>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</si>
  <si>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</si>
  <si>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</si>
  <si>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</si>
  <si>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</si>
  <si>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</si>
  <si>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</si>
  <si>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</si>
  <si>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</si>
  <si>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</si>
  <si>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</si>
  <si>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</si>
  <si>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</si>
  <si>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</si>
  <si>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</si>
  <si>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</si>
  <si>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</si>
  <si>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</si>
  <si>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</si>
  <si>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</si>
  <si>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</si>
  <si>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</si>
  <si>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</si>
  <si>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</si>
  <si>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</si>
  <si>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</si>
  <si>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</si>
  <si>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</si>
  <si>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</si>
  <si>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</si>
  <si>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</si>
  <si>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</si>
  <si>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</si>
  <si>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</si>
  <si>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</si>
  <si>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</si>
  <si>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</si>
  <si>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</si>
  <si>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</si>
  <si>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</si>
  <si>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</si>
  <si>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</si>
  <si>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</si>
  <si>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</si>
  <si>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</si>
  <si>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</si>
  <si>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</si>
  <si>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</si>
  <si>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</si>
  <si>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</si>
  <si>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</si>
  <si>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</si>
  <si>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</si>
  <si>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</si>
  <si>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</si>
  <si>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</si>
  <si>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</si>
  <si>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</si>
  <si>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</si>
  <si>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</si>
  <si>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</si>
  <si>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</si>
  <si>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2790-135</t>
  </si>
  <si>
    <t>1600-145</t>
  </si>
  <si>
    <t>1150-023</t>
  </si>
  <si>
    <t>1300-361</t>
  </si>
  <si>
    <t>1300-368</t>
  </si>
  <si>
    <t>1750-218</t>
  </si>
  <si>
    <t>1249-082</t>
  </si>
  <si>
    <t>1000-009</t>
  </si>
  <si>
    <t>1700-048</t>
  </si>
  <si>
    <t>1800-142</t>
  </si>
  <si>
    <t>1990-233</t>
  </si>
  <si>
    <t>2625-683</t>
  </si>
  <si>
    <t>1600-806</t>
  </si>
  <si>
    <t>1400-434</t>
  </si>
  <si>
    <t>1200-211</t>
  </si>
  <si>
    <t>1400-203</t>
  </si>
  <si>
    <t>1750-010</t>
  </si>
  <si>
    <t xml:space="preserve">Uber </t>
  </si>
  <si>
    <t>1750-410</t>
  </si>
  <si>
    <t>2790-017</t>
  </si>
  <si>
    <t>1600-820</t>
  </si>
  <si>
    <t>1000-117</t>
  </si>
  <si>
    <t>1750-209</t>
  </si>
  <si>
    <t>1200-761</t>
  </si>
  <si>
    <t>2625-435</t>
  </si>
  <si>
    <t>2695-689</t>
  </si>
  <si>
    <t>2695-687</t>
  </si>
  <si>
    <t>1495-084</t>
  </si>
  <si>
    <t>1495-034</t>
  </si>
  <si>
    <t>1495-724</t>
  </si>
  <si>
    <t>2790-143</t>
  </si>
  <si>
    <t>2610-110</t>
  </si>
  <si>
    <t>bolt</t>
  </si>
  <si>
    <t>1400-157</t>
  </si>
  <si>
    <t>2720-062</t>
  </si>
  <si>
    <t>2720-468</t>
  </si>
  <si>
    <t>1300-005</t>
  </si>
  <si>
    <t>1300-344</t>
  </si>
  <si>
    <t>1300-416</t>
  </si>
  <si>
    <t>1300-338</t>
  </si>
  <si>
    <t>1300-085</t>
  </si>
  <si>
    <t>1400-105</t>
  </si>
  <si>
    <t>1700-178</t>
  </si>
  <si>
    <t>1700-141</t>
  </si>
  <si>
    <t>1050-190</t>
  </si>
  <si>
    <t>1050-195</t>
  </si>
  <si>
    <t>1495-240</t>
  </si>
  <si>
    <t>1250-100</t>
  </si>
  <si>
    <t>1500-039</t>
  </si>
  <si>
    <t>1990-291</t>
  </si>
  <si>
    <t>2690-390</t>
  </si>
  <si>
    <t>1849-033</t>
  </si>
  <si>
    <t>1400-001</t>
  </si>
  <si>
    <t>1500-476</t>
  </si>
  <si>
    <t>2625-690</t>
  </si>
  <si>
    <t>2610-102</t>
  </si>
  <si>
    <t>1495-020</t>
  </si>
  <si>
    <t>1495-098</t>
  </si>
  <si>
    <t>1200-834</t>
  </si>
  <si>
    <t>2694-026</t>
  </si>
  <si>
    <t>1449-003</t>
  </si>
  <si>
    <t>1500-423</t>
  </si>
  <si>
    <t>1700-046</t>
  </si>
  <si>
    <t>1800-399</t>
  </si>
  <si>
    <t>1495-130</t>
  </si>
  <si>
    <t>2675-220</t>
  </si>
  <si>
    <t>1500-431</t>
  </si>
  <si>
    <t>1495-133</t>
  </si>
  <si>
    <t>1700-090</t>
  </si>
  <si>
    <t>2730-205</t>
  </si>
  <si>
    <t>2790-372</t>
  </si>
  <si>
    <t>1495-028</t>
  </si>
  <si>
    <t>1495-037</t>
  </si>
  <si>
    <t>1675-275</t>
  </si>
  <si>
    <t>2650-505</t>
  </si>
  <si>
    <t>2675-301</t>
  </si>
  <si>
    <t>2695-699</t>
  </si>
  <si>
    <t>2615-276</t>
  </si>
  <si>
    <t>1170-289</t>
  </si>
  <si>
    <t>1150-011</t>
  </si>
  <si>
    <t>1495-159</t>
  </si>
  <si>
    <t>2675-382</t>
  </si>
  <si>
    <t>1600-165</t>
  </si>
  <si>
    <t>1990-094</t>
  </si>
  <si>
    <t>1070-146</t>
  </si>
  <si>
    <t>1070-165</t>
  </si>
  <si>
    <t>2790-044</t>
  </si>
  <si>
    <t>1750-137</t>
  </si>
  <si>
    <t>2795-235</t>
  </si>
  <si>
    <t>1495-682</t>
  </si>
  <si>
    <t>1700-305</t>
  </si>
  <si>
    <t>1900-180</t>
  </si>
  <si>
    <t>2775-726</t>
  </si>
  <si>
    <t>2775-579</t>
  </si>
  <si>
    <t>1000-158</t>
  </si>
  <si>
    <t>1300-299</t>
  </si>
  <si>
    <t>1600-654</t>
  </si>
  <si>
    <t>1500-021</t>
  </si>
  <si>
    <t>1600-898</t>
  </si>
  <si>
    <t>1600-141</t>
  </si>
  <si>
    <t>1900-221</t>
  </si>
  <si>
    <t>1990-225</t>
  </si>
  <si>
    <t>1800-246</t>
  </si>
  <si>
    <t>1300-388</t>
  </si>
  <si>
    <t>1800-210</t>
  </si>
  <si>
    <t>2625-088</t>
  </si>
  <si>
    <t>2615-080</t>
  </si>
  <si>
    <t>1000-091</t>
  </si>
  <si>
    <t>1300-250</t>
  </si>
  <si>
    <t>1050-079</t>
  </si>
  <si>
    <t>1600-060</t>
  </si>
  <si>
    <t>1300-598</t>
  </si>
  <si>
    <t>1400-074</t>
  </si>
  <si>
    <t>1400-005</t>
  </si>
  <si>
    <t>1600-501</t>
  </si>
  <si>
    <t>1300-113</t>
  </si>
  <si>
    <t>2615-275</t>
  </si>
  <si>
    <t>1050-016</t>
  </si>
  <si>
    <t>2660-244</t>
  </si>
  <si>
    <t>1700-115</t>
  </si>
  <si>
    <t>2700-794</t>
  </si>
  <si>
    <t>1400-204</t>
  </si>
  <si>
    <t>1070-099</t>
  </si>
  <si>
    <t>1050-141</t>
  </si>
  <si>
    <t>1600-154</t>
  </si>
  <si>
    <t>1500-462</t>
  </si>
  <si>
    <t>1000-168</t>
  </si>
  <si>
    <t>1050-010</t>
  </si>
  <si>
    <t>2660-266</t>
  </si>
  <si>
    <t>2720-413</t>
  </si>
  <si>
    <t>1400-087</t>
  </si>
  <si>
    <t>1649-034</t>
  </si>
  <si>
    <t>1600-026</t>
  </si>
  <si>
    <t>1600-197</t>
  </si>
  <si>
    <t>2610-060</t>
  </si>
  <si>
    <t>2790-074</t>
  </si>
  <si>
    <t>2795-053</t>
  </si>
  <si>
    <t>1300-607</t>
  </si>
  <si>
    <t>1600-867</t>
  </si>
  <si>
    <t>1500-525</t>
  </si>
  <si>
    <t>2625-480</t>
  </si>
  <si>
    <t>1000-254</t>
  </si>
  <si>
    <t>1000-101</t>
  </si>
  <si>
    <t>1300-053</t>
  </si>
  <si>
    <t>1300-118</t>
  </si>
  <si>
    <t>2700-587</t>
  </si>
  <si>
    <t>1500-111</t>
  </si>
  <si>
    <t>1250-162</t>
  </si>
  <si>
    <t>1050-121</t>
  </si>
  <si>
    <t>1070-092</t>
  </si>
  <si>
    <t>1495-135</t>
  </si>
  <si>
    <t>2650-246</t>
  </si>
  <si>
    <t>2700-002</t>
  </si>
  <si>
    <t>2700-324</t>
  </si>
  <si>
    <t>2790-122</t>
  </si>
  <si>
    <t>2770-126</t>
  </si>
  <si>
    <t>2760-126</t>
  </si>
  <si>
    <t>1750-148</t>
  </si>
  <si>
    <t>1495-704</t>
  </si>
  <si>
    <t>1495-740</t>
  </si>
  <si>
    <t>1300-360</t>
  </si>
  <si>
    <t>1300-663</t>
  </si>
  <si>
    <t>1400-126</t>
  </si>
  <si>
    <t>1300-315</t>
  </si>
  <si>
    <t>1150-109</t>
  </si>
  <si>
    <t>1150-291</t>
  </si>
  <si>
    <t>1600-007</t>
  </si>
  <si>
    <t>1500-540</t>
  </si>
  <si>
    <t>2790-194</t>
  </si>
  <si>
    <t>1600-207</t>
  </si>
  <si>
    <t>2775-599</t>
  </si>
  <si>
    <t>2780-247</t>
  </si>
  <si>
    <t>1900-271</t>
  </si>
  <si>
    <t>1700-031</t>
  </si>
  <si>
    <t>2685-073</t>
  </si>
  <si>
    <t>1600-760</t>
  </si>
  <si>
    <t>1000-074</t>
  </si>
  <si>
    <t>1300-501</t>
  </si>
  <si>
    <t>1200-450</t>
  </si>
  <si>
    <t>1350-349</t>
  </si>
  <si>
    <t>1400-197</t>
  </si>
  <si>
    <t>1350-210</t>
  </si>
  <si>
    <t>1990-204</t>
  </si>
  <si>
    <t>1350-270</t>
  </si>
  <si>
    <t>1070-111</t>
  </si>
  <si>
    <t>1300-201</t>
  </si>
  <si>
    <t>1800-237</t>
  </si>
  <si>
    <t>2625-388</t>
  </si>
  <si>
    <t>2625-081</t>
  </si>
  <si>
    <t>2675-281</t>
  </si>
  <si>
    <t>1900-010</t>
  </si>
  <si>
    <t>1300-190</t>
  </si>
  <si>
    <t>1200-735</t>
  </si>
  <si>
    <t>1050-019</t>
  </si>
  <si>
    <t>1200-678</t>
  </si>
  <si>
    <t>1400-422</t>
  </si>
  <si>
    <t>2775-261</t>
  </si>
  <si>
    <t>2785-541</t>
  </si>
  <si>
    <t>1200-831</t>
  </si>
  <si>
    <t>1300-345</t>
  </si>
  <si>
    <t>1885-051</t>
  </si>
  <si>
    <t>2615-081</t>
  </si>
  <si>
    <t>2620-266</t>
  </si>
  <si>
    <t>2620-295</t>
  </si>
  <si>
    <t>1500-650</t>
  </si>
  <si>
    <t>2620-188</t>
  </si>
  <si>
    <t>1600-202</t>
  </si>
  <si>
    <t>1300-352</t>
  </si>
  <si>
    <t>1400-206</t>
  </si>
  <si>
    <t>2700-034</t>
  </si>
  <si>
    <t>2700-111</t>
  </si>
  <si>
    <t>2610-122</t>
  </si>
  <si>
    <t>2610-139</t>
  </si>
  <si>
    <t>1500-098</t>
  </si>
  <si>
    <t>1495-234</t>
  </si>
  <si>
    <t>1300-571</t>
  </si>
  <si>
    <t>1300-004</t>
  </si>
  <si>
    <t>1700-097</t>
  </si>
  <si>
    <t>1500-259</t>
  </si>
  <si>
    <t>1700-354</t>
  </si>
  <si>
    <t>2675-670</t>
  </si>
  <si>
    <t>1500-501</t>
  </si>
  <si>
    <t>1500-374</t>
  </si>
  <si>
    <t>1400-128</t>
  </si>
  <si>
    <t>1495-156</t>
  </si>
  <si>
    <t>1700-062</t>
  </si>
  <si>
    <t>1500-487</t>
  </si>
  <si>
    <t>2790-065</t>
  </si>
  <si>
    <t>2615-279</t>
  </si>
  <si>
    <t>1600-686</t>
  </si>
  <si>
    <t>Tip</t>
  </si>
  <si>
    <t>1000-092</t>
  </si>
  <si>
    <t>1200-808</t>
  </si>
  <si>
    <t>1350-352</t>
  </si>
  <si>
    <t>2765-202</t>
  </si>
  <si>
    <t>1600-233</t>
  </si>
  <si>
    <t>2785-746</t>
  </si>
  <si>
    <t>2785-820</t>
  </si>
  <si>
    <t>1500-114</t>
  </si>
  <si>
    <t>1350-074</t>
  </si>
  <si>
    <t>2615-272</t>
  </si>
  <si>
    <t>1300-661</t>
  </si>
  <si>
    <t>1300-064</t>
  </si>
  <si>
    <t>1050-094</t>
  </si>
  <si>
    <t>1400-072</t>
  </si>
  <si>
    <t>2775-604</t>
  </si>
  <si>
    <t>2775-581</t>
  </si>
  <si>
    <t>2765-281</t>
  </si>
  <si>
    <t>1070-295</t>
  </si>
  <si>
    <t>2625-590</t>
  </si>
  <si>
    <t>2615-171</t>
  </si>
  <si>
    <t>1150-280</t>
  </si>
  <si>
    <t>1150-300</t>
  </si>
  <si>
    <t>1349-001</t>
  </si>
  <si>
    <t>1349-019</t>
  </si>
  <si>
    <t>2790-077</t>
  </si>
  <si>
    <t>2610-156</t>
  </si>
  <si>
    <t>1495-235</t>
  </si>
  <si>
    <t>2795-198</t>
  </si>
  <si>
    <t>2795-155</t>
  </si>
  <si>
    <t>2760-082</t>
  </si>
  <si>
    <t>2760-047</t>
  </si>
  <si>
    <t>2780-006</t>
  </si>
  <si>
    <t>1495-765</t>
  </si>
  <si>
    <t>2675-283</t>
  </si>
  <si>
    <t>1300-167</t>
  </si>
  <si>
    <t>1400-146</t>
  </si>
  <si>
    <t>2790-101</t>
  </si>
  <si>
    <t>2780-267</t>
  </si>
  <si>
    <t>2770-197</t>
  </si>
  <si>
    <t>2770-183</t>
  </si>
  <si>
    <t>1495-719</t>
  </si>
  <si>
    <t>2675-454</t>
  </si>
  <si>
    <t>1500-359</t>
  </si>
  <si>
    <t>1885-006</t>
  </si>
  <si>
    <t>1800-254</t>
  </si>
  <si>
    <t>2625-102</t>
  </si>
  <si>
    <t>2615-155</t>
  </si>
  <si>
    <t>2690-589</t>
  </si>
  <si>
    <t>2690-342</t>
  </si>
  <si>
    <t>2780-114</t>
  </si>
  <si>
    <t>2780-373</t>
  </si>
  <si>
    <t>2740-267</t>
  </si>
  <si>
    <t>1250-212</t>
  </si>
  <si>
    <t>1099-039</t>
  </si>
  <si>
    <t>1495-038</t>
  </si>
  <si>
    <t>1500-537</t>
  </si>
  <si>
    <t>2795-126</t>
  </si>
  <si>
    <t>2775-725</t>
  </si>
  <si>
    <t>1300-306</t>
  </si>
  <si>
    <t>1250-133</t>
  </si>
  <si>
    <t>2675-275</t>
  </si>
  <si>
    <t>1700-284</t>
  </si>
  <si>
    <t>1300-496</t>
  </si>
  <si>
    <t>2795-104</t>
  </si>
  <si>
    <t>2740-081</t>
  </si>
  <si>
    <t>1495-129</t>
  </si>
  <si>
    <t>2610-017</t>
  </si>
  <si>
    <t>2795-084</t>
  </si>
  <si>
    <t>2785-688</t>
  </si>
  <si>
    <t>1349-017</t>
  </si>
  <si>
    <t>1300-651</t>
  </si>
  <si>
    <t>2795-164</t>
  </si>
  <si>
    <t xml:space="preserve">Uber X </t>
  </si>
  <si>
    <t>2795-047</t>
  </si>
  <si>
    <t>1600-190</t>
  </si>
  <si>
    <t>1600-209</t>
  </si>
  <si>
    <t>1900-233</t>
  </si>
  <si>
    <t>2615-044</t>
  </si>
  <si>
    <t>2685-093</t>
  </si>
  <si>
    <t>2790-126</t>
  </si>
  <si>
    <t>2790-471</t>
  </si>
  <si>
    <t>1050-055</t>
  </si>
  <si>
    <t>1600-079</t>
  </si>
  <si>
    <t>1050-054</t>
  </si>
  <si>
    <t>1300-192</t>
  </si>
  <si>
    <t>1800-224</t>
  </si>
  <si>
    <t>2685-338</t>
  </si>
  <si>
    <t>2790-494</t>
  </si>
  <si>
    <t>1050-196</t>
  </si>
  <si>
    <t>2795-166</t>
  </si>
  <si>
    <t>1495-744</t>
  </si>
  <si>
    <t>1070-034</t>
  </si>
  <si>
    <t>1050-161</t>
  </si>
  <si>
    <t>1400-212</t>
  </si>
  <si>
    <t>1400-028</t>
  </si>
  <si>
    <t>1300-236</t>
  </si>
  <si>
    <t>2680-048</t>
  </si>
  <si>
    <t>1900-088</t>
  </si>
  <si>
    <t>2625-045</t>
  </si>
  <si>
    <t>1900-032</t>
  </si>
  <si>
    <t>1300-300</t>
  </si>
  <si>
    <t>1300-408</t>
  </si>
  <si>
    <t>1300-343</t>
  </si>
  <si>
    <t>2790-206</t>
  </si>
  <si>
    <t>1300-426</t>
  </si>
  <si>
    <t>2610-152</t>
  </si>
  <si>
    <t>2785-548</t>
  </si>
  <si>
    <t>2785-728</t>
  </si>
  <si>
    <t>1495-024</t>
  </si>
  <si>
    <t>2790-001</t>
  </si>
  <si>
    <t>2785-798</t>
  </si>
  <si>
    <t>2785-811</t>
  </si>
  <si>
    <t>1150-313</t>
  </si>
  <si>
    <t>1269-133</t>
  </si>
  <si>
    <t>2610-087</t>
  </si>
  <si>
    <t>2625-026</t>
  </si>
  <si>
    <t>1400-031</t>
  </si>
  <si>
    <t>1300-146</t>
  </si>
  <si>
    <t>2799-554</t>
  </si>
  <si>
    <t>2610-024</t>
  </si>
  <si>
    <t>1495-149</t>
  </si>
  <si>
    <t>2790-304</t>
  </si>
  <si>
    <t>2724-510</t>
  </si>
  <si>
    <t>1800-029</t>
  </si>
  <si>
    <t>2625-450</t>
  </si>
  <si>
    <t>1600-532</t>
  </si>
  <si>
    <t>1600-297</t>
  </si>
  <si>
    <t>1600-411</t>
  </si>
  <si>
    <t>1300-342</t>
  </si>
  <si>
    <t>1495-138</t>
  </si>
  <si>
    <t>2775-236</t>
  </si>
  <si>
    <t>2775-605</t>
  </si>
  <si>
    <t>2770-219</t>
  </si>
  <si>
    <t>1300-086</t>
  </si>
  <si>
    <t>1600-038</t>
  </si>
  <si>
    <t>1600-152</t>
  </si>
  <si>
    <t>1300-141</t>
  </si>
  <si>
    <t>1300-040</t>
  </si>
  <si>
    <t>2770-062</t>
  </si>
  <si>
    <t>2770-009</t>
  </si>
  <si>
    <t>1675-017</t>
  </si>
  <si>
    <t>1170-359</t>
  </si>
  <si>
    <t>1750-020</t>
  </si>
  <si>
    <t>1000-078</t>
  </si>
  <si>
    <t>1000-270</t>
  </si>
  <si>
    <t>1998-011</t>
  </si>
  <si>
    <t>1300-610</t>
  </si>
  <si>
    <t>2740-051</t>
  </si>
  <si>
    <t>2740-024</t>
  </si>
  <si>
    <t>1170-353</t>
  </si>
  <si>
    <t>1700-106</t>
  </si>
  <si>
    <t>2625-226</t>
  </si>
  <si>
    <t>1500-235</t>
  </si>
  <si>
    <t>1300-493</t>
  </si>
  <si>
    <t>1000-090</t>
  </si>
  <si>
    <t>1200-101</t>
  </si>
  <si>
    <t>1300-120</t>
  </si>
  <si>
    <t>2675-474</t>
  </si>
  <si>
    <t>1750-293</t>
  </si>
  <si>
    <t>2780-032</t>
  </si>
  <si>
    <t>2780-005</t>
  </si>
  <si>
    <t>1900-176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</si>
  <si>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</si>
  <si>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</si>
  <si>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</si>
  <si>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</si>
  <si>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</si>
  <si>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</si>
  <si>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</si>
  <si>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</si>
  <si>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</si>
  <si>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</si>
  <si>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</si>
  <si>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</si>
  <si>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</si>
  <si>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</si>
  <si>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</si>
  <si>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</si>
  <si>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</si>
  <si>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</si>
  <si>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</si>
  <si>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</si>
  <si>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</si>
  <si>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</si>
  <si>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</si>
  <si>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</si>
  <si>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</si>
  <si>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</si>
  <si>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</si>
  <si>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</si>
  <si>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</si>
  <si>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</si>
  <si>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</si>
  <si>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</si>
  <si>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</si>
  <si>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</si>
  <si>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</si>
  <si>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</si>
  <si>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</si>
  <si>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</si>
  <si>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</si>
  <si>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</si>
  <si>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</si>
  <si>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</si>
  <si>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</si>
  <si>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</si>
  <si>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</si>
  <si>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</si>
  <si>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</si>
  <si>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</si>
  <si>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</si>
  <si>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</si>
  <si>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</si>
  <si>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</si>
  <si>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</si>
  <si>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</si>
  <si>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</si>
  <si>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</si>
  <si>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</si>
  <si>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</si>
  <si>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</si>
  <si>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</si>
  <si>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</si>
  <si>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</si>
  <si>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</si>
  <si>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</si>
  <si>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</si>
  <si>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</si>
  <si>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</si>
  <si>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</si>
  <si>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</si>
  <si>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</si>
  <si>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</si>
  <si>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</si>
  <si>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</si>
  <si>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</si>
  <si>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</si>
  <si>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</si>
  <si>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</si>
  <si>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</si>
  <si>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</si>
  <si>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</si>
  <si>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</si>
  <si>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</si>
  <si>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</si>
  <si>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</si>
  <si>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</si>
  <si>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</si>
  <si>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</si>
  <si>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</si>
  <si>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</si>
  <si>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</si>
  <si>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</si>
  <si>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</si>
  <si>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</si>
  <si>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</si>
  <si>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</si>
  <si>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</si>
  <si>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</si>
  <si>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</si>
  <si>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</si>
  <si>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</si>
  <si>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</si>
  <si>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</si>
  <si>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</si>
  <si>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</si>
  <si>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</si>
  <si>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R405</t>
  </si>
  <si>
    <t>R406</t>
  </si>
  <si>
    <t>R407</t>
  </si>
  <si>
    <t>R408</t>
  </si>
  <si>
    <t>R409</t>
  </si>
  <si>
    <t>R410</t>
  </si>
  <si>
    <t>R411</t>
  </si>
  <si>
    <t>R412</t>
  </si>
  <si>
    <t>R413</t>
  </si>
  <si>
    <t>R414</t>
  </si>
  <si>
    <t>R415</t>
  </si>
  <si>
    <t>R416</t>
  </si>
  <si>
    <t>R417</t>
  </si>
  <si>
    <t>R418</t>
  </si>
  <si>
    <t>R419</t>
  </si>
  <si>
    <t>R420</t>
  </si>
  <si>
    <t>R421</t>
  </si>
  <si>
    <t>R422</t>
  </si>
  <si>
    <t>R423</t>
  </si>
  <si>
    <t>R424</t>
  </si>
  <si>
    <t>R425</t>
  </si>
  <si>
    <t>R426</t>
  </si>
  <si>
    <t>R427</t>
  </si>
  <si>
    <t>R428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</si>
  <si>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</si>
  <si>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</si>
  <si>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</si>
  <si>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</si>
  <si>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</si>
  <si>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</si>
  <si>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</si>
  <si>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</si>
  <si>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</si>
  <si>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</si>
  <si>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R439</t>
  </si>
  <si>
    <t>R440</t>
  </si>
  <si>
    <t>R441</t>
  </si>
  <si>
    <t>R442</t>
  </si>
  <si>
    <t>R443</t>
  </si>
  <si>
    <t>R444</t>
  </si>
  <si>
    <t>R445</t>
  </si>
  <si>
    <t>R446</t>
  </si>
  <si>
    <t>R447</t>
  </si>
  <si>
    <t>R448</t>
  </si>
  <si>
    <t>R449</t>
  </si>
  <si>
    <t>R450</t>
  </si>
  <si>
    <t>R451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</si>
  <si>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</si>
  <si>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</si>
  <si>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</si>
  <si>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</si>
  <si>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</si>
  <si>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</si>
  <si>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</si>
  <si>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</si>
  <si>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</si>
  <si>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</si>
  <si>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R462</t>
  </si>
  <si>
    <t>R463</t>
  </si>
  <si>
    <t>R464</t>
  </si>
  <si>
    <t>R465</t>
  </si>
  <si>
    <t>R466</t>
  </si>
  <si>
    <t>R467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</si>
  <si>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</si>
  <si>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</si>
  <si>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</si>
  <si>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</si>
  <si>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</si>
  <si>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</si>
  <si>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</si>
  <si>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</si>
  <si>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</si>
  <si>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</si>
  <si>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</si>
  <si>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</si>
  <si>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R480</t>
  </si>
  <si>
    <t>R481</t>
  </si>
  <si>
    <t>R482</t>
  </si>
  <si>
    <t>R483</t>
  </si>
  <si>
    <t>R484</t>
  </si>
  <si>
    <t>R485</t>
  </si>
  <si>
    <t>R486</t>
  </si>
  <si>
    <t>R487</t>
  </si>
  <si>
    <t>R488</t>
  </si>
  <si>
    <t>R489</t>
  </si>
  <si>
    <t>R490</t>
  </si>
  <si>
    <t>R491</t>
  </si>
  <si>
    <t>R492</t>
  </si>
  <si>
    <t>R493</t>
  </si>
  <si>
    <t>R494</t>
  </si>
  <si>
    <t>R495</t>
  </si>
  <si>
    <t>R496</t>
  </si>
  <si>
    <t>R497</t>
  </si>
  <si>
    <t>R498</t>
  </si>
  <si>
    <t>R499</t>
  </si>
  <si>
    <t>1500-050</t>
  </si>
  <si>
    <t>1050-090</t>
  </si>
  <si>
    <t>2775-551</t>
  </si>
  <si>
    <t>1600-042</t>
  </si>
  <si>
    <t>1070-067</t>
  </si>
  <si>
    <t>1100-044</t>
  </si>
  <si>
    <t>1700-008</t>
  </si>
  <si>
    <t>2730-316</t>
  </si>
  <si>
    <t>2755-030</t>
  </si>
  <si>
    <t>2765-582</t>
  </si>
  <si>
    <t>2770-102</t>
  </si>
  <si>
    <t>2610-061</t>
  </si>
  <si>
    <t>2610-008</t>
  </si>
  <si>
    <t>1500-284</t>
  </si>
  <si>
    <t>1500-307</t>
  </si>
  <si>
    <t>2730-1990</t>
  </si>
  <si>
    <t>1200-243</t>
  </si>
  <si>
    <t>1070-037</t>
  </si>
  <si>
    <t>1099-032</t>
  </si>
  <si>
    <t>1900-004</t>
  </si>
  <si>
    <t>1900-303</t>
  </si>
  <si>
    <t>1800-233</t>
  </si>
  <si>
    <t>2625-121</t>
  </si>
  <si>
    <t>2685-228</t>
  </si>
  <si>
    <t>1990-357</t>
  </si>
  <si>
    <t>1200-359</t>
  </si>
  <si>
    <t>2730-271</t>
  </si>
  <si>
    <t>2755-547</t>
  </si>
  <si>
    <t>2765-530</t>
  </si>
  <si>
    <t>2770-169</t>
  </si>
  <si>
    <t>1990-150</t>
  </si>
  <si>
    <t>1500-004</t>
  </si>
  <si>
    <t>1800-004</t>
  </si>
  <si>
    <t>2610-194</t>
  </si>
  <si>
    <t>2770-117</t>
  </si>
  <si>
    <t>2795-021</t>
  </si>
  <si>
    <t>1600-277</t>
  </si>
  <si>
    <t>1495-611</t>
  </si>
  <si>
    <t>1500-064</t>
  </si>
  <si>
    <t>1750-105</t>
  </si>
  <si>
    <t>1800-393</t>
  </si>
  <si>
    <t>1495-117</t>
  </si>
  <si>
    <t>1050-060</t>
  </si>
  <si>
    <t>1700-075</t>
  </si>
  <si>
    <t>1300-044</t>
  </si>
  <si>
    <t>2790-154</t>
  </si>
  <si>
    <t>2790-027</t>
  </si>
  <si>
    <t>1600-880</t>
  </si>
  <si>
    <t>1300-102</t>
  </si>
  <si>
    <t>1300-245</t>
  </si>
  <si>
    <t>1400-191</t>
  </si>
  <si>
    <t>1600-658</t>
  </si>
  <si>
    <t>1700-066</t>
  </si>
  <si>
    <t>1495-094</t>
  </si>
  <si>
    <t>2685-233</t>
  </si>
  <si>
    <t>1600-464</t>
  </si>
  <si>
    <t>1300-312</t>
  </si>
  <si>
    <t>1300-314</t>
  </si>
  <si>
    <t>1495-055</t>
  </si>
  <si>
    <t>2780-200</t>
  </si>
  <si>
    <t>1250-015</t>
  </si>
  <si>
    <t>2710-507</t>
  </si>
  <si>
    <t>2710-553</t>
  </si>
  <si>
    <t>2720-698</t>
  </si>
  <si>
    <t>2720-705</t>
  </si>
  <si>
    <t>1300-011</t>
  </si>
  <si>
    <t>1500-075</t>
  </si>
  <si>
    <t>2790-041</t>
  </si>
  <si>
    <t>2780-285</t>
  </si>
  <si>
    <t>2625-022</t>
  </si>
  <si>
    <t>2615-399</t>
  </si>
  <si>
    <t>1070-029</t>
  </si>
  <si>
    <t>1300-006</t>
  </si>
  <si>
    <t>1300-481</t>
  </si>
  <si>
    <t>1250-098</t>
  </si>
  <si>
    <t>1600-198</t>
  </si>
  <si>
    <t>2795-176</t>
  </si>
  <si>
    <t>2775-665</t>
  </si>
  <si>
    <t>1050-078</t>
  </si>
  <si>
    <t>1070-210</t>
  </si>
  <si>
    <t>2625-177</t>
  </si>
  <si>
    <t>2645-213</t>
  </si>
  <si>
    <t>1100-594</t>
  </si>
  <si>
    <t>1950-006</t>
  </si>
  <si>
    <t>1500-430</t>
  </si>
  <si>
    <t>1700-051</t>
  </si>
  <si>
    <t>1750-336</t>
  </si>
  <si>
    <t>2625-393</t>
  </si>
  <si>
    <t>1150-218</t>
  </si>
  <si>
    <t>1400-086</t>
  </si>
  <si>
    <t>1100-487</t>
  </si>
  <si>
    <t>1200-086</t>
  </si>
  <si>
    <t>1250-207</t>
  </si>
  <si>
    <t>1990-079</t>
  </si>
  <si>
    <t>2625-221</t>
  </si>
  <si>
    <t>1269-127</t>
  </si>
  <si>
    <t>1250-069</t>
  </si>
  <si>
    <t>1300-374</t>
  </si>
  <si>
    <t>1300-265</t>
  </si>
  <si>
    <t>2720-154</t>
  </si>
  <si>
    <t>2720-249</t>
  </si>
  <si>
    <t>1950-171</t>
  </si>
  <si>
    <t>1950-034</t>
  </si>
  <si>
    <t>1750-312</t>
  </si>
  <si>
    <t>2780-272</t>
  </si>
  <si>
    <t>2780-187</t>
  </si>
  <si>
    <t>2795-049</t>
  </si>
  <si>
    <t>2615-034</t>
  </si>
  <si>
    <t>2695-752</t>
  </si>
  <si>
    <t>1600-001</t>
  </si>
  <si>
    <t>1300-403</t>
  </si>
  <si>
    <t>1300-469</t>
  </si>
  <si>
    <t>1600-490</t>
  </si>
  <si>
    <t>2740-244</t>
  </si>
  <si>
    <t>1775-204</t>
  </si>
  <si>
    <t>2775-271</t>
  </si>
  <si>
    <t>1495-050</t>
  </si>
  <si>
    <t>1200-790</t>
  </si>
  <si>
    <t>1250-019</t>
  </si>
  <si>
    <t>1400-295</t>
  </si>
  <si>
    <t>1800-100</t>
  </si>
  <si>
    <t>2625-666</t>
  </si>
  <si>
    <t>1800-178</t>
  </si>
  <si>
    <t>2799-557</t>
  </si>
  <si>
    <t>2795-113</t>
  </si>
  <si>
    <t>1070-076</t>
  </si>
  <si>
    <t>1500-561</t>
  </si>
  <si>
    <t>1600-793</t>
  </si>
  <si>
    <t>2610-135</t>
  </si>
  <si>
    <t>2610-042</t>
  </si>
  <si>
    <t>1495-089</t>
  </si>
  <si>
    <t>1400-364</t>
  </si>
  <si>
    <t>1300-340</t>
  </si>
  <si>
    <t>1400-903</t>
  </si>
  <si>
    <t>1750-045</t>
  </si>
  <si>
    <t>1750-143</t>
  </si>
  <si>
    <t>1750-126</t>
  </si>
  <si>
    <t>1500-420</t>
  </si>
  <si>
    <t>1500-620</t>
  </si>
  <si>
    <t>1495-049</t>
  </si>
  <si>
    <t>1495-144</t>
  </si>
  <si>
    <t>1300-611</t>
  </si>
  <si>
    <t>1099-031</t>
  </si>
  <si>
    <t>1600-023</t>
  </si>
  <si>
    <t>2625-400</t>
  </si>
  <si>
    <t>2690-224</t>
  </si>
  <si>
    <t>2625-266</t>
  </si>
  <si>
    <t>1800-379</t>
  </si>
  <si>
    <t>1495-140</t>
  </si>
  <si>
    <t>1700-076</t>
  </si>
  <si>
    <t>1070-157</t>
  </si>
  <si>
    <t>1300-578</t>
  </si>
  <si>
    <t>1750-428</t>
  </si>
  <si>
    <t>2690-496</t>
  </si>
  <si>
    <t>1050-194</t>
  </si>
  <si>
    <t>1300-001</t>
  </si>
  <si>
    <t>1750-441</t>
  </si>
  <si>
    <t>1200-667</t>
  </si>
  <si>
    <t>1200-618</t>
  </si>
  <si>
    <t>1250-111</t>
  </si>
  <si>
    <t>1250-161</t>
  </si>
  <si>
    <t>2780-089</t>
  </si>
  <si>
    <t>2780-101</t>
  </si>
  <si>
    <t>1500-532</t>
  </si>
  <si>
    <t>1700-175</t>
  </si>
  <si>
    <t>1885-086</t>
  </si>
  <si>
    <t>1000-111</t>
  </si>
  <si>
    <t>2790-115</t>
  </si>
  <si>
    <t>2790-209</t>
  </si>
  <si>
    <t>1400-009</t>
  </si>
  <si>
    <t>1495-137</t>
  </si>
  <si>
    <t>1495-143</t>
  </si>
  <si>
    <t>1300-329</t>
  </si>
  <si>
    <t>1750-294</t>
  </si>
  <si>
    <t>1500-105</t>
  </si>
  <si>
    <t>1495-131</t>
  </si>
  <si>
    <t>1495-109</t>
  </si>
  <si>
    <t>2770-106</t>
  </si>
  <si>
    <t>2770-044</t>
  </si>
  <si>
    <t>2790-236</t>
  </si>
  <si>
    <t>2620-193</t>
  </si>
  <si>
    <t>2620-505</t>
  </si>
  <si>
    <t>1070-103</t>
  </si>
  <si>
    <t>2795-059</t>
  </si>
  <si>
    <t>1495-148</t>
  </si>
  <si>
    <t>1400-145</t>
  </si>
  <si>
    <t>2695-458</t>
  </si>
  <si>
    <t>1600-083</t>
  </si>
  <si>
    <t>1250-001</t>
  </si>
  <si>
    <t>1200-287</t>
  </si>
  <si>
    <t>2750-030</t>
  </si>
  <si>
    <t>2700-405</t>
  </si>
  <si>
    <t>2685-066</t>
  </si>
  <si>
    <t>1700-074</t>
  </si>
  <si>
    <t>2685-252</t>
  </si>
  <si>
    <t>1200-358</t>
  </si>
  <si>
    <t>2754-529</t>
  </si>
  <si>
    <t>1750-226</t>
  </si>
  <si>
    <t>1885-001</t>
  </si>
  <si>
    <t>1495-190</t>
  </si>
  <si>
    <t>1700-036</t>
  </si>
  <si>
    <t>1400-315</t>
  </si>
  <si>
    <t>1749-016</t>
  </si>
  <si>
    <t>1600-100</t>
  </si>
  <si>
    <t>1050-251</t>
  </si>
  <si>
    <t>1600-675</t>
  </si>
  <si>
    <t>1500-024</t>
  </si>
  <si>
    <t>2615-377</t>
  </si>
  <si>
    <t>1600-639</t>
  </si>
  <si>
    <t>1675-118</t>
  </si>
  <si>
    <t>1300-233</t>
  </si>
  <si>
    <t>1300-083</t>
  </si>
  <si>
    <t>1700-174</t>
  </si>
  <si>
    <t>1050-000</t>
  </si>
  <si>
    <t>1300-369</t>
  </si>
  <si>
    <t>1900-008</t>
  </si>
  <si>
    <t>1300-464</t>
  </si>
  <si>
    <t>1300-171</t>
  </si>
  <si>
    <t>1600-206</t>
  </si>
  <si>
    <t>1885-066</t>
  </si>
  <si>
    <t>1950-213</t>
  </si>
  <si>
    <t>1100-501</t>
  </si>
  <si>
    <t>1200-817</t>
  </si>
  <si>
    <t>1800-294</t>
  </si>
  <si>
    <t>2615-216</t>
  </si>
  <si>
    <t>1950-200</t>
  </si>
  <si>
    <t>1100-150</t>
  </si>
  <si>
    <t>1990-223</t>
  </si>
  <si>
    <t>1100-026</t>
  </si>
  <si>
    <t>1100-202</t>
  </si>
  <si>
    <t>2750-644</t>
  </si>
  <si>
    <t>2750-374</t>
  </si>
  <si>
    <t>2750-318</t>
  </si>
  <si>
    <t>2750-775</t>
  </si>
  <si>
    <t>1200-803</t>
  </si>
  <si>
    <t>1800-000</t>
  </si>
  <si>
    <t>1500-418</t>
  </si>
  <si>
    <t>1200-617</t>
  </si>
  <si>
    <t>1200-346</t>
  </si>
  <si>
    <t>2690-470</t>
  </si>
  <si>
    <t>1300-256</t>
  </si>
  <si>
    <t>1649-026</t>
  </si>
  <si>
    <t>1700-172</t>
  </si>
  <si>
    <t>1250-187</t>
  </si>
  <si>
    <t>1070-061</t>
  </si>
  <si>
    <t>1200-177</t>
  </si>
  <si>
    <t>1100-318</t>
  </si>
  <si>
    <t>1350-353</t>
  </si>
  <si>
    <t>1990-097</t>
  </si>
  <si>
    <t>2685-119</t>
  </si>
  <si>
    <t>1000-290</t>
  </si>
  <si>
    <t>1300-669</t>
  </si>
  <si>
    <t>1495-014</t>
  </si>
  <si>
    <t>1649-021</t>
  </si>
  <si>
    <t>1100-556</t>
  </si>
  <si>
    <t>1200-066</t>
  </si>
  <si>
    <t>1800-182</t>
  </si>
  <si>
    <t>1900-097</t>
  </si>
  <si>
    <t>1900-254</t>
  </si>
  <si>
    <t>2625-174</t>
  </si>
  <si>
    <t>1150-131</t>
  </si>
  <si>
    <t>1170-371</t>
  </si>
  <si>
    <t>1050-252</t>
  </si>
  <si>
    <t>1150-085</t>
  </si>
  <si>
    <t>1950-119</t>
  </si>
  <si>
    <t>1495-057</t>
  </si>
  <si>
    <t>1050-189</t>
  </si>
  <si>
    <t>R500</t>
  </si>
  <si>
    <t>R501</t>
  </si>
  <si>
    <t>R502</t>
  </si>
  <si>
    <t>R503</t>
  </si>
  <si>
    <t>R504</t>
  </si>
  <si>
    <t>R505</t>
  </si>
  <si>
    <t>R506</t>
  </si>
  <si>
    <t>R507</t>
  </si>
  <si>
    <t>R508</t>
  </si>
  <si>
    <t>R509</t>
  </si>
  <si>
    <t>R510</t>
  </si>
  <si>
    <t>R511</t>
  </si>
  <si>
    <t>R512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</si>
  <si>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</si>
  <si>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</si>
  <si>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</si>
  <si>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</si>
  <si>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</si>
  <si>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</si>
  <si>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</si>
  <si>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</si>
  <si>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</si>
  <si>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</si>
  <si>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</si>
  <si>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</si>
  <si>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</si>
  <si>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</si>
  <si>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</si>
  <si>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</si>
  <si>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</si>
  <si>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</si>
  <si>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</si>
  <si>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</si>
  <si>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</si>
  <si>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</si>
  <si>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</si>
  <si>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</si>
  <si>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</si>
  <si>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</si>
  <si>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</si>
  <si>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</si>
  <si>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</si>
  <si>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</si>
  <si>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</si>
  <si>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</si>
  <si>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</si>
  <si>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</si>
  <si>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</si>
  <si>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</si>
  <si>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</si>
  <si>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</si>
  <si>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</si>
  <si>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</si>
  <si>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</si>
  <si>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</si>
  <si>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</si>
  <si>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</si>
  <si>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</si>
  <si>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</si>
  <si>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</si>
  <si>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</si>
  <si>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</si>
  <si>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</si>
  <si>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</si>
  <si>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</si>
  <si>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</si>
  <si>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</si>
  <si>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</si>
  <si>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</si>
  <si>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</si>
  <si>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</si>
  <si>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</si>
  <si>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</si>
  <si>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</si>
  <si>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</si>
  <si>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</si>
  <si>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</si>
  <si>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</si>
  <si>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</si>
  <si>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</si>
  <si>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</si>
  <si>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</si>
  <si>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</si>
  <si>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</si>
  <si>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</si>
  <si>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</si>
  <si>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</si>
  <si>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</si>
  <si>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</si>
  <si>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</si>
  <si>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</si>
  <si>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</si>
  <si>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</si>
  <si>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</si>
  <si>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</si>
  <si>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</si>
  <si>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</si>
  <si>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</si>
  <si>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</si>
  <si>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</si>
  <si>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</si>
  <si>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</si>
  <si>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</si>
  <si>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</si>
  <si>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</si>
  <si>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</si>
  <si>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</si>
  <si>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</si>
  <si>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</si>
  <si>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</si>
  <si>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</si>
  <si>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</si>
  <si>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</si>
  <si>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</si>
  <si>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</si>
  <si>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</si>
  <si>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</si>
  <si>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</si>
  <si>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</si>
  <si>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</si>
  <si>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</si>
  <si>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</si>
  <si>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</si>
  <si>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R623</t>
  </si>
  <si>
    <t>R624</t>
  </si>
  <si>
    <t>R625</t>
  </si>
  <si>
    <t>R626</t>
  </si>
  <si>
    <t>R627</t>
  </si>
  <si>
    <t>R628</t>
  </si>
  <si>
    <t>R629</t>
  </si>
  <si>
    <t>R630</t>
  </si>
  <si>
    <t>R631</t>
  </si>
  <si>
    <t>R632</t>
  </si>
  <si>
    <t>R633</t>
  </si>
  <si>
    <t>R634</t>
  </si>
  <si>
    <t>R635</t>
  </si>
  <si>
    <t>R636</t>
  </si>
  <si>
    <t>R637</t>
  </si>
  <si>
    <t>R638</t>
  </si>
  <si>
    <t>R639</t>
  </si>
  <si>
    <t>R640</t>
  </si>
  <si>
    <t>R641</t>
  </si>
  <si>
    <t>R642</t>
  </si>
  <si>
    <t>R643</t>
  </si>
  <si>
    <t>R644</t>
  </si>
  <si>
    <t>R645</t>
  </si>
  <si>
    <t>R646</t>
  </si>
  <si>
    <t>R647</t>
  </si>
  <si>
    <t>R648</t>
  </si>
  <si>
    <t>R649</t>
  </si>
  <si>
    <t>R650</t>
  </si>
  <si>
    <t>R651</t>
  </si>
  <si>
    <t>R652</t>
  </si>
  <si>
    <t>R653</t>
  </si>
  <si>
    <t>R654</t>
  </si>
  <si>
    <t>R655</t>
  </si>
  <si>
    <t>R656</t>
  </si>
  <si>
    <t>R657</t>
  </si>
  <si>
    <t>R658</t>
  </si>
  <si>
    <t>R659</t>
  </si>
  <si>
    <t>R660</t>
  </si>
  <si>
    <t>R661</t>
  </si>
  <si>
    <t>R662</t>
  </si>
  <si>
    <t>R663</t>
  </si>
  <si>
    <t>R664</t>
  </si>
  <si>
    <t>R665</t>
  </si>
  <si>
    <t>R666</t>
  </si>
  <si>
    <t>R667</t>
  </si>
  <si>
    <t>R668</t>
  </si>
  <si>
    <t>R669</t>
  </si>
  <si>
    <t>R670</t>
  </si>
  <si>
    <t>R671</t>
  </si>
  <si>
    <t>R672</t>
  </si>
  <si>
    <t>R673</t>
  </si>
  <si>
    <t>R674</t>
  </si>
  <si>
    <t>R675</t>
  </si>
  <si>
    <t>R676</t>
  </si>
  <si>
    <t>R677</t>
  </si>
  <si>
    <t>R678</t>
  </si>
  <si>
    <t>R679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</si>
  <si>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</si>
  <si>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</si>
  <si>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</si>
  <si>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</si>
  <si>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</si>
  <si>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</si>
  <si>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</si>
  <si>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</si>
  <si>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</si>
  <si>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</si>
  <si>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</si>
  <si>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</si>
  <si>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</si>
  <si>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</si>
  <si>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</si>
  <si>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</si>
  <si>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</si>
  <si>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</si>
  <si>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</si>
  <si>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</si>
  <si>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</si>
  <si>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</si>
  <si>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</si>
  <si>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</si>
  <si>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</si>
  <si>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</si>
  <si>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</si>
  <si>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</si>
  <si>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</si>
  <si>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</si>
  <si>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</si>
  <si>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</si>
  <si>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</si>
  <si>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</si>
  <si>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</si>
  <si>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</si>
  <si>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</si>
  <si>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</si>
  <si>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</si>
  <si>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</si>
  <si>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</si>
  <si>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</si>
  <si>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</si>
  <si>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</si>
  <si>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</si>
  <si>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</si>
  <si>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</si>
  <si>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</si>
  <si>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</si>
  <si>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</si>
  <si>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</si>
  <si>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</si>
  <si>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</si>
  <si>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</si>
  <si>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</si>
  <si>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</si>
  <si>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</si>
  <si>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</si>
  <si>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</si>
  <si>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</si>
  <si>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</si>
  <si>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</si>
  <si>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</si>
  <si>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</si>
  <si>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</si>
  <si>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</si>
  <si>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</si>
  <si>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</si>
  <si>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</si>
  <si>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</si>
  <si>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</si>
  <si>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</si>
  <si>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</si>
  <si>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</si>
  <si>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</si>
  <si>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</si>
  <si>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</si>
  <si>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</si>
  <si>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</si>
  <si>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</si>
  <si>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</si>
  <si>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</si>
  <si>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</si>
  <si>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</si>
  <si>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</si>
  <si>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</si>
  <si>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</si>
  <si>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</si>
  <si>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</si>
  <si>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</si>
  <si>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</si>
  <si>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</si>
  <si>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</si>
  <si>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</si>
  <si>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</si>
  <si>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</si>
  <si>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</si>
  <si>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</si>
  <si>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</si>
  <si>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</si>
  <si>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</si>
  <si>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</si>
  <si>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</si>
  <si>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</si>
  <si>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</si>
  <si>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</si>
  <si>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</si>
  <si>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</si>
  <si>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</si>
  <si>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</si>
  <si>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</si>
  <si>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</si>
  <si>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</si>
  <si>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</si>
  <si>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</si>
  <si>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</si>
  <si>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</si>
  <si>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</si>
  <si>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</si>
  <si>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2766-901</t>
  </si>
  <si>
    <t>1495-030</t>
  </si>
  <si>
    <t>1000-135</t>
  </si>
  <si>
    <t>1200-291</t>
  </si>
  <si>
    <t>2600-420</t>
  </si>
  <si>
    <t>1600-067</t>
  </si>
  <si>
    <t>1600-638</t>
  </si>
  <si>
    <t>1300-296</t>
  </si>
  <si>
    <t>2790-256</t>
  </si>
  <si>
    <t>2790-484</t>
  </si>
  <si>
    <t>1549-023</t>
  </si>
  <si>
    <t>1000-066</t>
  </si>
  <si>
    <t>1350-049</t>
  </si>
  <si>
    <t>1495-012</t>
  </si>
  <si>
    <t>1700-163</t>
  </si>
  <si>
    <t>1500-204</t>
  </si>
  <si>
    <t>1050-103</t>
  </si>
  <si>
    <t>2625-395</t>
  </si>
  <si>
    <t>1800-075</t>
  </si>
  <si>
    <t>1000-211</t>
  </si>
  <si>
    <t>1700-039</t>
  </si>
  <si>
    <t>1070-178</t>
  </si>
  <si>
    <t>2625-264</t>
  </si>
  <si>
    <t>1750-144</t>
  </si>
  <si>
    <t>1500-552</t>
  </si>
  <si>
    <t>1000-361</t>
  </si>
  <si>
    <t>1700-035</t>
  </si>
  <si>
    <t>1070-230</t>
  </si>
  <si>
    <t>1300-560</t>
  </si>
  <si>
    <t>1600-064</t>
  </si>
  <si>
    <t>1500-155</t>
  </si>
  <si>
    <t>2625-457</t>
  </si>
  <si>
    <t>1750-341</t>
  </si>
  <si>
    <t>1000-223</t>
  </si>
  <si>
    <t>1700-112</t>
  </si>
  <si>
    <t>1500-615</t>
  </si>
  <si>
    <t>1600-214</t>
  </si>
  <si>
    <t>1500-556</t>
  </si>
  <si>
    <t>1050-008</t>
  </si>
  <si>
    <t>1300-307</t>
  </si>
  <si>
    <t>1500-264</t>
  </si>
  <si>
    <t>1750-430</t>
  </si>
  <si>
    <t>1600-528</t>
  </si>
  <si>
    <t>1200-040</t>
  </si>
  <si>
    <t>1100-200</t>
  </si>
  <si>
    <t>1050-124</t>
  </si>
  <si>
    <t>2625-113</t>
  </si>
  <si>
    <t>2614-034</t>
  </si>
  <si>
    <t>1069-413</t>
  </si>
  <si>
    <t>1900-186</t>
  </si>
  <si>
    <t>1700-165</t>
  </si>
  <si>
    <t>1750-080</t>
  </si>
  <si>
    <t>1600-679</t>
  </si>
  <si>
    <t>1600-137</t>
  </si>
  <si>
    <t>1070-050</t>
  </si>
  <si>
    <t>2700-628</t>
  </si>
  <si>
    <t>1067-001</t>
  </si>
  <si>
    <t>2790-481</t>
  </si>
  <si>
    <t>1050-102</t>
  </si>
  <si>
    <t>1050-041</t>
  </si>
  <si>
    <t>1700-371</t>
  </si>
  <si>
    <t>2625-179</t>
  </si>
  <si>
    <t>2745-804</t>
  </si>
  <si>
    <t>2745-822</t>
  </si>
  <si>
    <t>1900-044</t>
  </si>
  <si>
    <t>1700-176</t>
  </si>
  <si>
    <t>2660-322</t>
  </si>
  <si>
    <t>1600-618</t>
  </si>
  <si>
    <t>1070-167</t>
  </si>
  <si>
    <t>1500-911</t>
  </si>
  <si>
    <t>1250-002</t>
  </si>
  <si>
    <t>1070-036</t>
  </si>
  <si>
    <t>1070-169</t>
  </si>
  <si>
    <t>1500-401</t>
  </si>
  <si>
    <t>1350-174</t>
  </si>
  <si>
    <t>1250-142</t>
  </si>
  <si>
    <t>1250-149</t>
  </si>
  <si>
    <t>1300-205</t>
  </si>
  <si>
    <t>1300-332</t>
  </si>
  <si>
    <t>1350-128</t>
  </si>
  <si>
    <t>2790-226</t>
  </si>
  <si>
    <t>1495-132</t>
  </si>
  <si>
    <t>1000-232</t>
  </si>
  <si>
    <t>1990-125</t>
  </si>
  <si>
    <t>2694-001</t>
  </si>
  <si>
    <t>2690-340</t>
  </si>
  <si>
    <t>2695-531</t>
  </si>
  <si>
    <t>2685-223</t>
  </si>
  <si>
    <t>1350-293</t>
  </si>
  <si>
    <t>1495-231</t>
  </si>
  <si>
    <t>1495-688</t>
  </si>
  <si>
    <t>1249-068</t>
  </si>
  <si>
    <t>1200-031</t>
  </si>
  <si>
    <t>2795-250</t>
  </si>
  <si>
    <t>1500-104</t>
  </si>
  <si>
    <t>1200-789</t>
  </si>
  <si>
    <t>1200-870</t>
  </si>
  <si>
    <t>1250-065</t>
  </si>
  <si>
    <t>1000-025</t>
  </si>
  <si>
    <t>1649-014</t>
  </si>
  <si>
    <t>1700-204</t>
  </si>
  <si>
    <t>1700-346</t>
  </si>
  <si>
    <t>1675-180</t>
  </si>
  <si>
    <t>2650-197</t>
  </si>
  <si>
    <t>1959-007</t>
  </si>
  <si>
    <t>1700-360</t>
  </si>
  <si>
    <t>2625-445</t>
  </si>
  <si>
    <t>2625-105</t>
  </si>
  <si>
    <t>2685-368</t>
  </si>
  <si>
    <t>1649-028</t>
  </si>
  <si>
    <t>2625-229</t>
  </si>
  <si>
    <t>2625-215</t>
  </si>
  <si>
    <t>2615-086</t>
  </si>
  <si>
    <t>1050-099</t>
  </si>
  <si>
    <t>1500-700</t>
  </si>
  <si>
    <t>1300-278</t>
  </si>
  <si>
    <t>1300-354</t>
  </si>
  <si>
    <t>1070-321</t>
  </si>
  <si>
    <t>1050-227</t>
  </si>
  <si>
    <t>1050-067</t>
  </si>
  <si>
    <t>2790-389</t>
  </si>
  <si>
    <t>2695-063</t>
  </si>
  <si>
    <t>1700-304</t>
  </si>
  <si>
    <t>1070-282</t>
  </si>
  <si>
    <t>2685-002</t>
  </si>
  <si>
    <t>1800-128</t>
  </si>
  <si>
    <t>2685-350</t>
  </si>
  <si>
    <t>1800-060</t>
  </si>
  <si>
    <t>2740-027</t>
  </si>
  <si>
    <t>1070-006</t>
  </si>
  <si>
    <t>2780-208</t>
  </si>
  <si>
    <t>1070-227</t>
  </si>
  <si>
    <t>1600-028</t>
  </si>
  <si>
    <t>1600-624</t>
  </si>
  <si>
    <t>1990-516</t>
  </si>
  <si>
    <t>1100-139</t>
  </si>
  <si>
    <t>1100-604</t>
  </si>
  <si>
    <t>2685-344</t>
  </si>
  <si>
    <t>1200-723</t>
  </si>
  <si>
    <t>1600-120</t>
  </si>
  <si>
    <t>1250-146</t>
  </si>
  <si>
    <t>1998-028</t>
  </si>
  <si>
    <t>1100-547</t>
  </si>
  <si>
    <t>2794-075</t>
  </si>
  <si>
    <t>2790-133</t>
  </si>
  <si>
    <t>1600-210</t>
  </si>
  <si>
    <t>1150-279</t>
  </si>
  <si>
    <t>1300-293</t>
  </si>
  <si>
    <t>1100-519</t>
  </si>
  <si>
    <t>1100-103</t>
  </si>
  <si>
    <t>1950-071</t>
  </si>
  <si>
    <t>1950-190</t>
  </si>
  <si>
    <t>2765-425</t>
  </si>
  <si>
    <t>1150-209</t>
  </si>
  <si>
    <t>2745-181</t>
  </si>
  <si>
    <t>2745-035</t>
  </si>
  <si>
    <t>1150-216</t>
  </si>
  <si>
    <t>1250-148</t>
  </si>
  <si>
    <t>1600-312</t>
  </si>
  <si>
    <t>1400-293</t>
  </si>
  <si>
    <t>1300-472</t>
  </si>
  <si>
    <t>1600-059</t>
  </si>
  <si>
    <t>2625-024</t>
  </si>
  <si>
    <t>2615-150</t>
  </si>
  <si>
    <t>1750-395</t>
  </si>
  <si>
    <t>1400-211</t>
  </si>
  <si>
    <t>2690-189</t>
  </si>
  <si>
    <t>1100-092</t>
  </si>
  <si>
    <t>1000-132</t>
  </si>
  <si>
    <t>1990-021</t>
  </si>
  <si>
    <t>1300-664</t>
  </si>
  <si>
    <t>1300-041</t>
  </si>
  <si>
    <t>1250-011</t>
  </si>
  <si>
    <t>1250-043</t>
  </si>
  <si>
    <t>2790-131</t>
  </si>
  <si>
    <t>2790-016</t>
  </si>
  <si>
    <t>1449-005</t>
  </si>
  <si>
    <t>2625-238</t>
  </si>
  <si>
    <t>2795-105</t>
  </si>
  <si>
    <t>1885-074</t>
  </si>
  <si>
    <t>1998-030</t>
  </si>
  <si>
    <t>1900-311</t>
  </si>
  <si>
    <t>1900-102</t>
  </si>
  <si>
    <t>1500-200</t>
  </si>
  <si>
    <t>1700-152</t>
  </si>
  <si>
    <t>1500-161</t>
  </si>
  <si>
    <t>1800-047</t>
  </si>
  <si>
    <t>1200-378</t>
  </si>
  <si>
    <t>1500-263</t>
  </si>
  <si>
    <t>1750-4040</t>
  </si>
  <si>
    <t>1000-172</t>
  </si>
  <si>
    <t>1000-081</t>
  </si>
  <si>
    <t>2600-193</t>
  </si>
  <si>
    <t>1950-037</t>
  </si>
  <si>
    <t>1500-478</t>
  </si>
  <si>
    <t>1700-351</t>
  </si>
  <si>
    <t>1700-337</t>
  </si>
  <si>
    <t>2614-520</t>
  </si>
  <si>
    <t>1800-255</t>
  </si>
  <si>
    <t>1800-241</t>
  </si>
  <si>
    <t>1205-144</t>
  </si>
  <si>
    <t>2780-117</t>
  </si>
  <si>
    <t>2780-045</t>
  </si>
  <si>
    <t>1500-550</t>
  </si>
  <si>
    <t>1300-666</t>
  </si>
  <si>
    <t>1250-000</t>
  </si>
  <si>
    <t>1250-107</t>
  </si>
  <si>
    <t>1750-414</t>
  </si>
  <si>
    <t>2744-016</t>
  </si>
  <si>
    <t>1495-082</t>
  </si>
  <si>
    <t>1400-352</t>
  </si>
  <si>
    <t>1500-471</t>
  </si>
  <si>
    <t>1600-309</t>
  </si>
  <si>
    <t>1990-085</t>
  </si>
  <si>
    <t>1600-073</t>
  </si>
  <si>
    <t>2615-360</t>
  </si>
  <si>
    <t>1500-427</t>
  </si>
  <si>
    <t>2740-274</t>
  </si>
  <si>
    <t>1070-069</t>
  </si>
  <si>
    <t>1500-599</t>
  </si>
  <si>
    <t>2794-013</t>
  </si>
  <si>
    <t>1300-337</t>
  </si>
  <si>
    <t>2790-258</t>
  </si>
  <si>
    <t>1500-328</t>
  </si>
  <si>
    <t>2795-088</t>
  </si>
  <si>
    <t>1990-254</t>
  </si>
  <si>
    <t>1400-188</t>
  </si>
  <si>
    <t>2615-351</t>
  </si>
  <si>
    <t>1800-318</t>
  </si>
  <si>
    <t>1800-099</t>
  </si>
  <si>
    <t>2790-205</t>
  </si>
  <si>
    <t>2770-090</t>
  </si>
  <si>
    <t>1200-149</t>
  </si>
  <si>
    <t>1250-266</t>
  </si>
  <si>
    <t>1495-706</t>
  </si>
  <si>
    <t>1600-024</t>
  </si>
  <si>
    <t>1300-049</t>
  </si>
  <si>
    <t>1400-405</t>
  </si>
  <si>
    <t>2780-268</t>
  </si>
  <si>
    <t>2685-253</t>
  </si>
  <si>
    <t>2770-167</t>
  </si>
  <si>
    <t>1495-068</t>
  </si>
  <si>
    <t>2795-018</t>
  </si>
  <si>
    <t>1600-876</t>
  </si>
  <si>
    <t>1600-072</t>
  </si>
  <si>
    <t>1990-378</t>
  </si>
  <si>
    <t>2625-025</t>
  </si>
  <si>
    <t>2745-832</t>
  </si>
  <si>
    <t>1600-259</t>
  </si>
  <si>
    <t>1600-162</t>
  </si>
  <si>
    <t>1070-217</t>
  </si>
  <si>
    <t>1500-081</t>
  </si>
  <si>
    <t>1500-080</t>
  </si>
  <si>
    <t>1400-195</t>
  </si>
  <si>
    <t>1700-143</t>
  </si>
  <si>
    <t>2625-459</t>
  </si>
  <si>
    <t>2735-132</t>
  </si>
  <si>
    <t>1050-167</t>
  </si>
  <si>
    <t>1750-186</t>
  </si>
  <si>
    <t>1170-212</t>
  </si>
  <si>
    <t>1100-179</t>
  </si>
  <si>
    <t>1990-197</t>
  </si>
  <si>
    <t>1200-746</t>
  </si>
  <si>
    <t>1350-188</t>
  </si>
  <si>
    <t>1500-461</t>
  </si>
  <si>
    <t>1300-082</t>
  </si>
  <si>
    <t>1990-208</t>
  </si>
  <si>
    <t>1350-070</t>
  </si>
  <si>
    <t>1350-179</t>
  </si>
  <si>
    <t>1497-011</t>
  </si>
  <si>
    <t>1495-043</t>
  </si>
  <si>
    <t>1500-621</t>
  </si>
  <si>
    <t>1500-336</t>
  </si>
  <si>
    <t>1500-544</t>
  </si>
  <si>
    <t>1400-239</t>
  </si>
  <si>
    <t>1600-223</t>
  </si>
  <si>
    <t>1600-759</t>
  </si>
  <si>
    <t>1800-208</t>
  </si>
  <si>
    <t>1700-295</t>
  </si>
  <si>
    <t>1700-213</t>
  </si>
  <si>
    <t>1400-092</t>
  </si>
  <si>
    <t>1700-266</t>
  </si>
  <si>
    <t>1500-463</t>
  </si>
  <si>
    <t>1500-065</t>
  </si>
  <si>
    <t>1495-717</t>
  </si>
  <si>
    <t>1495-701</t>
  </si>
  <si>
    <t>1600-082</t>
  </si>
  <si>
    <t>2795-057</t>
  </si>
  <si>
    <t>1070-238</t>
  </si>
  <si>
    <t>1400-289</t>
  </si>
  <si>
    <t>1300-031</t>
  </si>
  <si>
    <t>1449-028</t>
  </si>
  <si>
    <t>1050-042</t>
  </si>
  <si>
    <t>2750-663</t>
  </si>
  <si>
    <t>2775-232</t>
  </si>
  <si>
    <t>2780-052</t>
  </si>
  <si>
    <t>2795-197</t>
  </si>
  <si>
    <t>1600-019</t>
  </si>
  <si>
    <t>2795-248</t>
  </si>
  <si>
    <t>1050-053</t>
  </si>
  <si>
    <t>2625-455</t>
  </si>
  <si>
    <t>1950-447</t>
  </si>
  <si>
    <t>1950-449</t>
  </si>
  <si>
    <t>2685-226</t>
  </si>
  <si>
    <t>1750-382</t>
  </si>
  <si>
    <t>1649-023</t>
  </si>
  <si>
    <t>1050-215</t>
  </si>
  <si>
    <t>1000-260</t>
  </si>
  <si>
    <t>1000-195</t>
  </si>
  <si>
    <t>2790-161</t>
  </si>
  <si>
    <t>1700-210</t>
  </si>
  <si>
    <t>1700-244</t>
  </si>
  <si>
    <t>1800-320</t>
  </si>
  <si>
    <t>1100-233</t>
  </si>
  <si>
    <t>1100-198</t>
  </si>
  <si>
    <t>1500-329</t>
  </si>
  <si>
    <t>1500-350</t>
  </si>
  <si>
    <t>1300-034</t>
  </si>
  <si>
    <t>1300-225</t>
  </si>
  <si>
    <t>1600-167</t>
  </si>
  <si>
    <t>2625-122</t>
  </si>
  <si>
    <t>2625-623</t>
  </si>
  <si>
    <t>1950-245</t>
  </si>
  <si>
    <t>1400-032</t>
  </si>
  <si>
    <t>2770-194</t>
  </si>
  <si>
    <t>2770-022</t>
  </si>
  <si>
    <t>2645-562</t>
  </si>
  <si>
    <t>1070-214</t>
  </si>
  <si>
    <t>1300-367</t>
  </si>
  <si>
    <t>1300-547</t>
  </si>
  <si>
    <t>1350-000</t>
  </si>
  <si>
    <t>1800-071</t>
  </si>
  <si>
    <t>2615-319</t>
  </si>
  <si>
    <t>1990-262</t>
  </si>
  <si>
    <t>1200-092</t>
  </si>
  <si>
    <t>2610-031</t>
  </si>
  <si>
    <t>2790-460</t>
  </si>
  <si>
    <t>1070-008</t>
  </si>
  <si>
    <t>1600-457</t>
  </si>
  <si>
    <t>1050-234</t>
  </si>
  <si>
    <t>1300-612</t>
  </si>
  <si>
    <t>1070-044</t>
  </si>
  <si>
    <t>1100-231</t>
  </si>
  <si>
    <t>1150-270</t>
  </si>
  <si>
    <t>1250-008</t>
  </si>
  <si>
    <t>1200-368</t>
  </si>
  <si>
    <t>1400-027</t>
  </si>
  <si>
    <t>1150-248</t>
  </si>
  <si>
    <t>2615-071</t>
  </si>
  <si>
    <t>2615-346</t>
  </si>
  <si>
    <t>2695-685</t>
  </si>
  <si>
    <t>1250-191</t>
  </si>
  <si>
    <t>1070-094</t>
  </si>
  <si>
    <t>2790-228</t>
  </si>
  <si>
    <t>1150-253</t>
  </si>
  <si>
    <t>1150-019</t>
  </si>
  <si>
    <t>2770-214</t>
  </si>
  <si>
    <t>1800-374</t>
  </si>
  <si>
    <t>1300-181</t>
  </si>
  <si>
    <t>2790-229</t>
  </si>
  <si>
    <t>1300-544</t>
  </si>
  <si>
    <t>1300-303</t>
  </si>
  <si>
    <t>2685-895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</si>
  <si>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</si>
  <si>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</si>
  <si>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</si>
  <si>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</si>
  <si>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</si>
  <si>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</si>
  <si>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</si>
  <si>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</si>
  <si>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</si>
  <si>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</si>
  <si>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</si>
  <si>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</si>
  <si>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</si>
  <si>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</si>
  <si>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</si>
  <si>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</si>
  <si>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</si>
  <si>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</si>
  <si>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</si>
  <si>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</si>
  <si>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</si>
  <si>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</si>
  <si>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</si>
  <si>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</si>
  <si>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</si>
  <si>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</si>
  <si>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</si>
  <si>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</si>
  <si>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</si>
  <si>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</si>
  <si>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</si>
  <si>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</si>
  <si>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</si>
  <si>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</si>
  <si>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</si>
  <si>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</si>
  <si>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</si>
  <si>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</si>
  <si>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</si>
  <si>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</si>
  <si>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</si>
  <si>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</si>
  <si>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</si>
  <si>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</si>
  <si>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</si>
  <si>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</si>
  <si>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</si>
  <si>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</si>
  <si>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</si>
  <si>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</si>
  <si>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</si>
  <si>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</si>
  <si>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</si>
  <si>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</si>
  <si>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</si>
  <si>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</si>
  <si>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</si>
  <si>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</si>
  <si>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</si>
  <si>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</si>
  <si>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</si>
  <si>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</si>
  <si>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</si>
  <si>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</si>
  <si>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</si>
  <si>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</si>
  <si>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</si>
  <si>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</si>
  <si>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</si>
  <si>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</si>
  <si>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</si>
  <si>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</si>
  <si>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</si>
  <si>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</si>
  <si>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</si>
  <si>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</si>
  <si>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</si>
  <si>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</si>
  <si>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</si>
  <si>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</si>
  <si>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</si>
  <si>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</si>
  <si>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</si>
  <si>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</si>
  <si>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</si>
  <si>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</si>
  <si>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</si>
  <si>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</si>
  <si>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</si>
  <si>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</si>
  <si>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</si>
  <si>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</si>
  <si>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</si>
  <si>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</si>
  <si>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</si>
  <si>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</si>
  <si>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</si>
  <si>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</si>
  <si>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</si>
  <si>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</si>
  <si>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</si>
  <si>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</si>
  <si>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1750-170</t>
  </si>
  <si>
    <t>1600-136</t>
  </si>
  <si>
    <t>1070-060</t>
  </si>
  <si>
    <t>1300-195</t>
  </si>
  <si>
    <t>1500-580</t>
  </si>
  <si>
    <t>1200-058</t>
  </si>
  <si>
    <t>1200-161</t>
  </si>
  <si>
    <t>1300-125</t>
  </si>
  <si>
    <t>2685-034</t>
  </si>
  <si>
    <t>2685-204</t>
  </si>
  <si>
    <t>1900-845</t>
  </si>
  <si>
    <t>1950-064</t>
  </si>
  <si>
    <t>1749-024</t>
  </si>
  <si>
    <t>1990-280</t>
  </si>
  <si>
    <t>1000-044</t>
  </si>
  <si>
    <t>2625-454</t>
  </si>
  <si>
    <t>2615-048</t>
  </si>
  <si>
    <t>1350-136</t>
  </si>
  <si>
    <t>1000-154</t>
  </si>
  <si>
    <t>2610-174</t>
  </si>
  <si>
    <t>1250-068</t>
  </si>
  <si>
    <t>1300-277</t>
  </si>
  <si>
    <t>1495-111</t>
  </si>
  <si>
    <t>1495-121</t>
  </si>
  <si>
    <t>2790-225</t>
  </si>
  <si>
    <t>1495-165</t>
  </si>
  <si>
    <t>1300-092</t>
  </si>
  <si>
    <t>2615-032</t>
  </si>
  <si>
    <t>2625-239</t>
  </si>
  <si>
    <t>2690-361</t>
  </si>
  <si>
    <t>2675-345</t>
  </si>
  <si>
    <t>1250-091</t>
  </si>
  <si>
    <t>1200-311</t>
  </si>
  <si>
    <t>1400-300</t>
  </si>
  <si>
    <t>1400-045</t>
  </si>
  <si>
    <t>1300-366</t>
  </si>
  <si>
    <t>1750-418</t>
  </si>
  <si>
    <t>1800-052</t>
  </si>
  <si>
    <t>1150-005</t>
  </si>
  <si>
    <t>Courier</t>
  </si>
  <si>
    <t>1000-287</t>
  </si>
  <si>
    <t>2685-030</t>
  </si>
  <si>
    <t>1600-4404</t>
  </si>
  <si>
    <t>1500-139</t>
  </si>
  <si>
    <t>1050-212</t>
  </si>
  <si>
    <t>1400-139</t>
  </si>
  <si>
    <t>1990-077</t>
  </si>
  <si>
    <t>1700-005</t>
  </si>
  <si>
    <t>1990-221</t>
  </si>
  <si>
    <t>1495-700</t>
  </si>
  <si>
    <t>2615-151</t>
  </si>
  <si>
    <t>1150-039</t>
  </si>
  <si>
    <t>2610-116</t>
  </si>
  <si>
    <t>1500-134</t>
  </si>
  <si>
    <t>1400-267</t>
  </si>
  <si>
    <t>1700-069</t>
  </si>
  <si>
    <t>1700-167</t>
  </si>
  <si>
    <t>2615-065</t>
  </si>
  <si>
    <t>2615-076</t>
  </si>
  <si>
    <t>2625-409</t>
  </si>
  <si>
    <t>1070-072</t>
  </si>
  <si>
    <t>1600-087</t>
  </si>
  <si>
    <t>2795-231</t>
  </si>
  <si>
    <t>2790-488</t>
  </si>
  <si>
    <t>2625-109</t>
  </si>
  <si>
    <t>1990-529</t>
  </si>
  <si>
    <t>1885-094</t>
  </si>
  <si>
    <t>1300-095</t>
  </si>
  <si>
    <t>1600-131</t>
  </si>
  <si>
    <t>1300-372</t>
  </si>
  <si>
    <t>1300-087</t>
  </si>
  <si>
    <t>2795-227</t>
  </si>
  <si>
    <t>1070-025</t>
  </si>
  <si>
    <t>1495-023</t>
  </si>
  <si>
    <t>2790-008</t>
  </si>
  <si>
    <t>1600-768</t>
  </si>
  <si>
    <t>1750-155</t>
  </si>
  <si>
    <t>2790-024</t>
  </si>
  <si>
    <t>1350-355</t>
  </si>
  <si>
    <t>1300-302</t>
  </si>
  <si>
    <t>1885-012</t>
  </si>
  <si>
    <t>2625-654</t>
  </si>
  <si>
    <t>1600-070</t>
  </si>
  <si>
    <t>1050-181</t>
  </si>
  <si>
    <t>1000-159</t>
  </si>
  <si>
    <t>1990-005</t>
  </si>
  <si>
    <t>1990-074</t>
  </si>
  <si>
    <t>1685-450</t>
  </si>
  <si>
    <t>2675-334</t>
  </si>
  <si>
    <t>1700-11</t>
  </si>
  <si>
    <t>1600-449</t>
  </si>
  <si>
    <t>1170-086</t>
  </si>
  <si>
    <t>1685-768</t>
  </si>
  <si>
    <t>1071-811</t>
  </si>
  <si>
    <t>1990-027</t>
  </si>
  <si>
    <t>1170-200</t>
  </si>
  <si>
    <t>1170-061</t>
  </si>
  <si>
    <t>1300-032</t>
  </si>
  <si>
    <t>1150-320</t>
  </si>
  <si>
    <t>1300-065</t>
  </si>
  <si>
    <t>1495-150</t>
  </si>
  <si>
    <t>2795-135</t>
  </si>
  <si>
    <t>1952-146</t>
  </si>
  <si>
    <t>1990-095</t>
  </si>
  <si>
    <t>1150-194</t>
  </si>
  <si>
    <t>2685-408</t>
  </si>
  <si>
    <t>1600-543</t>
  </si>
  <si>
    <t>1300-124</t>
  </si>
  <si>
    <t>1800-076</t>
  </si>
  <si>
    <t>1700-196</t>
  </si>
  <si>
    <t>2765-511</t>
  </si>
  <si>
    <t>2765-619</t>
  </si>
  <si>
    <t>1495-070</t>
  </si>
  <si>
    <t>2625-472</t>
  </si>
  <si>
    <t>2675-263</t>
  </si>
  <si>
    <t>1050-069</t>
  </si>
  <si>
    <t>1800-033</t>
  </si>
  <si>
    <t>1300-096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</si>
  <si>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</si>
  <si>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</si>
  <si>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</si>
  <si>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</si>
  <si>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</si>
  <si>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</si>
  <si>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</si>
  <si>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</si>
  <si>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</si>
  <si>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</si>
  <si>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</si>
  <si>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</si>
  <si>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</si>
  <si>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</si>
  <si>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</si>
  <si>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</si>
  <si>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</si>
  <si>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</si>
  <si>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R919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</si>
  <si>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</si>
  <si>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</si>
  <si>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</si>
  <si>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</si>
  <si>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</si>
  <si>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</si>
  <si>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</si>
  <si>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</si>
  <si>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</si>
  <si>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</si>
  <si>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R930</t>
  </si>
  <si>
    <t>R931</t>
  </si>
  <si>
    <t>R932</t>
  </si>
  <si>
    <t>R933</t>
  </si>
  <si>
    <t>R934</t>
  </si>
  <si>
    <t>R935</t>
  </si>
  <si>
    <t>R936</t>
  </si>
  <si>
    <t>R937</t>
  </si>
  <si>
    <t>R938</t>
  </si>
  <si>
    <t>R939</t>
  </si>
  <si>
    <t>R940</t>
  </si>
  <si>
    <t>R941</t>
  </si>
  <si>
    <t>R942</t>
  </si>
  <si>
    <t>R943</t>
  </si>
  <si>
    <t>R944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</si>
  <si>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</si>
  <si>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</si>
  <si>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</si>
  <si>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</si>
  <si>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</si>
  <si>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</si>
  <si>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</si>
  <si>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</si>
  <si>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</si>
  <si>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</si>
  <si>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</si>
  <si>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</si>
  <si>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</si>
  <si>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</si>
  <si>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</si>
  <si>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</si>
  <si>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</si>
  <si>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</si>
  <si>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</si>
  <si>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</si>
  <si>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</si>
  <si>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</si>
  <si>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</si>
  <si>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</si>
  <si>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</si>
  <si>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</si>
  <si>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</si>
  <si>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</si>
  <si>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</si>
  <si>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</si>
  <si>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</si>
  <si>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</si>
  <si>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</si>
  <si>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</si>
  <si>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</si>
  <si>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</si>
  <si>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</si>
  <si>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</si>
  <si>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</si>
  <si>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</si>
  <si>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</si>
  <si>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</si>
  <si>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</si>
  <si>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</si>
  <si>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</si>
  <si>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</si>
  <si>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</si>
  <si>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</si>
  <si>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</si>
  <si>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</si>
  <si>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</si>
  <si>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</si>
  <si>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</si>
  <si>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</si>
  <si>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</si>
  <si>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</si>
  <si>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</si>
  <si>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</si>
  <si>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</si>
  <si>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</si>
  <si>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</si>
  <si>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</si>
  <si>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</si>
  <si>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</si>
  <si>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</si>
  <si>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</si>
  <si>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</si>
  <si>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</si>
  <si>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</si>
  <si>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</si>
  <si>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</si>
  <si>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</si>
  <si>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</si>
  <si>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</si>
  <si>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</si>
  <si>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</si>
  <si>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</si>
  <si>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</si>
  <si>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</si>
  <si>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</si>
  <si>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</si>
  <si>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</si>
  <si>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</si>
  <si>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</si>
  <si>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</si>
  <si>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</si>
  <si>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</si>
  <si>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</si>
  <si>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</si>
  <si>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</si>
  <si>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</si>
  <si>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</si>
  <si>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</si>
  <si>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</si>
  <si>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</si>
  <si>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</si>
  <si>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</si>
  <si>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</si>
  <si>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</si>
  <si>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</si>
  <si>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</si>
  <si>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</si>
  <si>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</si>
  <si>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</si>
  <si>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</si>
  <si>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</si>
  <si>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</si>
  <si>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</si>
  <si>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</si>
  <si>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</si>
  <si>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</si>
  <si>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</si>
  <si>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</si>
  <si>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</si>
  <si>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</si>
  <si>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</si>
  <si>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</si>
  <si>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</si>
  <si>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</si>
  <si>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</si>
  <si>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</si>
  <si>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</si>
  <si>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</si>
  <si>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</si>
  <si>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</si>
  <si>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</si>
  <si>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</si>
  <si>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</si>
  <si>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</si>
  <si>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</si>
  <si>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</si>
  <si>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</si>
  <si>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</si>
  <si>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</si>
  <si>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</si>
  <si>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</si>
  <si>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</si>
  <si>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</si>
  <si>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</si>
  <si>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</si>
  <si>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</si>
  <si>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</si>
  <si>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</si>
  <si>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</si>
  <si>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</si>
  <si>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</si>
  <si>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</si>
  <si>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</si>
  <si>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</si>
  <si>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</si>
  <si>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</si>
  <si>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</si>
  <si>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</si>
  <si>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</si>
  <si>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</si>
  <si>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</si>
  <si>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2795-009</t>
  </si>
  <si>
    <t>2765-009</t>
  </si>
  <si>
    <t>1300-263</t>
  </si>
  <si>
    <t>1349-028</t>
  </si>
  <si>
    <t>1050-082</t>
  </si>
  <si>
    <t>1990-211</t>
  </si>
  <si>
    <t>2695-056</t>
  </si>
  <si>
    <t>1700-306</t>
  </si>
  <si>
    <t>1600-189</t>
  </si>
  <si>
    <t>2695-790</t>
  </si>
  <si>
    <t>1700-250</t>
  </si>
  <si>
    <t>1600-774</t>
  </si>
  <si>
    <t>1600-756</t>
  </si>
  <si>
    <t>1700-019</t>
  </si>
  <si>
    <t>1400-219</t>
  </si>
  <si>
    <t>2790-099</t>
  </si>
  <si>
    <t>1300-357</t>
  </si>
  <si>
    <t>1050-013</t>
  </si>
  <si>
    <t>1750-142</t>
  </si>
  <si>
    <t>1700-122</t>
  </si>
  <si>
    <t>1600-831</t>
  </si>
  <si>
    <t>1700-162</t>
  </si>
  <si>
    <t>1050-025</t>
  </si>
  <si>
    <t>1070-237</t>
  </si>
  <si>
    <t>1600-821</t>
  </si>
  <si>
    <t>2625-236</t>
  </si>
  <si>
    <t>2685-046</t>
  </si>
  <si>
    <t>2695-832</t>
  </si>
  <si>
    <t>1350-164</t>
  </si>
  <si>
    <t>1350-094</t>
  </si>
  <si>
    <t>2780-065</t>
  </si>
  <si>
    <t>2780-047</t>
  </si>
  <si>
    <t>1495-025</t>
  </si>
  <si>
    <t>1500-083</t>
  </si>
  <si>
    <t>1500-399</t>
  </si>
  <si>
    <t>1500-467</t>
  </si>
  <si>
    <t>1500-912</t>
  </si>
  <si>
    <t>1269-059</t>
  </si>
  <si>
    <t>1070-249</t>
  </si>
  <si>
    <t>1500-547</t>
  </si>
  <si>
    <t>1050-059</t>
  </si>
  <si>
    <t>1950-342</t>
  </si>
  <si>
    <t>2710-692</t>
  </si>
  <si>
    <t>1500-619</t>
  </si>
  <si>
    <t>2760-003</t>
  </si>
  <si>
    <t>2760-111</t>
  </si>
  <si>
    <t>2625-187</t>
  </si>
  <si>
    <t>2625-197</t>
  </si>
  <si>
    <t>2690-355</t>
  </si>
  <si>
    <t>2690-348</t>
  </si>
  <si>
    <t>1500-515</t>
  </si>
  <si>
    <t>1000-045</t>
  </si>
  <si>
    <t>1000-015</t>
  </si>
  <si>
    <t>2710-590</t>
  </si>
  <si>
    <t>1300-509</t>
  </si>
  <si>
    <t>2795-058</t>
  </si>
  <si>
    <t>2795-190</t>
  </si>
  <si>
    <t>1050-240</t>
  </si>
  <si>
    <t>1800-003</t>
  </si>
  <si>
    <t>2695-727</t>
  </si>
  <si>
    <t>1100-319</t>
  </si>
  <si>
    <t>1250-071</t>
  </si>
  <si>
    <t>1170-132</t>
  </si>
  <si>
    <t>10770-067</t>
  </si>
  <si>
    <t>1350-252</t>
  </si>
  <si>
    <t>1495-039</t>
  </si>
  <si>
    <t>1400-290</t>
  </si>
  <si>
    <t>1500-101</t>
  </si>
  <si>
    <t>1700-179</t>
  </si>
  <si>
    <t>1300-027</t>
  </si>
  <si>
    <t>2610-041</t>
  </si>
  <si>
    <t>1150-293</t>
  </si>
  <si>
    <t>1500-585</t>
  </si>
  <si>
    <t>2685-124</t>
  </si>
  <si>
    <t>2685-327</t>
  </si>
  <si>
    <t>1500-485</t>
  </si>
  <si>
    <t>1500-680</t>
  </si>
  <si>
    <t>1300-251</t>
  </si>
  <si>
    <t>1300-036</t>
  </si>
  <si>
    <t>1000-005</t>
  </si>
  <si>
    <t>1200-050</t>
  </si>
  <si>
    <t>1500-576</t>
  </si>
  <si>
    <t>1070-112</t>
  </si>
  <si>
    <t>1200-417</t>
  </si>
  <si>
    <t>1990-175</t>
  </si>
  <si>
    <t>1100-555</t>
  </si>
  <si>
    <t>1400-035</t>
  </si>
  <si>
    <t>1600-027</t>
  </si>
  <si>
    <t>1600-410</t>
  </si>
  <si>
    <t>2625-219</t>
  </si>
  <si>
    <t>2790-181</t>
  </si>
  <si>
    <t>1950-023</t>
  </si>
  <si>
    <t>1950-152</t>
  </si>
  <si>
    <t>1050-130</t>
  </si>
  <si>
    <t>1050-036</t>
  </si>
  <si>
    <t>1300-260</t>
  </si>
  <si>
    <t>1300-253</t>
  </si>
  <si>
    <t>1300-443</t>
  </si>
  <si>
    <t>1400-193</t>
  </si>
  <si>
    <t>1400-136</t>
  </si>
  <si>
    <t>1400-160</t>
  </si>
  <si>
    <t>2790-233</t>
  </si>
  <si>
    <t>1300-246</t>
  </si>
  <si>
    <t>1400-043</t>
  </si>
  <si>
    <t>1600-138</t>
  </si>
  <si>
    <t>2790-204</t>
  </si>
  <si>
    <t>1800-342</t>
  </si>
  <si>
    <t>courier</t>
  </si>
  <si>
    <t>2795-184</t>
  </si>
  <si>
    <t>1500-644</t>
  </si>
  <si>
    <t>1500-059</t>
  </si>
  <si>
    <t>2625-170</t>
  </si>
  <si>
    <t>2650-129</t>
  </si>
  <si>
    <t>1350-251</t>
  </si>
  <si>
    <t>1350-045</t>
  </si>
  <si>
    <t>1350-254</t>
  </si>
  <si>
    <t>1350-201</t>
  </si>
  <si>
    <t>1099-023</t>
  </si>
  <si>
    <t>2780-416</t>
  </si>
  <si>
    <t>2780-184</t>
  </si>
  <si>
    <t>2795-240</t>
  </si>
  <si>
    <t>2610-123</t>
  </si>
  <si>
    <t>1495-209</t>
  </si>
  <si>
    <t>2790-486</t>
  </si>
  <si>
    <t>1300-258</t>
  </si>
  <si>
    <t>1400-138</t>
  </si>
  <si>
    <t>1700-182</t>
  </si>
  <si>
    <t>1990-092</t>
  </si>
  <si>
    <t>2650-174</t>
  </si>
  <si>
    <t>1400-015</t>
  </si>
  <si>
    <t>1300-335</t>
  </si>
  <si>
    <t>1300-073</t>
  </si>
  <si>
    <t>1300-484</t>
  </si>
  <si>
    <t>2790-444</t>
  </si>
  <si>
    <t>1400-257</t>
  </si>
  <si>
    <t>1400-328</t>
  </si>
  <si>
    <t>2625-430</t>
  </si>
  <si>
    <t>2790-428</t>
  </si>
  <si>
    <t>1400-030</t>
  </si>
  <si>
    <t>1400-131</t>
  </si>
  <si>
    <t>2685-181</t>
  </si>
  <si>
    <t>2625-575</t>
  </si>
  <si>
    <t>1000-141</t>
  </si>
  <si>
    <t>2795-056</t>
  </si>
  <si>
    <t>1495-03</t>
  </si>
  <si>
    <t>2785-565</t>
  </si>
  <si>
    <t>2785-200</t>
  </si>
  <si>
    <t>2780-051</t>
  </si>
  <si>
    <t>2780-081</t>
  </si>
  <si>
    <t>2790-406</t>
  </si>
  <si>
    <t>1400-360</t>
  </si>
  <si>
    <t>1400-081</t>
  </si>
  <si>
    <t>1495-005</t>
  </si>
  <si>
    <t>1400-342</t>
  </si>
  <si>
    <t>2625-204</t>
  </si>
  <si>
    <t>2625-407</t>
  </si>
  <si>
    <t>1200-272</t>
  </si>
  <si>
    <t>1200-407</t>
  </si>
  <si>
    <t>2725-079</t>
  </si>
  <si>
    <t>1600-598</t>
  </si>
  <si>
    <t>1300-015</t>
  </si>
  <si>
    <t>1495-154</t>
  </si>
  <si>
    <t>2790-308</t>
  </si>
  <si>
    <t>2760-063</t>
  </si>
  <si>
    <t>1649-035</t>
  </si>
  <si>
    <t>1649-013</t>
  </si>
  <si>
    <t>2725-246</t>
  </si>
  <si>
    <t>2750-353</t>
  </si>
  <si>
    <t>2765-245</t>
  </si>
  <si>
    <t>1495-100</t>
  </si>
  <si>
    <t>1200-238</t>
  </si>
  <si>
    <t>1200-734</t>
  </si>
  <si>
    <t>1495-710</t>
  </si>
  <si>
    <t>2795-090</t>
  </si>
  <si>
    <t>1300-462</t>
  </si>
  <si>
    <t>2750-483</t>
  </si>
  <si>
    <t>1200-269</t>
  </si>
  <si>
    <t>1350-264</t>
  </si>
  <si>
    <t>1500-534</t>
  </si>
  <si>
    <t>1269-050</t>
  </si>
  <si>
    <t>2750-352</t>
  </si>
  <si>
    <t>1800-165</t>
  </si>
  <si>
    <t>1250-101</t>
  </si>
  <si>
    <t>2790-049</t>
  </si>
  <si>
    <t>2795-042</t>
  </si>
  <si>
    <t>1300-421</t>
  </si>
  <si>
    <t>1750-183</t>
  </si>
  <si>
    <t>2680-098</t>
  </si>
  <si>
    <t>1000-155</t>
  </si>
  <si>
    <t>2685-203</t>
  </si>
  <si>
    <t>2685-149</t>
  </si>
  <si>
    <t>2625-416</t>
  </si>
  <si>
    <t>2625-218</t>
  </si>
  <si>
    <t>1600-008</t>
  </si>
  <si>
    <t>2685-215</t>
  </si>
  <si>
    <t>1500-279</t>
  </si>
  <si>
    <t>1500-327</t>
  </si>
  <si>
    <t>1500-252</t>
  </si>
  <si>
    <t>1300-370</t>
  </si>
  <si>
    <t>1200-672</t>
  </si>
  <si>
    <t>1200-718</t>
  </si>
  <si>
    <t>1600-231</t>
  </si>
  <si>
    <t>1600-311</t>
  </si>
  <si>
    <t>2775-751</t>
  </si>
  <si>
    <t>2780-100</t>
  </si>
  <si>
    <t>1990-098</t>
  </si>
  <si>
    <t>1250-177</t>
  </si>
  <si>
    <t>1500-624</t>
  </si>
  <si>
    <t>1990-203</t>
  </si>
  <si>
    <t>1050-228</t>
  </si>
  <si>
    <t>1495-017</t>
  </si>
  <si>
    <t>1300-021</t>
  </si>
  <si>
    <t>1300-147</t>
  </si>
  <si>
    <t>1300-059</t>
  </si>
  <si>
    <t>2790-498</t>
  </si>
  <si>
    <t>2685-352</t>
  </si>
  <si>
    <t>1500-581</t>
  </si>
  <si>
    <t>1000-079</t>
  </si>
  <si>
    <t>1100-278</t>
  </si>
  <si>
    <t>1300-457</t>
  </si>
  <si>
    <t>1500-380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</si>
  <si>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</si>
  <si>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</si>
  <si>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</si>
  <si>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</si>
  <si>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</si>
  <si>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</si>
  <si>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</si>
  <si>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</si>
  <si>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</si>
  <si>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</si>
  <si>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</si>
  <si>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</si>
  <si>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</si>
  <si>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</si>
  <si>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</si>
  <si>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</si>
  <si>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</si>
  <si>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</si>
  <si>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</si>
  <si>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</si>
  <si>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</si>
  <si>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</si>
  <si>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</si>
  <si>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</si>
  <si>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</si>
  <si>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</si>
  <si>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</si>
  <si>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</si>
  <si>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</si>
  <si>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</si>
  <si>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</si>
  <si>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</si>
  <si>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</si>
  <si>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</si>
  <si>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</si>
  <si>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</si>
  <si>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</si>
  <si>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</si>
  <si>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</si>
  <si>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</si>
  <si>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</si>
  <si>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</si>
  <si>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</si>
  <si>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</si>
  <si>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</si>
  <si>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</si>
  <si>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</si>
  <si>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</si>
  <si>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</si>
  <si>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</si>
  <si>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</si>
  <si>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</si>
  <si>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</si>
  <si>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</si>
  <si>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</si>
  <si>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</si>
  <si>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</si>
  <si>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</si>
  <si>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</si>
  <si>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</si>
  <si>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</si>
  <si>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</si>
  <si>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</si>
  <si>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</si>
  <si>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</si>
  <si>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</si>
  <si>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</si>
  <si>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</si>
  <si>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</si>
  <si>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</si>
  <si>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</si>
  <si>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</si>
  <si>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</si>
  <si>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</si>
  <si>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</si>
  <si>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</si>
  <si>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</si>
  <si>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</si>
  <si>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</si>
  <si>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</si>
  <si>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</si>
  <si>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</si>
  <si>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</si>
  <si>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</si>
  <si>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</si>
  <si>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</si>
  <si>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</si>
  <si>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</si>
  <si>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</si>
  <si>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</si>
  <si>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</si>
  <si>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</si>
  <si>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</si>
  <si>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</si>
  <si>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</si>
  <si>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</si>
  <si>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</si>
  <si>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</si>
  <si>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</si>
  <si>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</si>
  <si>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2795-098</t>
  </si>
  <si>
    <t>1495-001</t>
  </si>
  <si>
    <t>1400-209</t>
  </si>
  <si>
    <t>1300-038</t>
  </si>
  <si>
    <t>Priority</t>
  </si>
  <si>
    <t>1500-589</t>
  </si>
  <si>
    <t>2610-284</t>
  </si>
  <si>
    <t>1990-096</t>
  </si>
  <si>
    <t>2795-050</t>
  </si>
  <si>
    <t>2625-693</t>
  </si>
  <si>
    <t>1200-443</t>
  </si>
  <si>
    <t>1300-596</t>
  </si>
  <si>
    <t>1500-458</t>
  </si>
  <si>
    <t>2720-364</t>
  </si>
  <si>
    <t>1300-215</t>
  </si>
  <si>
    <t>1300-267</t>
  </si>
  <si>
    <t>2625-703</t>
  </si>
  <si>
    <t>1600-192</t>
  </si>
  <si>
    <t>1500-714</t>
  </si>
  <si>
    <t>1600-764</t>
  </si>
  <si>
    <t>1600-625</t>
  </si>
  <si>
    <t>1600-510</t>
  </si>
  <si>
    <t>2765-223</t>
  </si>
  <si>
    <t>1990-048</t>
  </si>
  <si>
    <t>1050-152</t>
  </si>
  <si>
    <t>2625-123</t>
  </si>
  <si>
    <t>1600-166</t>
  </si>
  <si>
    <t>2765-472</t>
  </si>
  <si>
    <t>2765-373</t>
  </si>
  <si>
    <t>2765-053</t>
  </si>
  <si>
    <t>2775-407</t>
  </si>
  <si>
    <t>1700-317</t>
  </si>
  <si>
    <t>2615-131</t>
  </si>
  <si>
    <t>1300-164</t>
  </si>
  <si>
    <t>1495-170</t>
  </si>
  <si>
    <t>2775-227</t>
  </si>
  <si>
    <t>1250-143</t>
  </si>
  <si>
    <t>1200-695</t>
  </si>
  <si>
    <t>2610-067</t>
  </si>
  <si>
    <t>2625-705</t>
  </si>
  <si>
    <t>2785-355</t>
  </si>
  <si>
    <t>2770-004</t>
  </si>
  <si>
    <t>1495-155</t>
  </si>
  <si>
    <t>1500-492</t>
  </si>
  <si>
    <t>1400-378</t>
  </si>
  <si>
    <t>1500-369</t>
  </si>
  <si>
    <t>1600-226</t>
  </si>
  <si>
    <t>1600-530</t>
  </si>
  <si>
    <t>1700-339</t>
  </si>
  <si>
    <t>2625-016</t>
  </si>
  <si>
    <t>1700-249</t>
  </si>
  <si>
    <t>2615-123</t>
  </si>
  <si>
    <t>2695-631</t>
  </si>
  <si>
    <t>2685-068</t>
  </si>
  <si>
    <t>1600-891</t>
  </si>
  <si>
    <t>2780-084</t>
  </si>
  <si>
    <t>2795-116</t>
  </si>
  <si>
    <t>1300-569</t>
  </si>
  <si>
    <t>1400-228</t>
  </si>
  <si>
    <t>1600-222</t>
  </si>
  <si>
    <t>1600-086</t>
  </si>
  <si>
    <t>1750-004</t>
  </si>
  <si>
    <t>1749-012</t>
  </si>
  <si>
    <t>1400-208</t>
  </si>
  <si>
    <t>1300-321</t>
  </si>
  <si>
    <t>1300-182</t>
  </si>
  <si>
    <t>1500-995</t>
  </si>
  <si>
    <t>2610-263</t>
  </si>
  <si>
    <t>2720-212</t>
  </si>
  <si>
    <t>1500-416</t>
  </si>
  <si>
    <t>1500-545</t>
  </si>
  <si>
    <t>1600-621</t>
  </si>
  <si>
    <t>2615-289</t>
  </si>
  <si>
    <t>2685-244</t>
  </si>
  <si>
    <t>2685-079</t>
  </si>
  <si>
    <t>1500-040</t>
  </si>
  <si>
    <t>2795-022</t>
  </si>
  <si>
    <t>1500-185</t>
  </si>
  <si>
    <t>2795-069</t>
  </si>
  <si>
    <t>2790-072</t>
  </si>
  <si>
    <t>1700-047</t>
  </si>
  <si>
    <t>1998-010</t>
  </si>
  <si>
    <t>1500-417</t>
  </si>
  <si>
    <t>1300-114</t>
  </si>
  <si>
    <t>1495-123</t>
  </si>
  <si>
    <t>2795-132</t>
  </si>
  <si>
    <t>2610-051</t>
  </si>
  <si>
    <t>2610-244</t>
  </si>
  <si>
    <t>2685-190</t>
  </si>
  <si>
    <t>1070-040</t>
  </si>
  <si>
    <t>1700-322</t>
  </si>
  <si>
    <t>1990-231</t>
  </si>
  <si>
    <t>2775-588</t>
  </si>
  <si>
    <t>2790-098</t>
  </si>
  <si>
    <t>2610-019</t>
  </si>
  <si>
    <t>1495-745</t>
  </si>
  <si>
    <t>1050-150</t>
  </si>
  <si>
    <t>1069-169</t>
  </si>
  <si>
    <t>2690-447</t>
  </si>
  <si>
    <t>2625-173</t>
  </si>
  <si>
    <t>2690-501</t>
  </si>
  <si>
    <t>2780-181</t>
  </si>
  <si>
    <t>2610-168</t>
  </si>
  <si>
    <t>1300-176</t>
  </si>
  <si>
    <t>1700-094</t>
  </si>
  <si>
    <t>2790-073</t>
  </si>
  <si>
    <t>1050-166</t>
  </si>
  <si>
    <t>1070-212</t>
  </si>
  <si>
    <t>1500-175</t>
  </si>
  <si>
    <t>1500-356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</si>
  <si>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</si>
  <si>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</si>
  <si>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</si>
  <si>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</si>
  <si>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</si>
  <si>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</si>
  <si>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</si>
  <si>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</si>
  <si>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</si>
  <si>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</si>
  <si>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</si>
  <si>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</si>
  <si>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</si>
  <si>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</si>
  <si>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</si>
  <si>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</si>
  <si>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</si>
  <si>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</si>
  <si>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</si>
  <si>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</si>
  <si>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</si>
  <si>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</si>
  <si>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</si>
  <si>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</si>
  <si>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</si>
  <si>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</si>
  <si>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</si>
  <si>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</si>
  <si>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</si>
  <si>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1300-025</t>
  </si>
  <si>
    <t>Accessibility</t>
  </si>
  <si>
    <t>1350-021</t>
  </si>
  <si>
    <t>1400-406</t>
  </si>
  <si>
    <t>1400-091</t>
  </si>
  <si>
    <t>1500-665</t>
  </si>
  <si>
    <t>1300-450</t>
  </si>
  <si>
    <t>1495-053</t>
  </si>
  <si>
    <t>1495-019</t>
  </si>
  <si>
    <t>1300-402</t>
  </si>
  <si>
    <t>1070-168</t>
  </si>
  <si>
    <t>2720-701</t>
  </si>
  <si>
    <t>1200-478</t>
  </si>
  <si>
    <t>1200-371</t>
  </si>
  <si>
    <t>1300-552</t>
  </si>
  <si>
    <t>1400-029</t>
  </si>
  <si>
    <t>2795-005</t>
  </si>
  <si>
    <t>1400-424</t>
  </si>
  <si>
    <t>1400-017</t>
  </si>
  <si>
    <t>1495-751</t>
  </si>
  <si>
    <t>2760-104</t>
  </si>
  <si>
    <t>2780-295</t>
  </si>
  <si>
    <t>2780-118</t>
  </si>
  <si>
    <t>2720-275</t>
  </si>
  <si>
    <t>2690-182</t>
  </si>
  <si>
    <t>2765-147</t>
  </si>
  <si>
    <t>2635-535</t>
  </si>
  <si>
    <t>2615-212</t>
  </si>
  <si>
    <t>2615-098</t>
  </si>
  <si>
    <t>2615-060</t>
  </si>
  <si>
    <t>2610-218</t>
  </si>
  <si>
    <t>1200-697</t>
  </si>
  <si>
    <t>1200-641</t>
  </si>
  <si>
    <t>2700-448</t>
  </si>
  <si>
    <t>2650-234</t>
  </si>
  <si>
    <t>2720-059</t>
  </si>
  <si>
    <t>1250-039</t>
  </si>
  <si>
    <t>1500-293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</si>
  <si>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</si>
  <si>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</si>
  <si>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</si>
  <si>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</si>
  <si>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</si>
  <si>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</si>
  <si>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</si>
  <si>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</si>
  <si>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</si>
  <si>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</si>
  <si>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1500-530</t>
  </si>
  <si>
    <t>1200-782</t>
  </si>
  <si>
    <t>1200-763</t>
  </si>
  <si>
    <t>1800-039</t>
  </si>
  <si>
    <t>2625-411</t>
  </si>
  <si>
    <t>2610-124</t>
  </si>
  <si>
    <t>1600-610</t>
  </si>
  <si>
    <t>2795-151</t>
  </si>
  <si>
    <t>1300-346</t>
  </si>
  <si>
    <t>2720-324</t>
  </si>
  <si>
    <t>2720-354</t>
  </si>
  <si>
    <t>2720-226</t>
  </si>
  <si>
    <t>1070-251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</si>
  <si>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</si>
  <si>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</si>
  <si>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</si>
  <si>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</si>
  <si>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</si>
  <si>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</si>
  <si>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</si>
  <si>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</si>
  <si>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</si>
  <si>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</si>
  <si>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</si>
  <si>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</si>
  <si>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</si>
  <si>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</si>
  <si>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</si>
  <si>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</si>
  <si>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</si>
  <si>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</si>
  <si>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</si>
  <si>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</si>
  <si>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</si>
  <si>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</si>
  <si>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</si>
  <si>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</si>
  <si>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</si>
  <si>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</si>
  <si>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</si>
  <si>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</si>
  <si>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</si>
  <si>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</si>
  <si>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1495-158</t>
  </si>
  <si>
    <t>1300-188</t>
  </si>
  <si>
    <t>1300-162</t>
  </si>
  <si>
    <t>2795-223</t>
  </si>
  <si>
    <t>2720-158</t>
  </si>
  <si>
    <t>1170-177</t>
  </si>
  <si>
    <t>1170-352</t>
  </si>
  <si>
    <t>1070-158</t>
  </si>
  <si>
    <t>1300-471</t>
  </si>
  <si>
    <t>1500-077</t>
  </si>
  <si>
    <t>1500-157</t>
  </si>
  <si>
    <t>2615-104</t>
  </si>
  <si>
    <t>2615-059</t>
  </si>
  <si>
    <t>1150-212</t>
  </si>
  <si>
    <t>1070-120</t>
  </si>
  <si>
    <t>2790-106</t>
  </si>
  <si>
    <t>2790-208</t>
  </si>
  <si>
    <t>1400-159</t>
  </si>
  <si>
    <t>1050-137</t>
  </si>
  <si>
    <t>1800-276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</si>
  <si>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</si>
  <si>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</si>
  <si>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</si>
  <si>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</si>
  <si>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</si>
  <si>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</si>
  <si>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</si>
  <si>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</si>
  <si>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</si>
  <si>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</si>
  <si>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</si>
  <si>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</si>
  <si>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</si>
  <si>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</si>
  <si>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</si>
  <si>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</si>
  <si>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</si>
  <si>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</si>
  <si>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</si>
  <si>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</si>
  <si>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</si>
  <si>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</si>
  <si>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</si>
  <si>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</si>
  <si>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</si>
  <si>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</si>
  <si>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</si>
  <si>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</si>
  <si>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</si>
  <si>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2740-162</t>
  </si>
  <si>
    <t>1300-489</t>
  </si>
  <si>
    <t>1495-072</t>
  </si>
  <si>
    <t>2790-029</t>
  </si>
  <si>
    <t>1300-149</t>
  </si>
  <si>
    <t>1200-097</t>
  </si>
  <si>
    <t>1250-166</t>
  </si>
  <si>
    <t>1250-172</t>
  </si>
  <si>
    <t>2740-110</t>
  </si>
  <si>
    <t>2610-062</t>
  </si>
  <si>
    <t>1300-418</t>
  </si>
  <si>
    <t>1300-589</t>
  </si>
  <si>
    <t>1300-270</t>
  </si>
  <si>
    <t>2790-009</t>
  </si>
  <si>
    <t>2690-354</t>
  </si>
  <si>
    <t>1200-788</t>
  </si>
  <si>
    <t>1070-133</t>
  </si>
  <si>
    <t>1070-225</t>
  </si>
  <si>
    <t>2790-026</t>
  </si>
  <si>
    <t>1300-259</t>
  </si>
  <si>
    <t>1600-251</t>
  </si>
  <si>
    <t>1600-275</t>
  </si>
  <si>
    <t>2790-121</t>
  </si>
  <si>
    <t>1400-326</t>
  </si>
  <si>
    <t>1500-038</t>
  </si>
  <si>
    <t>1500-445</t>
  </si>
  <si>
    <t>1950-172</t>
  </si>
  <si>
    <t>1800-077</t>
  </si>
  <si>
    <t>2685-236</t>
  </si>
  <si>
    <t>2625-390</t>
  </si>
  <si>
    <t>2690-358</t>
  </si>
  <si>
    <t>1200-173</t>
  </si>
  <si>
    <t>2790-021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</si>
  <si>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</si>
  <si>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</si>
  <si>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</si>
  <si>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</si>
  <si>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</si>
  <si>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</si>
  <si>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</si>
  <si>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</si>
  <si>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</si>
  <si>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</si>
  <si>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</si>
  <si>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</si>
  <si>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</si>
  <si>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</si>
  <si>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</si>
  <si>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</si>
  <si>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</si>
  <si>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</si>
  <si>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</si>
  <si>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</si>
  <si>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</si>
  <si>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</si>
  <si>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</si>
  <si>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</si>
  <si>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</si>
  <si>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</si>
  <si>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</si>
  <si>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</si>
  <si>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</si>
  <si>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</si>
  <si>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</si>
  <si>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</si>
  <si>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</si>
  <si>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</si>
  <si>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</si>
  <si>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</si>
  <si>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</si>
  <si>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</si>
  <si>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</si>
  <si>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</si>
  <si>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</si>
  <si>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</si>
  <si>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</si>
  <si>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</si>
  <si>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</si>
  <si>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</si>
  <si>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</si>
  <si>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</si>
  <si>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</si>
  <si>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</si>
  <si>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</si>
  <si>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</si>
  <si>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</si>
  <si>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</si>
  <si>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</si>
  <si>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</si>
  <si>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</si>
  <si>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</si>
  <si>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</si>
  <si>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</si>
  <si>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</si>
  <si>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</si>
  <si>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</si>
  <si>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</si>
  <si>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</si>
  <si>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</si>
  <si>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</si>
  <si>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</si>
  <si>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</si>
  <si>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</si>
  <si>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</si>
  <si>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</si>
  <si>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</si>
  <si>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</si>
  <si>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</si>
  <si>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</si>
  <si>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</si>
  <si>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</si>
  <si>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</si>
  <si>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</si>
  <si>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</si>
  <si>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</si>
  <si>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</si>
  <si>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</si>
  <si>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</si>
  <si>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</si>
  <si>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</si>
  <si>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</si>
  <si>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</si>
  <si>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</si>
  <si>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</si>
  <si>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</si>
  <si>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</si>
  <si>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</si>
  <si>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</si>
  <si>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</si>
  <si>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</si>
  <si>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</si>
  <si>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</si>
  <si>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</si>
  <si>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</si>
  <si>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</si>
  <si>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</si>
  <si>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</si>
  <si>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</si>
  <si>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</si>
  <si>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</si>
  <si>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</si>
  <si>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</si>
  <si>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</si>
  <si>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</si>
  <si>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</si>
  <si>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</si>
  <si>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</si>
  <si>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</si>
  <si>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</si>
  <si>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</si>
  <si>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</si>
  <si>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</si>
  <si>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</si>
  <si>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</si>
  <si>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</si>
  <si>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</si>
  <si>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</si>
  <si>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</si>
  <si>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</si>
  <si>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</si>
  <si>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</si>
  <si>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</si>
  <si>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</si>
  <si>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</si>
  <si>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</si>
  <si>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</si>
  <si>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</si>
  <si>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</si>
  <si>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</si>
  <si>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</si>
  <si>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</si>
  <si>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</si>
  <si>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</si>
  <si>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</si>
  <si>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</si>
  <si>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</si>
  <si>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</si>
  <si>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</si>
  <si>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</si>
  <si>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</si>
  <si>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</si>
  <si>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</si>
  <si>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</si>
  <si>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</si>
  <si>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</si>
  <si>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</si>
  <si>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</si>
  <si>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</si>
  <si>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</si>
  <si>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</si>
  <si>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</si>
  <si>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</si>
  <si>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</si>
  <si>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</si>
  <si>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</si>
  <si>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</si>
  <si>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</si>
  <si>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</si>
  <si>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</si>
  <si>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</si>
  <si>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</si>
  <si>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</si>
  <si>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</si>
  <si>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</si>
  <si>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</si>
  <si>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</si>
  <si>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</si>
  <si>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</si>
  <si>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</si>
  <si>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</si>
  <si>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</si>
  <si>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</si>
  <si>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</si>
  <si>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</si>
  <si>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</si>
  <si>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</si>
  <si>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</si>
  <si>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</si>
  <si>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</si>
  <si>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</si>
  <si>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</si>
  <si>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</si>
  <si>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</si>
  <si>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</si>
  <si>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</si>
  <si>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</si>
  <si>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</si>
  <si>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</si>
  <si>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</si>
  <si>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</si>
  <si>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</si>
  <si>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</si>
  <si>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</si>
  <si>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</si>
  <si>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2615-224</t>
  </si>
  <si>
    <t>2700-310</t>
  </si>
  <si>
    <t>1400-024</t>
  </si>
  <si>
    <t>1050-118</t>
  </si>
  <si>
    <t>1500-030</t>
  </si>
  <si>
    <t>1495-142</t>
  </si>
  <si>
    <t>2720-469</t>
  </si>
  <si>
    <t>1050-105</t>
  </si>
  <si>
    <t>1700-093</t>
  </si>
  <si>
    <t>1200-148</t>
  </si>
  <si>
    <t>1300-000</t>
  </si>
  <si>
    <t>2610-065</t>
  </si>
  <si>
    <t>1300-119</t>
  </si>
  <si>
    <t>1500-206</t>
  </si>
  <si>
    <t>1500-103</t>
  </si>
  <si>
    <t>1600-078</t>
  </si>
  <si>
    <t>2610-241</t>
  </si>
  <si>
    <t>2610-275</t>
  </si>
  <si>
    <t>1750-003</t>
  </si>
  <si>
    <t>1750-184</t>
  </si>
  <si>
    <t>1800-177</t>
  </si>
  <si>
    <t>2610-159</t>
  </si>
  <si>
    <t>2610-098</t>
  </si>
  <si>
    <t>1495-153</t>
  </si>
  <si>
    <t>1750-062</t>
  </si>
  <si>
    <t>1500-022</t>
  </si>
  <si>
    <t>1700-073</t>
  </si>
  <si>
    <t>2615-099</t>
  </si>
  <si>
    <t>1900-086</t>
  </si>
  <si>
    <t>1990-059</t>
  </si>
  <si>
    <t>1600-130</t>
  </si>
  <si>
    <t>2625-431</t>
  </si>
  <si>
    <t>1000-212</t>
  </si>
  <si>
    <t>1300-534</t>
  </si>
  <si>
    <t>1400-249</t>
  </si>
  <si>
    <t>1300-422</t>
  </si>
  <si>
    <t>1495-174</t>
  </si>
  <si>
    <t>2790-210</t>
  </si>
  <si>
    <t>1495-040</t>
  </si>
  <si>
    <t>1400-350</t>
  </si>
  <si>
    <t>1495-031</t>
  </si>
  <si>
    <t>1400-122</t>
  </si>
  <si>
    <t>2625-638</t>
  </si>
  <si>
    <t>1990-156</t>
  </si>
  <si>
    <t>1300-105</t>
  </si>
  <si>
    <t>1400-325</t>
  </si>
  <si>
    <t>1300-446</t>
  </si>
  <si>
    <t>1500-357</t>
  </si>
  <si>
    <t>1950-442</t>
  </si>
  <si>
    <t>2690-526</t>
  </si>
  <si>
    <t>2615-040</t>
  </si>
  <si>
    <t>2625-194</t>
  </si>
  <si>
    <t>1300-447</t>
  </si>
  <si>
    <t>2790-179</t>
  </si>
  <si>
    <t>2795-229</t>
  </si>
  <si>
    <t>2720-702</t>
  </si>
  <si>
    <t>1495-054</t>
  </si>
  <si>
    <t>1500-637</t>
  </si>
  <si>
    <t>2790-207</t>
  </si>
  <si>
    <t>1950-097</t>
  </si>
  <si>
    <t>2695-693</t>
  </si>
  <si>
    <t>2685-147</t>
  </si>
  <si>
    <t>1885-099</t>
  </si>
  <si>
    <t>1800-083</t>
  </si>
  <si>
    <t>2770-271</t>
  </si>
  <si>
    <t>2770-233</t>
  </si>
  <si>
    <t>2770-208</t>
  </si>
  <si>
    <t>2785-625</t>
  </si>
  <si>
    <t>1500-535</t>
  </si>
  <si>
    <t>2610-232</t>
  </si>
  <si>
    <t>2610-161</t>
  </si>
  <si>
    <t>2695-105</t>
  </si>
  <si>
    <t>1990-520</t>
  </si>
  <si>
    <t>1500-592</t>
  </si>
  <si>
    <t>2790-138</t>
  </si>
  <si>
    <t>2770-085</t>
  </si>
  <si>
    <t>2770-132</t>
  </si>
  <si>
    <t>2780-254</t>
  </si>
  <si>
    <t>2780-337</t>
  </si>
  <si>
    <t>2770-038</t>
  </si>
  <si>
    <t>1500-385</t>
  </si>
  <si>
    <t>1500-363</t>
  </si>
  <si>
    <t>1495-726</t>
  </si>
  <si>
    <t>2770-008</t>
  </si>
  <si>
    <t>2770-199</t>
  </si>
  <si>
    <t>2770-101</t>
  </si>
  <si>
    <t>2775-094</t>
  </si>
  <si>
    <t>2680-455</t>
  </si>
  <si>
    <t>1675-112</t>
  </si>
  <si>
    <t>1600-069</t>
  </si>
  <si>
    <t>1070-228</t>
  </si>
  <si>
    <t>1349-040</t>
  </si>
  <si>
    <t>1300-326</t>
  </si>
  <si>
    <t>2720-099</t>
  </si>
  <si>
    <t>2695-829</t>
  </si>
  <si>
    <t>1000-306</t>
  </si>
  <si>
    <t>1000-239</t>
  </si>
  <si>
    <t>2775-186</t>
  </si>
  <si>
    <t>2785-543</t>
  </si>
  <si>
    <t>1050-039</t>
  </si>
  <si>
    <t>2625-671</t>
  </si>
  <si>
    <t>2625-680</t>
  </si>
  <si>
    <t>1990-517</t>
  </si>
  <si>
    <t>1600-034</t>
  </si>
  <si>
    <t>1300-276</t>
  </si>
  <si>
    <t>2700-815</t>
  </si>
  <si>
    <t>2700-871</t>
  </si>
  <si>
    <t>1200-246</t>
  </si>
  <si>
    <t>1800-316</t>
  </si>
  <si>
    <t>1990-193</t>
  </si>
  <si>
    <t>1700-330</t>
  </si>
  <si>
    <t>1800-268</t>
  </si>
  <si>
    <t>2625-588</t>
  </si>
  <si>
    <t>1700-252</t>
  </si>
  <si>
    <t>1885-064</t>
  </si>
  <si>
    <t>1300-377</t>
  </si>
  <si>
    <t>1800-329</t>
  </si>
  <si>
    <t>1500-207</t>
  </si>
  <si>
    <t>1500-109</t>
  </si>
  <si>
    <t>1050-046</t>
  </si>
  <si>
    <t>1600-203</t>
  </si>
  <si>
    <t>10770-101</t>
  </si>
  <si>
    <t>1600-168</t>
  </si>
  <si>
    <t>2700-013</t>
  </si>
  <si>
    <t>2700-323</t>
  </si>
  <si>
    <t>1600-098</t>
  </si>
  <si>
    <t>1099-051</t>
  </si>
  <si>
    <t>1600-218</t>
  </si>
  <si>
    <t>1000-207</t>
  </si>
  <si>
    <t>2625-434</t>
  </si>
  <si>
    <t>1050-037</t>
  </si>
  <si>
    <t>1500-309</t>
  </si>
  <si>
    <t>1400-1888</t>
  </si>
  <si>
    <t>1600-075</t>
  </si>
  <si>
    <t>1350-297</t>
  </si>
  <si>
    <t>1350-248</t>
  </si>
  <si>
    <t>1800-297</t>
  </si>
  <si>
    <t>1500-023</t>
  </si>
  <si>
    <t>2745-054</t>
  </si>
  <si>
    <t>2745-175</t>
  </si>
  <si>
    <t>2720-519</t>
  </si>
  <si>
    <t>2700-592</t>
  </si>
  <si>
    <t>2650-077</t>
  </si>
  <si>
    <t>1400-314</t>
  </si>
  <si>
    <t>2610-118</t>
  </si>
  <si>
    <t>1300-052</t>
  </si>
  <si>
    <t>2790-223</t>
  </si>
  <si>
    <t>2610-189</t>
  </si>
  <si>
    <t>1300-257</t>
  </si>
  <si>
    <t>1600-615</t>
  </si>
  <si>
    <t>2775-416</t>
  </si>
  <si>
    <t>2780-091</t>
  </si>
  <si>
    <t>1990-100</t>
  </si>
  <si>
    <t>2690-531</t>
  </si>
  <si>
    <t>2625-665</t>
  </si>
  <si>
    <t>1495-064</t>
  </si>
  <si>
    <t>2720-451</t>
  </si>
  <si>
    <t>2775-750</t>
  </si>
  <si>
    <t>2785-812</t>
  </si>
  <si>
    <t>2775-606</t>
  </si>
  <si>
    <t>2775-562</t>
  </si>
  <si>
    <t>1500-613</t>
  </si>
  <si>
    <t>2610-038</t>
  </si>
  <si>
    <t>2765-334</t>
  </si>
  <si>
    <t>2725-334</t>
  </si>
  <si>
    <t>1700-272</t>
  </si>
  <si>
    <t>1700-078</t>
  </si>
  <si>
    <t>2700-439</t>
  </si>
  <si>
    <t>1750-157</t>
  </si>
  <si>
    <t>1400-343</t>
  </si>
  <si>
    <t>1300-014</t>
  </si>
  <si>
    <t>1749-074</t>
  </si>
  <si>
    <t>1990-084</t>
  </si>
  <si>
    <t>2625-125</t>
  </si>
  <si>
    <t>2615-094</t>
  </si>
  <si>
    <t>2695-696</t>
  </si>
  <si>
    <t>2720-369</t>
  </si>
  <si>
    <t>2700-434</t>
  </si>
  <si>
    <t>2720-129</t>
  </si>
  <si>
    <t>2720-445</t>
  </si>
  <si>
    <t>2745-147</t>
  </si>
  <si>
    <t>1600-485</t>
  </si>
  <si>
    <t>1600-461</t>
  </si>
  <si>
    <t>1600-798</t>
  </si>
  <si>
    <t>1600-472</t>
  </si>
  <si>
    <t>1350-246</t>
  </si>
  <si>
    <t>2790-188</t>
  </si>
  <si>
    <t>1350-317</t>
  </si>
  <si>
    <t>2775-508</t>
  </si>
  <si>
    <t>2790-369</t>
  </si>
  <si>
    <t>2790-385</t>
  </si>
  <si>
    <t>2795-246</t>
  </si>
  <si>
    <t>2625-469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</si>
  <si>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</si>
  <si>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</si>
  <si>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</si>
  <si>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</si>
  <si>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</si>
  <si>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</si>
  <si>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</si>
  <si>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</si>
  <si>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</si>
  <si>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</si>
  <si>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</si>
  <si>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</si>
  <si>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</si>
  <si>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</si>
  <si>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</si>
  <si>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</si>
  <si>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</si>
  <si>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</si>
  <si>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</si>
  <si>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</si>
  <si>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</si>
  <si>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</si>
  <si>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</si>
  <si>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</si>
  <si>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</si>
  <si>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</si>
  <si>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</si>
  <si>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</si>
  <si>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</si>
  <si>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</si>
  <si>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</si>
  <si>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</si>
  <si>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</si>
  <si>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</si>
  <si>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</si>
  <si>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</si>
  <si>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</si>
  <si>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</si>
  <si>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</si>
  <si>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</si>
  <si>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</si>
  <si>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</si>
  <si>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</si>
  <si>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</si>
  <si>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</si>
  <si>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</si>
  <si>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</si>
  <si>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</si>
  <si>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</si>
  <si>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</si>
  <si>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</si>
  <si>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</si>
  <si>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</si>
  <si>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</si>
  <si>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</si>
  <si>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</si>
  <si>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</si>
  <si>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</si>
  <si>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</si>
  <si>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</si>
  <si>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</si>
  <si>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</si>
  <si>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</si>
  <si>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</si>
  <si>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</si>
  <si>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</si>
  <si>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</si>
  <si>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</si>
  <si>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</si>
  <si>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</si>
  <si>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</si>
  <si>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</si>
  <si>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</si>
  <si>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</si>
  <si>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</si>
  <si>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</si>
  <si>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</si>
  <si>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</si>
  <si>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</si>
  <si>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</si>
  <si>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</si>
  <si>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</si>
  <si>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</si>
  <si>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</si>
  <si>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</si>
  <si>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</si>
  <si>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</si>
  <si>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</si>
  <si>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</si>
  <si>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</si>
  <si>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</si>
  <si>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</si>
  <si>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</si>
  <si>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</si>
  <si>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</si>
  <si>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</si>
  <si>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</si>
  <si>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</si>
  <si>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</si>
  <si>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</si>
  <si>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</si>
  <si>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</si>
  <si>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</si>
  <si>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</si>
  <si>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</si>
  <si>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</si>
  <si>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</si>
  <si>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</si>
  <si>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</si>
  <si>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</si>
  <si>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</si>
  <si>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</si>
  <si>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</si>
  <si>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</si>
  <si>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</si>
  <si>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</si>
  <si>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</si>
  <si>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</si>
  <si>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</si>
  <si>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</si>
  <si>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</si>
  <si>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</si>
  <si>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</si>
  <si>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</si>
  <si>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</si>
  <si>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</si>
  <si>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</si>
  <si>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</si>
  <si>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</si>
  <si>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</si>
  <si>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</si>
  <si>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</si>
  <si>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</si>
  <si>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</si>
  <si>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</si>
  <si>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</si>
  <si>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</si>
  <si>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</si>
  <si>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</si>
  <si>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</si>
  <si>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</si>
  <si>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</si>
  <si>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</si>
  <si>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</si>
  <si>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</si>
  <si>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</si>
  <si>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</si>
  <si>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</si>
  <si>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</si>
  <si>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</si>
  <si>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</si>
  <si>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</si>
  <si>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</si>
  <si>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</si>
  <si>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</si>
  <si>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</si>
  <si>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</si>
  <si>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</si>
  <si>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</si>
  <si>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</si>
  <si>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</si>
  <si>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</si>
  <si>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</si>
  <si>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</si>
  <si>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</si>
  <si>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</si>
  <si>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</si>
  <si>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</si>
  <si>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</si>
  <si>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</si>
  <si>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</si>
  <si>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</si>
  <si>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</si>
  <si>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</si>
  <si>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</si>
  <si>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</si>
  <si>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</si>
  <si>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</si>
  <si>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</si>
  <si>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</si>
  <si>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</si>
  <si>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</si>
  <si>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</si>
  <si>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</si>
  <si>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</si>
  <si>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</si>
  <si>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</si>
  <si>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</si>
  <si>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</si>
  <si>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</si>
  <si>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</si>
  <si>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</si>
  <si>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</si>
  <si>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</si>
  <si>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</si>
  <si>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</si>
  <si>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</si>
  <si>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</si>
  <si>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</si>
  <si>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</si>
  <si>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</si>
  <si>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</si>
  <si>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</si>
  <si>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</si>
  <si>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</si>
  <si>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</si>
  <si>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</si>
  <si>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</si>
  <si>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</si>
  <si>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</si>
  <si>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</si>
  <si>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</si>
  <si>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</si>
  <si>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</si>
  <si>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</si>
  <si>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</si>
  <si>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</si>
  <si>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</si>
  <si>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</si>
  <si>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</si>
  <si>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</si>
  <si>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</si>
  <si>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</si>
  <si>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</si>
  <si>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</si>
  <si>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</si>
  <si>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</si>
  <si>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</si>
  <si>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</si>
  <si>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</si>
  <si>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</si>
  <si>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</si>
  <si>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</si>
  <si>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</si>
  <si>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</si>
  <si>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</si>
  <si>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</si>
  <si>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</si>
  <si>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</si>
  <si>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</si>
  <si>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</si>
  <si>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</si>
  <si>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</si>
  <si>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</si>
  <si>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</si>
  <si>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</si>
  <si>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</si>
  <si>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</si>
  <si>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</si>
  <si>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</si>
  <si>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</si>
  <si>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</si>
  <si>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</si>
  <si>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</si>
  <si>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</si>
  <si>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</si>
  <si>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</si>
  <si>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</si>
  <si>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</si>
  <si>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</si>
  <si>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</si>
  <si>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</si>
  <si>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</si>
  <si>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</si>
  <si>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</si>
  <si>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</si>
  <si>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</si>
  <si>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</si>
  <si>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</si>
  <si>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</si>
  <si>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</si>
  <si>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</si>
  <si>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</si>
  <si>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</si>
  <si>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</si>
  <si>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</si>
  <si>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</si>
  <si>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</si>
  <si>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</si>
  <si>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</si>
  <si>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</si>
  <si>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</si>
  <si>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</si>
  <si>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</si>
  <si>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</si>
  <si>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</si>
  <si>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</si>
  <si>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</si>
  <si>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</si>
  <si>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</si>
  <si>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</si>
  <si>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</si>
  <si>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</si>
  <si>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</si>
  <si>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</si>
  <si>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</si>
  <si>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</si>
  <si>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</si>
  <si>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</si>
  <si>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</si>
  <si>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</si>
  <si>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</si>
  <si>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</si>
  <si>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</si>
  <si>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</si>
  <si>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</si>
  <si>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</si>
  <si>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</si>
  <si>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</si>
  <si>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</si>
  <si>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</si>
  <si>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</si>
  <si>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</si>
  <si>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</si>
  <si>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</si>
  <si>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</si>
  <si>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</si>
  <si>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</si>
  <si>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</si>
  <si>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</si>
  <si>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</si>
  <si>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</si>
  <si>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</si>
  <si>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</si>
  <si>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</si>
  <si>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</si>
  <si>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</si>
  <si>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</si>
  <si>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</si>
  <si>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</si>
  <si>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</si>
  <si>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</si>
  <si>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</si>
  <si>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</si>
  <si>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</si>
  <si>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</si>
  <si>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</si>
  <si>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</si>
  <si>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</si>
  <si>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</si>
  <si>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</si>
  <si>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</si>
  <si>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</si>
  <si>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</si>
  <si>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</si>
  <si>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</si>
  <si>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</si>
  <si>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</si>
  <si>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</si>
  <si>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</si>
  <si>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</si>
  <si>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</si>
  <si>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</si>
  <si>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</si>
  <si>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</si>
  <si>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</si>
  <si>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</si>
  <si>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</si>
  <si>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</si>
  <si>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</si>
  <si>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</si>
  <si>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</si>
  <si>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</si>
  <si>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</si>
  <si>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</si>
  <si>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</si>
  <si>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</si>
  <si>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</si>
  <si>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</si>
  <si>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</si>
  <si>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</si>
  <si>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</si>
  <si>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</si>
  <si>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</si>
  <si>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</si>
  <si>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</si>
  <si>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</si>
  <si>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</si>
  <si>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</si>
  <si>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</si>
  <si>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</si>
  <si>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</si>
  <si>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</si>
  <si>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</si>
  <si>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</si>
  <si>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</si>
  <si>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</si>
  <si>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</si>
  <si>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</si>
  <si>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</si>
  <si>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</si>
  <si>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</si>
  <si>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</si>
  <si>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</si>
  <si>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</si>
  <si>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</si>
  <si>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</si>
  <si>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</si>
  <si>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</si>
  <si>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</si>
  <si>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</si>
  <si>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</si>
  <si>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</si>
  <si>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</si>
  <si>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</si>
  <si>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</si>
  <si>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</si>
  <si>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</si>
  <si>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</si>
  <si>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</si>
  <si>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</si>
  <si>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</si>
  <si>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</si>
  <si>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</si>
  <si>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</si>
  <si>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</si>
  <si>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</si>
  <si>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</si>
  <si>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</si>
  <si>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</si>
  <si>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</si>
  <si>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</si>
  <si>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</si>
  <si>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</si>
  <si>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</si>
  <si>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</si>
  <si>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</si>
  <si>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</si>
  <si>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</si>
  <si>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</si>
  <si>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</si>
  <si>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</si>
  <si>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</si>
  <si>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</si>
  <si>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</si>
  <si>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</si>
  <si>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</si>
  <si>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</si>
  <si>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</si>
  <si>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</si>
  <si>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</si>
  <si>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</si>
  <si>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</si>
  <si>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</si>
  <si>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</si>
  <si>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</si>
  <si>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</si>
  <si>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</si>
  <si>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</si>
  <si>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</si>
  <si>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</si>
  <si>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</si>
  <si>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</si>
  <si>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</si>
  <si>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</si>
  <si>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</si>
  <si>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</si>
  <si>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</si>
  <si>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</si>
  <si>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</si>
  <si>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</si>
  <si>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</si>
  <si>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</si>
  <si>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</si>
  <si>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</si>
  <si>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</si>
  <si>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</si>
  <si>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</si>
  <si>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</si>
  <si>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</si>
  <si>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</si>
  <si>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</si>
  <si>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</si>
  <si>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</si>
  <si>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</si>
  <si>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</si>
  <si>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</si>
  <si>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</si>
  <si>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</si>
  <si>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</si>
  <si>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</si>
  <si>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</si>
  <si>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</si>
  <si>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</si>
  <si>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</si>
  <si>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</si>
  <si>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</si>
  <si>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</si>
  <si>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</si>
  <si>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</si>
  <si>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</si>
  <si>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</si>
  <si>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</si>
  <si>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</si>
  <si>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</si>
  <si>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</si>
  <si>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</si>
  <si>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</si>
  <si>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</si>
  <si>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1400-049</t>
  </si>
  <si>
    <t>2745-706</t>
  </si>
  <si>
    <t>2675-436</t>
  </si>
  <si>
    <t>1099-035</t>
  </si>
  <si>
    <t>1400-054</t>
  </si>
  <si>
    <t>1400-134</t>
  </si>
  <si>
    <t>1500-268</t>
  </si>
  <si>
    <t>2700-309</t>
  </si>
  <si>
    <t>1070-020</t>
  </si>
  <si>
    <t>1700-347</t>
  </si>
  <si>
    <t>2625-009</t>
  </si>
  <si>
    <t>2610-095</t>
  </si>
  <si>
    <t>2745-788</t>
  </si>
  <si>
    <t>1685-930</t>
  </si>
  <si>
    <t>2675-689</t>
  </si>
  <si>
    <t>2675-533</t>
  </si>
  <si>
    <t>1549-004</t>
  </si>
  <si>
    <t>2790-036</t>
  </si>
  <si>
    <t>1800-101</t>
  </si>
  <si>
    <t>2790-374</t>
  </si>
  <si>
    <t>1350-092</t>
  </si>
  <si>
    <t>2730-226</t>
  </si>
  <si>
    <t>2770-210</t>
  </si>
  <si>
    <t>2790-076</t>
  </si>
  <si>
    <t>2790-089</t>
  </si>
  <si>
    <t>2615-000</t>
  </si>
  <si>
    <t>1070-012</t>
  </si>
  <si>
    <t>2745-173</t>
  </si>
  <si>
    <t>2775-643</t>
  </si>
  <si>
    <t>2795-034</t>
  </si>
  <si>
    <t>1495-044</t>
  </si>
  <si>
    <t>2700-218</t>
  </si>
  <si>
    <t>2720-464</t>
  </si>
  <si>
    <t>2745-243</t>
  </si>
  <si>
    <t>2745-196</t>
  </si>
  <si>
    <t>2675-284</t>
  </si>
  <si>
    <t>2720-053</t>
  </si>
  <si>
    <t>1070-049</t>
  </si>
  <si>
    <t>1070-159</t>
  </si>
  <si>
    <t>2745-271</t>
  </si>
  <si>
    <t>1700-098</t>
  </si>
  <si>
    <t>1600-498</t>
  </si>
  <si>
    <t>1495-010</t>
  </si>
  <si>
    <t>2720-118</t>
  </si>
  <si>
    <t>2790-005</t>
  </si>
  <si>
    <t>2790-249</t>
  </si>
  <si>
    <t>2610-140</t>
  </si>
  <si>
    <t>2700-358</t>
  </si>
  <si>
    <t>2610-016</t>
  </si>
  <si>
    <t>1495-003</t>
  </si>
  <si>
    <t>1500-910</t>
  </si>
  <si>
    <t>1600-616</t>
  </si>
  <si>
    <t>1070-075</t>
  </si>
  <si>
    <t>1200-787</t>
  </si>
  <si>
    <t>1495-063</t>
  </si>
  <si>
    <t>2720-797</t>
  </si>
  <si>
    <t>2625-085</t>
  </si>
  <si>
    <t>1600-238</t>
  </si>
  <si>
    <t>1675-229</t>
  </si>
  <si>
    <t>1400-220</t>
  </si>
  <si>
    <t>1250-179</t>
  </si>
  <si>
    <t>1350-300</t>
  </si>
  <si>
    <t>1200-677</t>
  </si>
  <si>
    <t>1600-515</t>
  </si>
  <si>
    <t>1700-342</t>
  </si>
  <si>
    <t>1700-114</t>
  </si>
  <si>
    <t>2780-145</t>
  </si>
  <si>
    <t>2780-305</t>
  </si>
  <si>
    <t>1300-356</t>
  </si>
  <si>
    <t>1070-280</t>
  </si>
  <si>
    <t>2610-103</t>
  </si>
  <si>
    <t>2774-550</t>
  </si>
  <si>
    <t>2740-049</t>
  </si>
  <si>
    <t>2780-125</t>
  </si>
  <si>
    <t>2770-031</t>
  </si>
  <si>
    <t>1300-470</t>
  </si>
  <si>
    <t>2790-129</t>
  </si>
  <si>
    <t>2650-390</t>
  </si>
  <si>
    <t>2775-226</t>
  </si>
  <si>
    <t>2775-621</t>
  </si>
  <si>
    <t>1749-009</t>
  </si>
  <si>
    <t>1675-631</t>
  </si>
  <si>
    <t>1500-629</t>
  </si>
  <si>
    <t>1495-233</t>
  </si>
  <si>
    <t>2740-057</t>
  </si>
  <si>
    <t>2775-256</t>
  </si>
  <si>
    <t>2780-875</t>
  </si>
  <si>
    <t>2780-213</t>
  </si>
  <si>
    <t>2780-417</t>
  </si>
  <si>
    <t>2610-175</t>
  </si>
  <si>
    <t>1950-089</t>
  </si>
  <si>
    <t>1400-344</t>
  </si>
  <si>
    <t>2790-338</t>
  </si>
  <si>
    <t>2790-477</t>
  </si>
  <si>
    <t>2790-215</t>
  </si>
  <si>
    <t>2795-071</t>
  </si>
  <si>
    <t>2625-139</t>
  </si>
  <si>
    <t>2625-385</t>
  </si>
  <si>
    <t>1900-077</t>
  </si>
  <si>
    <t>1400-407</t>
  </si>
  <si>
    <t>1495-151</t>
  </si>
  <si>
    <t>2700-115</t>
  </si>
  <si>
    <t>2720-299</t>
  </si>
  <si>
    <t>2720-373</t>
  </si>
  <si>
    <t>2790-125</t>
  </si>
  <si>
    <t>1600-609</t>
  </si>
  <si>
    <t>1600-653</t>
  </si>
  <si>
    <t>1750-006</t>
  </si>
  <si>
    <t>2625-099</t>
  </si>
  <si>
    <t>2625-095</t>
  </si>
  <si>
    <t>2615-170</t>
  </si>
  <si>
    <t>1700-217</t>
  </si>
  <si>
    <t>2700-569</t>
  </si>
  <si>
    <t>2790-496</t>
  </si>
  <si>
    <t>1675-158</t>
  </si>
  <si>
    <t>1495-099</t>
  </si>
  <si>
    <t>2610-179</t>
  </si>
  <si>
    <t>1070-095</t>
  </si>
  <si>
    <t>1300-425</t>
  </si>
  <si>
    <t>2625-399</t>
  </si>
  <si>
    <t>1200-163</t>
  </si>
  <si>
    <t>1300-103</t>
  </si>
  <si>
    <t>2745-896</t>
  </si>
  <si>
    <t>2730-051</t>
  </si>
  <si>
    <t>2760-064</t>
  </si>
  <si>
    <t>2760-073</t>
  </si>
  <si>
    <t>1300-341</t>
  </si>
  <si>
    <t>1300-313</t>
  </si>
  <si>
    <t>1070-017</t>
  </si>
  <si>
    <t>1300-499</t>
  </si>
  <si>
    <t>2685-140</t>
  </si>
  <si>
    <t>1200-850</t>
  </si>
  <si>
    <t>1300-150</t>
  </si>
  <si>
    <t>2720-252</t>
  </si>
  <si>
    <t>2700-386</t>
  </si>
  <si>
    <t>2790-415</t>
  </si>
  <si>
    <t>1070-283</t>
  </si>
  <si>
    <t>1700-049</t>
  </si>
  <si>
    <t>2735-521</t>
  </si>
  <si>
    <t>2610-185</t>
  </si>
  <si>
    <t>2625-616</t>
  </si>
  <si>
    <t>1600-416</t>
  </si>
  <si>
    <t>1675-109</t>
  </si>
  <si>
    <t>1350-348</t>
  </si>
  <si>
    <t>1200-610</t>
  </si>
  <si>
    <t>1250-050</t>
  </si>
  <si>
    <t>2790-144</t>
  </si>
  <si>
    <t>2700-702</t>
  </si>
  <si>
    <t>2700-595</t>
  </si>
  <si>
    <t>2735-430</t>
  </si>
  <si>
    <t>1300-546</t>
  </si>
  <si>
    <t>2760-093</t>
  </si>
  <si>
    <t>2770-179</t>
  </si>
  <si>
    <t>1750-401</t>
  </si>
  <si>
    <t>2735-671</t>
  </si>
  <si>
    <t>1495-122</t>
  </si>
  <si>
    <t>1300-477</t>
  </si>
  <si>
    <t>1300-063</t>
  </si>
  <si>
    <t>2745-755</t>
  </si>
  <si>
    <t>2740-245</t>
  </si>
  <si>
    <t>2745-164</t>
  </si>
  <si>
    <t>1990-265</t>
  </si>
  <si>
    <t>2730-036</t>
  </si>
  <si>
    <t>2780-292</t>
  </si>
  <si>
    <t>1495-002</t>
  </si>
  <si>
    <t>2745-756</t>
  </si>
  <si>
    <t>2610-192</t>
  </si>
  <si>
    <t>2740-113</t>
  </si>
  <si>
    <t>2745-067</t>
  </si>
  <si>
    <t>2685-141</t>
  </si>
  <si>
    <t>1169-050</t>
  </si>
  <si>
    <t>1349-008</t>
  </si>
  <si>
    <t>2650-186</t>
  </si>
  <si>
    <t>1600-681</t>
  </si>
  <si>
    <t>1200--831</t>
  </si>
  <si>
    <t>2625-719</t>
  </si>
  <si>
    <t>2615-129</t>
  </si>
  <si>
    <t>2625-108</t>
  </si>
  <si>
    <t>2625-161</t>
  </si>
  <si>
    <t>1150-241</t>
  </si>
  <si>
    <t>1300-504</t>
  </si>
  <si>
    <t>2650-230</t>
  </si>
  <si>
    <t>1400-071</t>
  </si>
  <si>
    <t>2610-088</t>
  </si>
  <si>
    <t>2610-055</t>
  </si>
  <si>
    <t>2720-449</t>
  </si>
  <si>
    <t>2720-119</t>
  </si>
  <si>
    <t>2790-251</t>
  </si>
  <si>
    <t>2610-265</t>
  </si>
  <si>
    <t>2610-070</t>
  </si>
  <si>
    <t>1350-001</t>
  </si>
  <si>
    <t>1350-177</t>
  </si>
  <si>
    <t>1300-413</t>
  </si>
  <si>
    <t>1495-742</t>
  </si>
  <si>
    <t>2760-186</t>
  </si>
  <si>
    <t>2770-123</t>
  </si>
  <si>
    <t>2770-048</t>
  </si>
  <si>
    <t>2695-691</t>
  </si>
  <si>
    <t>2615-173</t>
  </si>
  <si>
    <t>2625-013</t>
  </si>
  <si>
    <t>2625-644</t>
  </si>
  <si>
    <t>2625-685</t>
  </si>
  <si>
    <t>2625-585</t>
  </si>
  <si>
    <t>2745-148</t>
  </si>
  <si>
    <t>1300-148</t>
  </si>
  <si>
    <t>1350-175</t>
  </si>
  <si>
    <t>1600-513</t>
  </si>
  <si>
    <t>2700-183</t>
  </si>
  <si>
    <t>1400-172</t>
  </si>
  <si>
    <t>1600-124</t>
  </si>
  <si>
    <t>1600-081</t>
  </si>
  <si>
    <t>2625-489</t>
  </si>
  <si>
    <t>1750-407</t>
  </si>
  <si>
    <t>1750-314</t>
  </si>
  <si>
    <t>2700-446</t>
  </si>
  <si>
    <t>1495-021</t>
  </si>
  <si>
    <t>2790-264</t>
  </si>
  <si>
    <t>1500-588</t>
  </si>
  <si>
    <t>1500-558</t>
  </si>
  <si>
    <t>1300-019</t>
  </si>
  <si>
    <t>1350-181</t>
  </si>
  <si>
    <t>1600-531</t>
  </si>
  <si>
    <t>2700-710</t>
  </si>
  <si>
    <t>2745-340</t>
  </si>
  <si>
    <t>2745-800</t>
  </si>
  <si>
    <t>2735-062</t>
  </si>
  <si>
    <t>2720-444</t>
  </si>
  <si>
    <t>1300-404</t>
  </si>
  <si>
    <t>1700-191</t>
  </si>
  <si>
    <t>2625-594</t>
  </si>
  <si>
    <t>1950-448</t>
  </si>
  <si>
    <t>1950-003</t>
  </si>
  <si>
    <t>100-141</t>
  </si>
  <si>
    <t>1300-389</t>
  </si>
  <si>
    <t>2615-314</t>
  </si>
  <si>
    <t>1000-229</t>
  </si>
  <si>
    <t>2685-127</t>
  </si>
  <si>
    <t>2790-175</t>
  </si>
  <si>
    <t>2795-202</t>
  </si>
  <si>
    <t>1600-661</t>
  </si>
  <si>
    <t>1500-154</t>
  </si>
  <si>
    <t>1500-331</t>
  </si>
  <si>
    <t>1750-026</t>
  </si>
  <si>
    <t>1750-423</t>
  </si>
  <si>
    <t>1990-016</t>
  </si>
  <si>
    <t>1600-782</t>
  </si>
  <si>
    <t>1500-454</t>
  </si>
  <si>
    <t>1070-064</t>
  </si>
  <si>
    <t>1070-093</t>
  </si>
  <si>
    <t>1300-513</t>
  </si>
  <si>
    <t>2780-343</t>
  </si>
  <si>
    <t>2780-082</t>
  </si>
  <si>
    <t>2770-161</t>
  </si>
  <si>
    <t>2770-131</t>
  </si>
  <si>
    <t>2795-118</t>
  </si>
  <si>
    <t>1300-094</t>
  </si>
  <si>
    <t>1600-662</t>
  </si>
  <si>
    <t>1600-448</t>
  </si>
  <si>
    <t>1600-606</t>
  </si>
  <si>
    <t>2625-252</t>
  </si>
  <si>
    <t>1300-194</t>
  </si>
  <si>
    <t>1300-166</t>
  </si>
  <si>
    <t>1495-096</t>
  </si>
  <si>
    <t>1350-152</t>
  </si>
  <si>
    <t>1350-225</t>
  </si>
  <si>
    <t>1250-047</t>
  </si>
  <si>
    <t>1200-661</t>
  </si>
  <si>
    <t>1400-391</t>
  </si>
  <si>
    <t>2685-876</t>
  </si>
  <si>
    <t>1885-026</t>
  </si>
  <si>
    <t>19900-254</t>
  </si>
  <si>
    <t>1885-073</t>
  </si>
  <si>
    <t>1990-070</t>
  </si>
  <si>
    <t>2625-477</t>
  </si>
  <si>
    <t>2625-421</t>
  </si>
  <si>
    <t>2745-774</t>
  </si>
  <si>
    <t>2730-053</t>
  </si>
  <si>
    <t>2730-195</t>
  </si>
  <si>
    <t>2720-093</t>
  </si>
  <si>
    <t>2610-171</t>
  </si>
  <si>
    <t>2625-245</t>
  </si>
  <si>
    <t>2675-560</t>
  </si>
  <si>
    <t>2675-634</t>
  </si>
  <si>
    <t>1300-488</t>
  </si>
  <si>
    <t>1300-514</t>
  </si>
  <si>
    <t>1070-085</t>
  </si>
  <si>
    <t>1200-647</t>
  </si>
  <si>
    <t>2745-169</t>
  </si>
  <si>
    <t>2745-068</t>
  </si>
  <si>
    <t>2770-071</t>
  </si>
  <si>
    <t>2720-330</t>
  </si>
  <si>
    <t>2795-124</t>
  </si>
  <si>
    <t>1300-243</t>
  </si>
  <si>
    <t>2615-164</t>
  </si>
  <si>
    <t>1070-128</t>
  </si>
  <si>
    <t>2785-578</t>
  </si>
  <si>
    <t>1500-332</t>
  </si>
  <si>
    <t>1050-056</t>
  </si>
  <si>
    <t>2795-070</t>
  </si>
  <si>
    <t>2745-327</t>
  </si>
  <si>
    <t>1070-073</t>
  </si>
  <si>
    <t>2775-520</t>
  </si>
  <si>
    <t>2745-234</t>
  </si>
  <si>
    <t>1000-016</t>
  </si>
  <si>
    <t>2690-357</t>
  </si>
  <si>
    <t>2690-190</t>
  </si>
  <si>
    <t>2625-116</t>
  </si>
  <si>
    <t>1600-276</t>
  </si>
  <si>
    <t>1250-175</t>
  </si>
  <si>
    <t>2745-123</t>
  </si>
  <si>
    <t>2745-225</t>
  </si>
  <si>
    <t>1500-194</t>
  </si>
  <si>
    <t>1990-118</t>
  </si>
  <si>
    <t>2685-370</t>
  </si>
  <si>
    <t>1700-331</t>
  </si>
  <si>
    <t>1250-252</t>
  </si>
  <si>
    <t>1700-011</t>
  </si>
  <si>
    <t>2695-640</t>
  </si>
  <si>
    <t>1950-080</t>
  </si>
  <si>
    <t>1700-180</t>
  </si>
  <si>
    <t>2780-017</t>
  </si>
  <si>
    <t>2775-590</t>
  </si>
  <si>
    <t>2775-502</t>
  </si>
  <si>
    <t>2770-082</t>
  </si>
  <si>
    <t>1300-553</t>
  </si>
  <si>
    <t>2690-291</t>
  </si>
  <si>
    <t>2695-709</t>
  </si>
  <si>
    <t>2780-174</t>
  </si>
  <si>
    <t>2795-159</t>
  </si>
  <si>
    <t>1150-006</t>
  </si>
  <si>
    <t>1300-078</t>
  </si>
  <si>
    <t>1495-107</t>
  </si>
  <si>
    <t>1050-133</t>
  </si>
  <si>
    <t>1050-110</t>
  </si>
  <si>
    <t>2685-162</t>
  </si>
  <si>
    <t>2615-205</t>
  </si>
  <si>
    <t>2625-162</t>
  </si>
  <si>
    <t>2625-587</t>
  </si>
  <si>
    <t>1990-196</t>
  </si>
  <si>
    <t>1990-001</t>
  </si>
  <si>
    <t>2730-141</t>
  </si>
  <si>
    <t>2745-763</t>
  </si>
  <si>
    <t>1500-135</t>
  </si>
  <si>
    <t>R1999</t>
  </si>
  <si>
    <t>R2000</t>
  </si>
  <si>
    <t>R2001</t>
  </si>
  <si>
    <t>R2002</t>
  </si>
  <si>
    <t>R2003</t>
  </si>
  <si>
    <t>R2004</t>
  </si>
  <si>
    <t>R2005</t>
  </si>
  <si>
    <t>R2006</t>
  </si>
  <si>
    <t>R2007</t>
  </si>
  <si>
    <t>R2008</t>
  </si>
  <si>
    <t>R2009</t>
  </si>
  <si>
    <t>R2010</t>
  </si>
  <si>
    <t>R2011</t>
  </si>
  <si>
    <t>R2012</t>
  </si>
  <si>
    <t>R2013</t>
  </si>
  <si>
    <t>R2014</t>
  </si>
  <si>
    <t>R2015</t>
  </si>
  <si>
    <t>R2016</t>
  </si>
  <si>
    <t>R2017</t>
  </si>
  <si>
    <t>R2018</t>
  </si>
  <si>
    <t>R2019</t>
  </si>
  <si>
    <t>R2020</t>
  </si>
  <si>
    <t>R2021</t>
  </si>
  <si>
    <t>R2022</t>
  </si>
  <si>
    <t>R2023</t>
  </si>
  <si>
    <t>R2024</t>
  </si>
  <si>
    <t>R2025</t>
  </si>
  <si>
    <t>R2026</t>
  </si>
  <si>
    <t>R2027</t>
  </si>
  <si>
    <t>R2028</t>
  </si>
  <si>
    <t>R2029</t>
  </si>
  <si>
    <t>R2030</t>
  </si>
  <si>
    <t>R2031</t>
  </si>
  <si>
    <t>R2032</t>
  </si>
  <si>
    <t>R2033</t>
  </si>
  <si>
    <t>R2034</t>
  </si>
  <si>
    <t>R2035</t>
  </si>
  <si>
    <t>R2036</t>
  </si>
  <si>
    <t>R2037</t>
  </si>
  <si>
    <t>R2038</t>
  </si>
  <si>
    <t>R2039</t>
  </si>
  <si>
    <t>R2040</t>
  </si>
  <si>
    <t>R2041</t>
  </si>
  <si>
    <t>R2042</t>
  </si>
  <si>
    <t>R2043</t>
  </si>
  <si>
    <t>R2044</t>
  </si>
  <si>
    <t>R2045</t>
  </si>
  <si>
    <t>R2046</t>
  </si>
  <si>
    <t>R2047</t>
  </si>
  <si>
    <t>R2048</t>
  </si>
  <si>
    <t>R2049</t>
  </si>
  <si>
    <t>R2050</t>
  </si>
  <si>
    <t>R2051</t>
  </si>
  <si>
    <t>R2052</t>
  </si>
  <si>
    <t>R2053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</si>
  <si>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</si>
  <si>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</si>
  <si>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</si>
  <si>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</si>
  <si>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</si>
  <si>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</si>
  <si>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</si>
  <si>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</si>
  <si>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</si>
  <si>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R2063</t>
  </si>
  <si>
    <t>R2064</t>
  </si>
  <si>
    <t>R2065</t>
  </si>
  <si>
    <t>R2066</t>
  </si>
  <si>
    <t>R2067</t>
  </si>
  <si>
    <t>R2068</t>
  </si>
  <si>
    <t>R2069</t>
  </si>
  <si>
    <t>R2070</t>
  </si>
  <si>
    <t>R2071</t>
  </si>
  <si>
    <t>R2072</t>
  </si>
  <si>
    <t>R2073</t>
  </si>
  <si>
    <t>R2074</t>
  </si>
  <si>
    <t>R2075</t>
  </si>
  <si>
    <t>R2076</t>
  </si>
  <si>
    <t>R2077</t>
  </si>
  <si>
    <t>R2078</t>
  </si>
  <si>
    <t>R2079</t>
  </si>
  <si>
    <t>R2080</t>
  </si>
  <si>
    <t>R2081</t>
  </si>
  <si>
    <t>R2082</t>
  </si>
  <si>
    <t>R2083</t>
  </si>
  <si>
    <t>R2084</t>
  </si>
  <si>
    <t>R2085</t>
  </si>
  <si>
    <t>R2086</t>
  </si>
  <si>
    <t>R2087</t>
  </si>
  <si>
    <t>R2088</t>
  </si>
  <si>
    <t>R2089</t>
  </si>
  <si>
    <t>R2090</t>
  </si>
  <si>
    <t>R2091</t>
  </si>
  <si>
    <t>R2092</t>
  </si>
  <si>
    <t>R2093</t>
  </si>
  <si>
    <t>R2094</t>
  </si>
  <si>
    <t>R2095</t>
  </si>
  <si>
    <t>R2096</t>
  </si>
  <si>
    <t>R2097</t>
  </si>
  <si>
    <t>R2098</t>
  </si>
  <si>
    <t>R2099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</si>
  <si>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</si>
  <si>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</si>
  <si>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</si>
  <si>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</si>
  <si>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</si>
  <si>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</si>
  <si>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</si>
  <si>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</si>
  <si>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</si>
  <si>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</si>
  <si>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</si>
  <si>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</si>
  <si>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</si>
  <si>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</si>
  <si>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</si>
  <si>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</si>
  <si>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</si>
  <si>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</si>
  <si>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</si>
  <si>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</si>
  <si>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</si>
  <si>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</si>
  <si>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</si>
  <si>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</si>
  <si>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</si>
  <si>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</si>
  <si>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</si>
  <si>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</si>
  <si>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</si>
  <si>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</si>
  <si>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</si>
  <si>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</si>
  <si>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</si>
  <si>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</si>
  <si>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</si>
  <si>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</si>
  <si>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</si>
  <si>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</si>
  <si>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</si>
  <si>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</si>
  <si>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</si>
  <si>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</si>
  <si>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</si>
  <si>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</si>
  <si>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</si>
  <si>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</si>
  <si>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</si>
  <si>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</si>
  <si>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</si>
  <si>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</si>
  <si>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</si>
  <si>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</si>
  <si>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</si>
  <si>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</si>
  <si>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</si>
  <si>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</si>
  <si>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</si>
  <si>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</si>
  <si>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</si>
  <si>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</si>
  <si>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</si>
  <si>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</si>
  <si>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</si>
  <si>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</si>
  <si>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</si>
  <si>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</si>
  <si>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</si>
  <si>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</si>
  <si>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</si>
  <si>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</si>
  <si>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</si>
  <si>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</si>
  <si>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</si>
  <si>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</si>
  <si>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</si>
  <si>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</si>
  <si>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</si>
  <si>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</si>
  <si>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</si>
  <si>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</si>
  <si>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</si>
  <si>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</si>
  <si>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</si>
  <si>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</si>
  <si>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</si>
  <si>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</si>
  <si>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</si>
  <si>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</si>
  <si>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</si>
  <si>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</si>
  <si>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</si>
  <si>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</si>
  <si>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</si>
  <si>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</si>
  <si>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</si>
  <si>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</si>
  <si>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</si>
  <si>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</si>
  <si>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</si>
  <si>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</si>
  <si>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</si>
  <si>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</si>
  <si>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</si>
  <si>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</si>
  <si>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</si>
  <si>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</si>
  <si>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</si>
  <si>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</si>
  <si>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</si>
  <si>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</si>
  <si>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</si>
  <si>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</si>
  <si>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</si>
  <si>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</si>
  <si>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</si>
  <si>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</si>
  <si>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</si>
  <si>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</si>
  <si>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</si>
  <si>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</si>
  <si>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1500-287</t>
  </si>
  <si>
    <t>1350-215</t>
  </si>
  <si>
    <t>1350-206</t>
  </si>
  <si>
    <t>1500-554</t>
  </si>
  <si>
    <t>1300-551</t>
  </si>
  <si>
    <t>1495-059</t>
  </si>
  <si>
    <t>1300-536</t>
  </si>
  <si>
    <t>2700-665</t>
  </si>
  <si>
    <t>1400-225</t>
  </si>
  <si>
    <t>2625-410</t>
  </si>
  <si>
    <t>2690-377</t>
  </si>
  <si>
    <t>2695-066</t>
  </si>
  <si>
    <t>1990-514</t>
  </si>
  <si>
    <t>1070-082</t>
  </si>
  <si>
    <t>2700-703</t>
  </si>
  <si>
    <t>2700-337</t>
  </si>
  <si>
    <t>2690-584</t>
  </si>
  <si>
    <t>2685-404</t>
  </si>
  <si>
    <t>2685-349</t>
  </si>
  <si>
    <t>1990-527</t>
  </si>
  <si>
    <t>1649-003</t>
  </si>
  <si>
    <t>2790-232</t>
  </si>
  <si>
    <t>1600-157</t>
  </si>
  <si>
    <t>1350-335</t>
  </si>
  <si>
    <t>1350-075</t>
  </si>
  <si>
    <t>2690-315</t>
  </si>
  <si>
    <t>2695-052</t>
  </si>
  <si>
    <t>2745-086</t>
  </si>
  <si>
    <t>2790-159</t>
  </si>
  <si>
    <t>1250-017</t>
  </si>
  <si>
    <t>1675-108</t>
  </si>
  <si>
    <t>2650-324</t>
  </si>
  <si>
    <t>2720-165</t>
  </si>
  <si>
    <t>2795-006</t>
  </si>
  <si>
    <t>1400-124</t>
  </si>
  <si>
    <t>2625-176</t>
  </si>
  <si>
    <t>1998-018</t>
  </si>
  <si>
    <t>1990-007</t>
  </si>
  <si>
    <t>1700-197</t>
  </si>
  <si>
    <t>1050-191</t>
  </si>
  <si>
    <t>2720-824</t>
  </si>
  <si>
    <t>1750-163</t>
  </si>
  <si>
    <t>2700-342</t>
  </si>
  <si>
    <t>1070-372</t>
  </si>
  <si>
    <t>1700-345</t>
  </si>
  <si>
    <t>2690-347</t>
  </si>
  <si>
    <t>2625-140</t>
  </si>
  <si>
    <t>2780-046</t>
  </si>
  <si>
    <t>1300-590</t>
  </si>
  <si>
    <t>2790-489</t>
  </si>
  <si>
    <t>2775-102</t>
  </si>
  <si>
    <t>2785-417</t>
  </si>
  <si>
    <t>1500-377</t>
  </si>
  <si>
    <t>1500-459</t>
  </si>
  <si>
    <t>2660-001</t>
  </si>
  <si>
    <t>2770-018</t>
  </si>
  <si>
    <t>1200-464</t>
  </si>
  <si>
    <t>2740-176</t>
  </si>
  <si>
    <t>1500-345</t>
  </si>
  <si>
    <t>1400-069</t>
  </si>
  <si>
    <t>1050-062</t>
  </si>
  <si>
    <t>1800-094</t>
  </si>
  <si>
    <t>2760-061</t>
  </si>
  <si>
    <t>1600-134</t>
  </si>
  <si>
    <t>1700-262</t>
  </si>
  <si>
    <t>2735-080</t>
  </si>
  <si>
    <t>2735-429</t>
  </si>
  <si>
    <t>1700-199</t>
  </si>
  <si>
    <t>1950-039</t>
  </si>
  <si>
    <t>1800-079</t>
  </si>
  <si>
    <t>1700-154</t>
  </si>
  <si>
    <t>1070-035</t>
  </si>
  <si>
    <t>2685-378</t>
  </si>
  <si>
    <t>1500-244</t>
  </si>
  <si>
    <t>1990-0779</t>
  </si>
  <si>
    <t>2790-370</t>
  </si>
  <si>
    <t>1500-085</t>
  </si>
  <si>
    <t>2685-356</t>
  </si>
  <si>
    <t>1070-009</t>
  </si>
  <si>
    <t>2790-564</t>
  </si>
  <si>
    <t>1500-260</t>
  </si>
  <si>
    <t>2625-389</t>
  </si>
  <si>
    <t>1050-205</t>
  </si>
  <si>
    <t>1750-139</t>
  </si>
  <si>
    <t>1500-265</t>
  </si>
  <si>
    <t>2625-021</t>
  </si>
  <si>
    <t>1400-277</t>
  </si>
  <si>
    <t>2625-384</t>
  </si>
  <si>
    <t>2720-008</t>
  </si>
  <si>
    <t>2690-204</t>
  </si>
  <si>
    <t>1050-139</t>
  </si>
  <si>
    <t>1000-127</t>
  </si>
  <si>
    <t>2700-416</t>
  </si>
  <si>
    <t>1400-061</t>
  </si>
  <si>
    <t>1070-247</t>
  </si>
  <si>
    <t>2720-048</t>
  </si>
  <si>
    <t>2720-806</t>
  </si>
  <si>
    <t>1495-211</t>
  </si>
  <si>
    <t>2770-120</t>
  </si>
  <si>
    <t>2790-052</t>
  </si>
  <si>
    <t>2790-012</t>
  </si>
  <si>
    <t>1350-236</t>
  </si>
  <si>
    <t>2625-625</t>
  </si>
  <si>
    <t>2615-.044</t>
  </si>
  <si>
    <t>1400-036</t>
  </si>
  <si>
    <t>2745-209</t>
  </si>
  <si>
    <t>2735-370</t>
  </si>
  <si>
    <t>1750-417</t>
  </si>
  <si>
    <t>1495-067</t>
  </si>
  <si>
    <t>2700-671</t>
  </si>
  <si>
    <t>1300-159</t>
  </si>
  <si>
    <t>2795-080</t>
  </si>
  <si>
    <t>2735-082</t>
  </si>
  <si>
    <t>2615-062</t>
  </si>
  <si>
    <t>1250-263</t>
  </si>
  <si>
    <t>1600-296</t>
  </si>
  <si>
    <t>1400-270</t>
  </si>
  <si>
    <t>1400-078</t>
  </si>
  <si>
    <t>1300-285</t>
  </si>
  <si>
    <t>1495-169</t>
  </si>
  <si>
    <t>2790-102</t>
  </si>
  <si>
    <t>1350-147</t>
  </si>
  <si>
    <t>1300-161</t>
  </si>
  <si>
    <t>1200-807</t>
  </si>
  <si>
    <t>1070-063</t>
  </si>
  <si>
    <t>2770-533</t>
  </si>
  <si>
    <t>2675-229</t>
  </si>
  <si>
    <t>2615-357</t>
  </si>
  <si>
    <t>1750-204</t>
  </si>
  <si>
    <t>2700-319</t>
  </si>
  <si>
    <t>1500-045</t>
  </si>
  <si>
    <t>1350-122</t>
  </si>
  <si>
    <t>1050-204</t>
  </si>
  <si>
    <t>2780-003</t>
  </si>
  <si>
    <t>1700-033</t>
  </si>
  <si>
    <t>2700-589</t>
  </si>
  <si>
    <t>1600-827</t>
  </si>
  <si>
    <t>1050-151</t>
  </si>
  <si>
    <t>1495-081</t>
  </si>
  <si>
    <t>1700-125</t>
  </si>
  <si>
    <t>2770-203</t>
  </si>
  <si>
    <t>1750-171</t>
  </si>
  <si>
    <t>1300-279</t>
  </si>
  <si>
    <t>1495-022</t>
  </si>
  <si>
    <t>2700-584</t>
  </si>
  <si>
    <t>1600-746</t>
  </si>
  <si>
    <t>1600-096</t>
  </si>
  <si>
    <t>2790-307</t>
  </si>
  <si>
    <t>2685-334</t>
  </si>
  <si>
    <t>1350-167</t>
  </si>
  <si>
    <t>1849-030</t>
  </si>
  <si>
    <t>2615-051</t>
  </si>
  <si>
    <t>1700-235</t>
  </si>
  <si>
    <t>1250-136</t>
  </si>
  <si>
    <t>1700-274</t>
  </si>
  <si>
    <t>2610-132</t>
  </si>
  <si>
    <t>1100-413</t>
  </si>
  <si>
    <t>1070-046</t>
  </si>
  <si>
    <t>1500-087</t>
  </si>
  <si>
    <t>1500-596</t>
  </si>
  <si>
    <t>1600-097</t>
  </si>
  <si>
    <t>1600-191</t>
  </si>
  <si>
    <t>1500-536</t>
  </si>
  <si>
    <t>2610-654</t>
  </si>
  <si>
    <t>2610-172</t>
  </si>
  <si>
    <t>1070-110</t>
  </si>
  <si>
    <t>1400-416</t>
  </si>
  <si>
    <t>2610-202</t>
  </si>
  <si>
    <t>1099-016</t>
  </si>
  <si>
    <t>2625-481</t>
  </si>
  <si>
    <t>1500-236</t>
  </si>
  <si>
    <t>1000-112</t>
  </si>
  <si>
    <t>1600-033</t>
  </si>
  <si>
    <t>2625-159</t>
  </si>
  <si>
    <t>2710-569</t>
  </si>
  <si>
    <t>1350-208</t>
  </si>
  <si>
    <t>1070-173</t>
  </si>
  <si>
    <t>1400-107</t>
  </si>
  <si>
    <t>1350-211</t>
  </si>
  <si>
    <t>1350-256</t>
  </si>
  <si>
    <t>1350-023</t>
  </si>
  <si>
    <t>2790-349</t>
  </si>
  <si>
    <t>2625-414</t>
  </si>
  <si>
    <t>1400-298</t>
  </si>
  <si>
    <t>1700-099</t>
  </si>
  <si>
    <t>2724-002</t>
  </si>
  <si>
    <t>2610-316</t>
  </si>
  <si>
    <t>1350-302</t>
  </si>
  <si>
    <t>1400-153</t>
  </si>
  <si>
    <t>1400-177</t>
  </si>
  <si>
    <t>1150-176</t>
  </si>
  <si>
    <t>1050-129</t>
  </si>
  <si>
    <t>1350-260</t>
  </si>
  <si>
    <t>1300-487</t>
  </si>
  <si>
    <t>1300-334</t>
  </si>
  <si>
    <t>2795-165</t>
  </si>
  <si>
    <t>1070-149</t>
  </si>
  <si>
    <t>2610-114</t>
  </si>
  <si>
    <t>2610-195</t>
  </si>
  <si>
    <t>2720-203</t>
  </si>
  <si>
    <t>2720-138</t>
  </si>
  <si>
    <t>1070-219</t>
  </si>
  <si>
    <t>1300-255</t>
  </si>
  <si>
    <t>1300-365</t>
  </si>
  <si>
    <t>1000-134</t>
  </si>
  <si>
    <t>1600-149</t>
  </si>
  <si>
    <t>1700-111</t>
  </si>
  <si>
    <t>1500-672</t>
  </si>
  <si>
    <t>1300-268</t>
  </si>
  <si>
    <t>1300-111</t>
  </si>
  <si>
    <t>1400-285</t>
  </si>
  <si>
    <t>1600-031</t>
  </si>
  <si>
    <t>1500-274</t>
  </si>
  <si>
    <t>1500-306</t>
  </si>
  <si>
    <t>1250-199</t>
  </si>
  <si>
    <t>1350-411</t>
  </si>
  <si>
    <t>2625-710</t>
  </si>
  <si>
    <t>2625-391</t>
  </si>
  <si>
    <t>2615-292</t>
  </si>
  <si>
    <t>2610-143</t>
  </si>
  <si>
    <t>2794-059</t>
  </si>
  <si>
    <t>2610-057</t>
  </si>
  <si>
    <t>1400-365</t>
  </si>
  <si>
    <t>1950-004</t>
  </si>
  <si>
    <t>1050-065</t>
  </si>
  <si>
    <t>1300-566</t>
  </si>
  <si>
    <t>2610-127</t>
  </si>
  <si>
    <t>2610-078</t>
  </si>
  <si>
    <t>1070-324</t>
  </si>
  <si>
    <t>1800-065</t>
  </si>
  <si>
    <t>2615-333</t>
  </si>
  <si>
    <t>2615-354</t>
  </si>
  <si>
    <t>1170-201</t>
  </si>
  <si>
    <t>1170-063</t>
  </si>
  <si>
    <t>1600-253</t>
  </si>
  <si>
    <t>1300-109</t>
  </si>
  <si>
    <t>1350-030</t>
  </si>
  <si>
    <t>1350-382</t>
  </si>
  <si>
    <t>2625-615</t>
  </si>
  <si>
    <t>1495-236</t>
  </si>
  <si>
    <t>1300-383</t>
  </si>
  <si>
    <t>2650-066</t>
  </si>
  <si>
    <t>1495-120</t>
  </si>
  <si>
    <t>2720-418</t>
  </si>
  <si>
    <t>2625-209</t>
  </si>
  <si>
    <t>1400-308</t>
  </si>
  <si>
    <t>UBer</t>
  </si>
  <si>
    <t>1600-777</t>
  </si>
  <si>
    <t>1070-070</t>
  </si>
  <si>
    <t>1070-996</t>
  </si>
  <si>
    <t>1300-414</t>
  </si>
  <si>
    <t>1400-282</t>
  </si>
  <si>
    <t>1400-297</t>
  </si>
  <si>
    <t>2700-100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</si>
  <si>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</si>
  <si>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</si>
  <si>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</si>
  <si>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</si>
  <si>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</si>
  <si>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</si>
  <si>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</si>
  <si>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</si>
  <si>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</si>
  <si>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</si>
  <si>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</si>
  <si>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</si>
  <si>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</si>
  <si>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</si>
  <si>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</si>
  <si>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</si>
  <si>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</si>
  <si>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</si>
  <si>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</si>
  <si>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</si>
  <si>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</si>
  <si>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</si>
  <si>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</si>
  <si>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</si>
  <si>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</si>
  <si>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</si>
  <si>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</si>
  <si>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</si>
  <si>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</si>
  <si>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</si>
  <si>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</si>
  <si>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</si>
  <si>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</si>
  <si>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</si>
  <si>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</si>
  <si>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</si>
  <si>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</si>
  <si>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</si>
  <si>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</si>
  <si>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</si>
  <si>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</si>
  <si>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</si>
  <si>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</si>
  <si>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</si>
  <si>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</si>
  <si>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</si>
  <si>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</si>
  <si>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</si>
  <si>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</si>
  <si>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</si>
  <si>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</si>
  <si>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</si>
  <si>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</si>
  <si>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</si>
  <si>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</si>
  <si>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</si>
  <si>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</si>
  <si>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</si>
  <si>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</si>
  <si>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</si>
  <si>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</si>
  <si>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</si>
  <si>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</si>
  <si>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</si>
  <si>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</si>
  <si>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</si>
  <si>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</si>
  <si>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</si>
  <si>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</si>
  <si>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</si>
  <si>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</si>
  <si>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</si>
  <si>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</si>
  <si>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</si>
  <si>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</si>
  <si>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</si>
  <si>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</si>
  <si>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</si>
  <si>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</si>
  <si>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</si>
  <si>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</si>
  <si>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</si>
  <si>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</si>
  <si>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</si>
  <si>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</si>
  <si>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</si>
  <si>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</si>
  <si>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</si>
  <si>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</si>
  <si>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</si>
  <si>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</si>
  <si>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</si>
  <si>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</si>
  <si>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</si>
  <si>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</si>
  <si>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</si>
  <si>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</si>
  <si>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</si>
  <si>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</si>
  <si>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</si>
  <si>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</si>
  <si>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</si>
  <si>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</si>
  <si>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</si>
  <si>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</si>
  <si>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</si>
  <si>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</si>
  <si>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</si>
  <si>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</si>
  <si>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</si>
  <si>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</si>
  <si>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</si>
  <si>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</si>
  <si>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</si>
  <si>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</si>
  <si>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</si>
  <si>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</si>
  <si>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</si>
  <si>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</si>
  <si>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</si>
  <si>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</si>
  <si>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</si>
  <si>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</si>
  <si>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</si>
  <si>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</si>
  <si>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</si>
  <si>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</si>
  <si>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</si>
  <si>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</si>
  <si>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</si>
  <si>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</si>
  <si>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</si>
  <si>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</si>
  <si>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</si>
  <si>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</si>
  <si>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</si>
  <si>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</si>
  <si>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</si>
  <si>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</si>
  <si>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</si>
  <si>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</si>
  <si>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</si>
  <si>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</si>
  <si>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</si>
  <si>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</si>
  <si>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</si>
  <si>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</si>
  <si>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</si>
  <si>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</si>
  <si>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</si>
  <si>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</si>
  <si>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</si>
  <si>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</si>
  <si>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</si>
  <si>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</si>
  <si>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</si>
  <si>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</si>
  <si>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</si>
  <si>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</si>
  <si>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</si>
  <si>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</si>
  <si>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</si>
  <si>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</si>
  <si>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</si>
  <si>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</si>
  <si>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</si>
  <si>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</si>
  <si>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</si>
  <si>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</si>
  <si>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</si>
  <si>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</si>
  <si>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</si>
  <si>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</si>
  <si>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</si>
  <si>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</si>
  <si>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</si>
  <si>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</si>
  <si>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</si>
  <si>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</si>
  <si>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</si>
  <si>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</si>
  <si>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</si>
  <si>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</si>
  <si>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</si>
  <si>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</si>
  <si>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</si>
  <si>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</si>
  <si>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</si>
  <si>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</si>
  <si>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</si>
  <si>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</si>
  <si>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</si>
  <si>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</si>
  <si>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</si>
  <si>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</si>
  <si>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</si>
  <si>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</si>
  <si>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</si>
  <si>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</si>
  <si>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</si>
  <si>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</si>
  <si>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</si>
  <si>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</si>
  <si>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</si>
  <si>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</si>
  <si>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</si>
  <si>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</si>
  <si>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</si>
  <si>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</si>
  <si>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</si>
  <si>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</si>
  <si>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</si>
  <si>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</si>
  <si>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</si>
  <si>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</si>
  <si>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</si>
  <si>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</si>
  <si>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</si>
  <si>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</si>
  <si>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</si>
  <si>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</si>
  <si>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</si>
  <si>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</si>
  <si>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</si>
  <si>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</si>
  <si>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</si>
  <si>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</si>
  <si>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</si>
  <si>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</si>
  <si>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</si>
  <si>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</si>
  <si>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</si>
  <si>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</si>
  <si>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</si>
  <si>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</si>
  <si>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</si>
  <si>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</si>
  <si>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</si>
  <si>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</si>
  <si>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</si>
  <si>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</si>
  <si>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</si>
  <si>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</si>
  <si>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</si>
  <si>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</si>
  <si>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</si>
  <si>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</si>
  <si>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</si>
  <si>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</si>
  <si>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</si>
  <si>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</si>
  <si>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</si>
  <si>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</si>
  <si>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</si>
  <si>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</si>
  <si>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</si>
  <si>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</si>
  <si>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</si>
  <si>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</si>
  <si>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</si>
  <si>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</si>
  <si>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</si>
  <si>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</si>
  <si>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</si>
  <si>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</si>
  <si>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</si>
  <si>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</si>
  <si>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</si>
  <si>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</si>
  <si>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</si>
  <si>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</si>
  <si>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</si>
  <si>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</si>
  <si>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</si>
  <si>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</si>
  <si>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</si>
  <si>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</si>
  <si>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</si>
  <si>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</si>
  <si>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</si>
  <si>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1300-605</t>
  </si>
  <si>
    <t>1500-675</t>
  </si>
  <si>
    <t>1300-386</t>
  </si>
  <si>
    <t>1300-017</t>
  </si>
  <si>
    <t>1070-002</t>
  </si>
  <si>
    <t>2685-012</t>
  </si>
  <si>
    <t>2680-175</t>
  </si>
  <si>
    <t>2690-351</t>
  </si>
  <si>
    <t>1500-110</t>
  </si>
  <si>
    <t>1500-618</t>
  </si>
  <si>
    <t>2615-332</t>
  </si>
  <si>
    <t>1900-391</t>
  </si>
  <si>
    <t>1500-639</t>
  </si>
  <si>
    <t>2780-235</t>
  </si>
  <si>
    <t>2670-188</t>
  </si>
  <si>
    <t>2795-095</t>
  </si>
  <si>
    <t>2650-074</t>
  </si>
  <si>
    <t>1400-165</t>
  </si>
  <si>
    <t>2745-012</t>
  </si>
  <si>
    <t>2745-290</t>
  </si>
  <si>
    <t>1300-110</t>
  </si>
  <si>
    <t>1950-027</t>
  </si>
  <si>
    <t>1885-004</t>
  </si>
  <si>
    <t>1885-071</t>
  </si>
  <si>
    <t>1500-096</t>
  </si>
  <si>
    <t>1070-065</t>
  </si>
  <si>
    <t>1350-330</t>
  </si>
  <si>
    <t>1350-319</t>
  </si>
  <si>
    <t>1495-087</t>
  </si>
  <si>
    <t>1400-200</t>
  </si>
  <si>
    <t>1300-362</t>
  </si>
  <si>
    <t>2625-432</t>
  </si>
  <si>
    <t>2625-135</t>
  </si>
  <si>
    <t>2625-168</t>
  </si>
  <si>
    <t>2720-295</t>
  </si>
  <si>
    <t>2615-106</t>
  </si>
  <si>
    <t>2625-214</t>
  </si>
  <si>
    <t>1250-051</t>
  </si>
  <si>
    <t>2610-264</t>
  </si>
  <si>
    <t>2610-036</t>
  </si>
  <si>
    <t>1500-230</t>
  </si>
  <si>
    <t>2685-331</t>
  </si>
  <si>
    <t>2625-244</t>
  </si>
  <si>
    <t>2795-181</t>
  </si>
  <si>
    <t>1495-207</t>
  </si>
  <si>
    <t>1050-052</t>
  </si>
  <si>
    <t>2625-046</t>
  </si>
  <si>
    <t>2625-112</t>
  </si>
  <si>
    <t>1100-039</t>
  </si>
  <si>
    <t>1070-129</t>
  </si>
  <si>
    <t>1400-175</t>
  </si>
  <si>
    <t>2720-222</t>
  </si>
  <si>
    <t>2720-508</t>
  </si>
  <si>
    <t>2720-272</t>
  </si>
  <si>
    <t>1300-152</t>
  </si>
  <si>
    <t>1400-301</t>
  </si>
  <si>
    <t>1050-221</t>
  </si>
  <si>
    <t>1750-018</t>
  </si>
  <si>
    <t>1600-660</t>
  </si>
  <si>
    <t>2615-055</t>
  </si>
  <si>
    <t>1169-045</t>
  </si>
  <si>
    <t>1050-100</t>
  </si>
  <si>
    <t>2775-788</t>
  </si>
  <si>
    <t>2780-146</t>
  </si>
  <si>
    <t>1070-086</t>
  </si>
  <si>
    <t>1200-715</t>
  </si>
  <si>
    <t>1800-106</t>
  </si>
  <si>
    <t>2790-134</t>
  </si>
  <si>
    <t>2790-011</t>
  </si>
  <si>
    <t>1500-267</t>
  </si>
  <si>
    <t>2625-468</t>
  </si>
  <si>
    <t>2625-265</t>
  </si>
  <si>
    <t>2625-097</t>
  </si>
  <si>
    <t>1050-160</t>
  </si>
  <si>
    <t>1300-100</t>
  </si>
  <si>
    <t>1070-294</t>
  </si>
  <si>
    <t>1300-284</t>
  </si>
  <si>
    <t>1070-030</t>
  </si>
  <si>
    <t>1000-073</t>
  </si>
  <si>
    <t>1350-033</t>
  </si>
  <si>
    <t>2700-356</t>
  </si>
  <si>
    <t>1050-111</t>
  </si>
  <si>
    <t>1350-324</t>
  </si>
  <si>
    <t>1050-047</t>
  </si>
  <si>
    <t>1800-006</t>
  </si>
  <si>
    <t>1350-097</t>
  </si>
  <si>
    <t>1500-435</t>
  </si>
  <si>
    <t>2795-183</t>
  </si>
  <si>
    <t>2780-253</t>
  </si>
  <si>
    <t>1500-851</t>
  </si>
  <si>
    <t>1495-718</t>
  </si>
  <si>
    <t>2615-115</t>
  </si>
  <si>
    <t>1000-049</t>
  </si>
  <si>
    <t>2625-649</t>
  </si>
  <si>
    <t>1070-216</t>
  </si>
  <si>
    <t>1495-152</t>
  </si>
  <si>
    <t>1400-101</t>
  </si>
  <si>
    <t>1600-683</t>
  </si>
  <si>
    <t>1750-217</t>
  </si>
  <si>
    <t>2615-107</t>
  </si>
  <si>
    <t>1070-010</t>
  </si>
  <si>
    <t>1070-101</t>
  </si>
  <si>
    <t>2700-014</t>
  </si>
  <si>
    <t>2700-421</t>
  </si>
  <si>
    <t>1300-163</t>
  </si>
  <si>
    <t>1800-097</t>
  </si>
  <si>
    <t>1800-009</t>
  </si>
  <si>
    <t>1350-322</t>
  </si>
  <si>
    <t>2799-559</t>
  </si>
  <si>
    <t>1070-268</t>
  </si>
  <si>
    <t>1070-026</t>
  </si>
  <si>
    <t>1400-353</t>
  </si>
  <si>
    <t>2675-466</t>
  </si>
  <si>
    <t>1800-070</t>
  </si>
  <si>
    <t>1400-171</t>
  </si>
  <si>
    <t>2625-658</t>
  </si>
  <si>
    <t>2720-211</t>
  </si>
  <si>
    <t>1300-093</t>
  </si>
  <si>
    <t>1600-792</t>
  </si>
  <si>
    <t>1800-245</t>
  </si>
  <si>
    <t>1600-300</t>
  </si>
  <si>
    <t>1070-242</t>
  </si>
  <si>
    <t>1300-133</t>
  </si>
  <si>
    <t>1300-494</t>
  </si>
  <si>
    <t>1500-348</t>
  </si>
  <si>
    <t>2720-052</t>
  </si>
  <si>
    <t>1500-595</t>
  </si>
  <si>
    <t>1250-090</t>
  </si>
  <si>
    <t>1600-171</t>
  </si>
  <si>
    <t>2770-113</t>
  </si>
  <si>
    <t>1600-581</t>
  </si>
  <si>
    <t>2685-185</t>
  </si>
  <si>
    <t>2615-042</t>
  </si>
  <si>
    <t>1700-253</t>
  </si>
  <si>
    <t>1495-708</t>
  </si>
  <si>
    <t>1600-160</t>
  </si>
  <si>
    <t>1500-198</t>
  </si>
  <si>
    <t>2790-046</t>
  </si>
  <si>
    <t>1990-503</t>
  </si>
  <si>
    <t>1990-371</t>
  </si>
  <si>
    <t>1700-088</t>
  </si>
  <si>
    <t>1070-141</t>
  </si>
  <si>
    <t>1070-221</t>
  </si>
  <si>
    <t>1500-245</t>
  </si>
  <si>
    <t>1300-247</t>
  </si>
  <si>
    <t>1600-140</t>
  </si>
  <si>
    <t>1400-296</t>
  </si>
  <si>
    <t>1600-673</t>
  </si>
  <si>
    <t>1400-077</t>
  </si>
  <si>
    <t>2685-146</t>
  </si>
  <si>
    <t>2685-112</t>
  </si>
  <si>
    <t>2625-152</t>
  </si>
  <si>
    <t>1070-299</t>
  </si>
  <si>
    <t>1300-286</t>
  </si>
  <si>
    <t>1500-278</t>
  </si>
  <si>
    <t>2625-396</t>
  </si>
  <si>
    <t>2620-197</t>
  </si>
  <si>
    <t>2670-502</t>
  </si>
  <si>
    <t>1099-033</t>
  </si>
  <si>
    <t>1350-101</t>
  </si>
  <si>
    <t>1500-338</t>
  </si>
  <si>
    <t>2685-374</t>
  </si>
  <si>
    <t>1050-208</t>
  </si>
  <si>
    <t>1990-069</t>
  </si>
  <si>
    <t>1990-173</t>
  </si>
  <si>
    <t>2685-340</t>
  </si>
  <si>
    <t>1350-199</t>
  </si>
  <si>
    <t>1000-100</t>
  </si>
  <si>
    <t>1990-108</t>
  </si>
  <si>
    <t>1500-475</t>
  </si>
  <si>
    <t>1500-118</t>
  </si>
  <si>
    <t>1070-048</t>
  </si>
  <si>
    <t>1600-128</t>
  </si>
  <si>
    <t>2790-478</t>
  </si>
  <si>
    <t>1950-074</t>
  </si>
  <si>
    <t>1600-567</t>
  </si>
  <si>
    <t>1600-677</t>
  </si>
  <si>
    <t>2720-415</t>
  </si>
  <si>
    <t>2625-207</t>
  </si>
  <si>
    <t>2615-141</t>
  </si>
  <si>
    <t>1800-919</t>
  </si>
  <si>
    <t>1600-135</t>
  </si>
  <si>
    <t>1300-521</t>
  </si>
  <si>
    <t>2700-336</t>
  </si>
  <si>
    <t>1750-434</t>
  </si>
  <si>
    <t>1549-019</t>
  </si>
  <si>
    <t>1400-090</t>
  </si>
  <si>
    <t>2700-156</t>
  </si>
  <si>
    <t>1990-603</t>
  </si>
  <si>
    <t>1750-413</t>
  </si>
  <si>
    <t>1099-089</t>
  </si>
  <si>
    <t>2790-095</t>
  </si>
  <si>
    <t>2625-709</t>
  </si>
  <si>
    <t>2674-514</t>
  </si>
  <si>
    <t>2660-445</t>
  </si>
  <si>
    <t>1000-303</t>
  </si>
  <si>
    <t>1000-261</t>
  </si>
  <si>
    <t>1200-056</t>
  </si>
  <si>
    <t>2675-626</t>
  </si>
  <si>
    <t>1250-040</t>
  </si>
  <si>
    <t>2720-111</t>
  </si>
  <si>
    <t>1070-166</t>
  </si>
  <si>
    <t>1500-551</t>
  </si>
  <si>
    <t>1500-055</t>
  </si>
  <si>
    <t>1350-323</t>
  </si>
  <si>
    <t>1250-173</t>
  </si>
  <si>
    <t>1675-226</t>
  </si>
  <si>
    <t>1250-087</t>
  </si>
  <si>
    <t>1400-262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</si>
  <si>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</si>
  <si>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</si>
  <si>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</si>
  <si>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</si>
  <si>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</si>
  <si>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</si>
  <si>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</si>
  <si>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</si>
  <si>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</si>
  <si>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</si>
  <si>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</si>
  <si>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</si>
  <si>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</si>
  <si>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</si>
  <si>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</si>
  <si>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</si>
  <si>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</si>
  <si>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</si>
  <si>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</si>
  <si>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</si>
  <si>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</si>
  <si>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</si>
  <si>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</si>
  <si>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</si>
  <si>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1750-313</t>
  </si>
  <si>
    <t>2790-302</t>
  </si>
  <si>
    <t>2625-260</t>
  </si>
  <si>
    <t>1000-010</t>
  </si>
  <si>
    <t>1000-018</t>
  </si>
  <si>
    <t>2745-796</t>
  </si>
  <si>
    <t>2745-720</t>
  </si>
  <si>
    <t>1050-106</t>
  </si>
  <si>
    <t>1500-301</t>
  </si>
  <si>
    <t>1300-399</t>
  </si>
  <si>
    <t>1885-036</t>
  </si>
  <si>
    <t>1250-246</t>
  </si>
  <si>
    <t>2790-393</t>
  </si>
  <si>
    <t>1059-002</t>
  </si>
  <si>
    <t>1750-356</t>
  </si>
  <si>
    <t>2625-440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</si>
  <si>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</si>
  <si>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</si>
  <si>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</si>
  <si>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</si>
  <si>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</si>
  <si>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</si>
  <si>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</si>
  <si>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</si>
  <si>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</si>
  <si>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</si>
  <si>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</si>
  <si>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</si>
  <si>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</si>
  <si>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</si>
  <si>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</si>
  <si>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</si>
  <si>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</si>
  <si>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</si>
  <si>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</si>
  <si>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</si>
  <si>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</si>
  <si>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</si>
  <si>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</si>
  <si>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</si>
  <si>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</si>
  <si>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</si>
  <si>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</si>
  <si>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</si>
  <si>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</si>
  <si>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</si>
  <si>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</si>
  <si>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</si>
  <si>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</si>
  <si>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</si>
  <si>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</si>
  <si>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</si>
  <si>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</si>
  <si>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</si>
  <si>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</si>
  <si>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</si>
  <si>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</si>
  <si>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</si>
  <si>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</si>
  <si>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</si>
  <si>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</si>
  <si>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</si>
  <si>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</si>
  <si>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</si>
  <si>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</si>
  <si>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</si>
  <si>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</si>
  <si>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</si>
  <si>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</si>
  <si>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</si>
  <si>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</si>
  <si>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</si>
  <si>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</si>
  <si>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</si>
  <si>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</si>
  <si>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</si>
  <si>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</si>
  <si>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</si>
  <si>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</si>
  <si>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</si>
  <si>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</si>
  <si>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</si>
  <si>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</si>
  <si>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</si>
  <si>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</si>
  <si>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</si>
  <si>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</si>
  <si>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</si>
  <si>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</si>
  <si>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</si>
  <si>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</si>
  <si>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</si>
  <si>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</si>
  <si>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2690-556</t>
  </si>
  <si>
    <t>2650-130</t>
  </si>
  <si>
    <t>2700-488</t>
  </si>
  <si>
    <t>2700-725</t>
  </si>
  <si>
    <t>2610-054</t>
  </si>
  <si>
    <t>2610-120</t>
  </si>
  <si>
    <t>1349-018</t>
  </si>
  <si>
    <t>1400-309</t>
  </si>
  <si>
    <t>2615-364</t>
  </si>
  <si>
    <t>2625-467</t>
  </si>
  <si>
    <t>2625-486</t>
  </si>
  <si>
    <t>1990-186</t>
  </si>
  <si>
    <t>1400-324</t>
  </si>
  <si>
    <t>1750-072</t>
  </si>
  <si>
    <t>1990-034</t>
  </si>
  <si>
    <t>1500-616</t>
  </si>
  <si>
    <t>2675-326</t>
  </si>
  <si>
    <t>1990-207</t>
  </si>
  <si>
    <t>2610-047</t>
  </si>
  <si>
    <t>2690-527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</si>
</sst>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4" formatCode="_(&quot;$&quot;* #,##0.00_);_(&quot;$&quot;* \(#,##0.00\);_(&quot;$&quot;* &quot;-&quot;??_);_(@_)"/>
    <numFmt numFmtId="164" formatCode="dd/mm/yyyy"/>
    <numFmt numFmtId="165" formatCode="#,##0.00&quot; €&quot;"/>
    <numFmt numFmtId="166" formatCode="0.0%"/>
    <numFmt numFmtId="167" formatCode="[$-F400]h:mm:ss\ AM/PM"/>
    <numFmt numFmtId="168" formatCode="[$-F800]dddd\,\ mmmm\ dd\,\ yyyy"/>
    <numFmt numFmtId="169" formatCode="_([$€-2]\ * #,##0.00_);_([$€-2]\ * \(#,##0.00\);_([$€-2]\ * &quot;-&quot;??_);_(@_)"/>
  </numFmts>
  <fonts count="14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6400"/>
      <name val="Arial"/>
      <family val="2"/>
    </font>
    <font>
      <b/>
      <sz val="10"/>
      <color rgb="FF000000"/>
      <name val="Arial"/>
      <family val="2"/>
    </font>
    <font>
      <b/>
      <sz val="14"/>
      <color rgb="FF1F3864"/>
      <name val="Arial"/>
      <family val="2"/>
    </font>
    <font>
      <sz val="10"/>
      <name val="Arial"/>
      <family val="2"/>
    </font>
    <font>
      <b/>
      <sz val="13"/>
      <color rgb="FF1F3864"/>
      <name val="Arial"/>
      <family val="2"/>
    </font>
    <font>
      <b/>
      <sz val="10"/>
      <color rgb="FF1F3864"/>
      <name val="Arial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0"/>
      <color theme="0"/>
      <name val="Arial"/>
      <family val="2"/>
    </font>
    <font>
      <sz val="11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0FE"/>
        <bgColor rgb="FFE8F5E9"/>
      </patternFill>
    </fill>
    <fill>
      <patternFill patternType="solid">
        <fgColor rgb="FFE8F5E9"/>
        <bgColor rgb="FFE8F0FE"/>
      </patternFill>
    </fill>
    <fill>
      <patternFill patternType="solid">
        <fgColor rgb="FFFFF9C4"/>
        <bgColor rgb="FFFFFF99"/>
      </patternFill>
    </fill>
    <fill>
      <patternFill patternType="solid">
        <fgColor rgb="FFD6E4F0"/>
        <bgColor rgb="FFE8F0FE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theme="3" tint="-0.249977111117893"/>
        <bgColor rgb="FF333333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4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5" fontId="5" fillId="5" borderId="1" xfId="0" applyNumberFormat="1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/>
    </xf>
    <xf numFmtId="0" fontId="0" fillId="10" borderId="0" xfId="0" applyFill="1" applyAlignment="1"/>
    <xf numFmtId="165" fontId="3" fillId="4" borderId="2" xfId="0" applyNumberFormat="1" applyFont="1" applyFill="1" applyBorder="1" applyAlignment="1">
      <alignment horizontal="center" vertical="center" wrapText="1"/>
    </xf>
    <xf numFmtId="2" fontId="1" fillId="9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7" fontId="1" fillId="9" borderId="1" xfId="0" applyNumberFormat="1" applyFont="1" applyFill="1" applyBorder="1" applyAlignment="1">
      <alignment horizontal="center" vertical="center"/>
    </xf>
    <xf numFmtId="167" fontId="2" fillId="3" borderId="1" xfId="0" applyNumberFormat="1" applyFont="1" applyFill="1" applyBorder="1" applyAlignment="1">
      <alignment horizontal="center" vertical="center" wrapText="1"/>
    </xf>
    <xf numFmtId="167" fontId="2" fillId="4" borderId="1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8" fontId="1" fillId="9" borderId="1" xfId="0" applyNumberFormat="1" applyFont="1" applyFill="1" applyBorder="1" applyAlignment="1">
      <alignment horizontal="center" vertical="center"/>
    </xf>
    <xf numFmtId="168" fontId="2" fillId="3" borderId="1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69" fontId="1" fillId="9" borderId="1" xfId="0" applyNumberFormat="1" applyFont="1" applyFill="1" applyBorder="1" applyAlignment="1">
      <alignment horizontal="center" vertical="center"/>
    </xf>
    <xf numFmtId="169" fontId="2" fillId="3" borderId="1" xfId="0" applyNumberFormat="1" applyFont="1" applyFill="1" applyBorder="1" applyAlignment="1">
      <alignment horizontal="center" vertical="center" wrapText="1"/>
    </xf>
    <xf numFmtId="169" fontId="2" fillId="4" borderId="1" xfId="0" applyNumberFormat="1" applyFont="1" applyFill="1" applyBorder="1" applyAlignment="1">
      <alignment horizontal="center" vertical="center" wrapText="1"/>
    </xf>
    <xf numFmtId="169" fontId="0" fillId="0" borderId="0" xfId="0" applyNumberFormat="1"/>
    <xf numFmtId="169" fontId="1" fillId="9" borderId="1" xfId="1" applyNumberFormat="1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 wrapText="1"/>
    </xf>
    <xf numFmtId="169" fontId="2" fillId="4" borderId="1" xfId="1" applyNumberFormat="1" applyFont="1" applyFill="1" applyBorder="1" applyAlignment="1">
      <alignment horizontal="center" vertical="center" wrapText="1"/>
    </xf>
    <xf numFmtId="169" fontId="0" fillId="0" borderId="0" xfId="1" applyNumberFormat="1" applyFont="1"/>
    <xf numFmtId="169" fontId="12" fillId="10" borderId="0" xfId="0" applyNumberFormat="1" applyFont="1" applyFill="1" applyBorder="1" applyAlignment="1">
      <alignment horizontal="center" vertical="center"/>
    </xf>
    <xf numFmtId="169" fontId="11" fillId="11" borderId="0" xfId="0" applyNumberFormat="1" applyFont="1" applyFill="1" applyBorder="1" applyAlignment="1">
      <alignment horizontal="center" vertical="center" wrapText="1"/>
    </xf>
    <xf numFmtId="169" fontId="0" fillId="0" borderId="0" xfId="0" applyNumberFormat="1" applyBorder="1"/>
    <xf numFmtId="169" fontId="12" fillId="10" borderId="0" xfId="0" applyNumberFormat="1" applyFont="1" applyFill="1" applyAlignment="1">
      <alignment horizontal="center" vertical="center"/>
    </xf>
    <xf numFmtId="169" fontId="13" fillId="10" borderId="0" xfId="1" applyNumberFormat="1" applyFont="1" applyFill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20" fontId="2" fillId="4" borderId="1" xfId="0" applyNumberFormat="1" applyFont="1" applyFill="1" applyBorder="1" applyAlignment="1">
      <alignment horizontal="center" vertical="center" wrapText="1"/>
    </xf>
    <xf numFmtId="46" fontId="2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F7F9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01"/>
  <sheetViews>
    <sheetView tabSelected="1" zoomScaleNormal="100" workbookViewId="0">
      <pane ySplit="1" topLeftCell="A2113" activePane="bottomLeft" state="frozen"/>
      <selection pane="bottomLeft" activeCell="J2122" sqref="J2122"/>
    </sheetView>
  </sheetViews>
  <sheetFormatPr defaultColWidth="8.6640625" defaultRowHeight="14.4" x14ac:dyDescent="0.3"/>
  <cols>
    <col min="1" max="1" width="20.33203125" customWidth="1"/>
    <col min="2" max="2" width="20.77734375" customWidth="1"/>
    <col min="3" max="3" width="25" customWidth="1"/>
    <col min="4" max="4" width="27.21875" style="53" customWidth="1"/>
    <col min="5" max="5" width="17.21875" style="49" customWidth="1"/>
    <col min="6" max="6" width="17.33203125" style="49" customWidth="1"/>
    <col min="7" max="7" width="20.21875" style="45" customWidth="1"/>
    <col min="8" max="8" width="20.21875" customWidth="1"/>
    <col min="9" max="9" width="20" customWidth="1"/>
    <col min="10" max="10" width="17" style="45" customWidth="1"/>
    <col min="11" max="11" width="22.21875" style="61" customWidth="1"/>
    <col min="12" max="12" width="29.33203125" style="57" customWidth="1"/>
    <col min="13" max="13" width="25.5546875" customWidth="1"/>
    <col min="14" max="14" width="19.77734375" customWidth="1"/>
    <col min="15" max="15" width="23.77734375" customWidth="1"/>
    <col min="16" max="16" width="22.21875" customWidth="1"/>
    <col min="17" max="17" width="17.33203125" style="64" customWidth="1"/>
    <col min="18" max="18" width="9.109375" style="57" bestFit="1" customWidth="1"/>
    <col min="19" max="19" width="8.6640625" style="61"/>
  </cols>
  <sheetData>
    <row r="1" spans="1:19" s="40" customFormat="1" ht="36" customHeight="1" x14ac:dyDescent="0.3">
      <c r="A1" s="39" t="s">
        <v>0</v>
      </c>
      <c r="B1" s="39" t="s">
        <v>1</v>
      </c>
      <c r="C1" s="39" t="s">
        <v>2</v>
      </c>
      <c r="D1" s="50" t="s">
        <v>3</v>
      </c>
      <c r="E1" s="46" t="s">
        <v>5</v>
      </c>
      <c r="F1" s="46" t="s">
        <v>6</v>
      </c>
      <c r="G1" s="42" t="s">
        <v>7</v>
      </c>
      <c r="H1" s="39" t="s">
        <v>8</v>
      </c>
      <c r="I1" s="39" t="s">
        <v>9</v>
      </c>
      <c r="J1" s="42" t="s">
        <v>10</v>
      </c>
      <c r="K1" s="58" t="s">
        <v>11</v>
      </c>
      <c r="L1" s="54" t="s">
        <v>12</v>
      </c>
      <c r="M1" s="39" t="s">
        <v>13</v>
      </c>
      <c r="N1" s="39" t="s">
        <v>14</v>
      </c>
      <c r="O1" s="39" t="s">
        <v>15</v>
      </c>
      <c r="P1" s="39" t="s">
        <v>16</v>
      </c>
      <c r="Q1" s="62" t="s">
        <v>191</v>
      </c>
      <c r="R1" s="65" t="s">
        <v>250</v>
      </c>
      <c r="S1" s="66" t="s">
        <v>751</v>
      </c>
    </row>
    <row r="2" spans="1:19" x14ac:dyDescent="0.3">
      <c r="A2" s="9" t="s">
        <v>140</v>
      </c>
      <c r="B2" s="9" t="s">
        <v>18</v>
      </c>
      <c r="C2" s="9" t="s">
        <v>184</v>
      </c>
      <c r="D2" s="52">
        <v>46085</v>
      </c>
      <c r="E2" s="48">
        <v>0.81180555555555556</v>
      </c>
      <c r="F2" s="48">
        <v>0.82916666666666661</v>
      </c>
      <c r="G2" s="43">
        <f>(F2-E2)*1440</f>
        <v>24.999999999999911</v>
      </c>
      <c r="H2" s="9" t="s">
        <v>199</v>
      </c>
      <c r="I2" s="9" t="s">
        <v>200</v>
      </c>
      <c r="J2" s="44">
        <v>24.44</v>
      </c>
      <c r="K2" s="60">
        <v>14.69</v>
      </c>
      <c r="L2" s="56">
        <v>9.66</v>
      </c>
      <c r="M2" s="14">
        <f>K2-L2</f>
        <v>5.0299999999999994</v>
      </c>
      <c r="N2" s="15">
        <f>IFERROR(M2/K2,0)</f>
        <v>0.34240980258679371</v>
      </c>
      <c r="O2" s="14">
        <f>IFERROR(L2/J2,0)</f>
        <v>0.39525368248772502</v>
      </c>
      <c r="P2" s="41">
        <f>IFERROR(L2/G2,0)</f>
        <v>0.38640000000000135</v>
      </c>
      <c r="Q2" s="64">
        <v>0.7</v>
      </c>
    </row>
    <row r="3" spans="1:19" x14ac:dyDescent="0.3">
      <c r="A3" s="9" t="s">
        <v>130</v>
      </c>
      <c r="B3" s="9" t="s">
        <v>26</v>
      </c>
      <c r="C3" s="9" t="s">
        <v>27</v>
      </c>
      <c r="D3" s="52">
        <v>46085</v>
      </c>
      <c r="E3" s="48">
        <v>0.83888888888888891</v>
      </c>
      <c r="F3" s="48">
        <v>0.84930555555555554</v>
      </c>
      <c r="G3" s="43">
        <f>(F3-E3)*1440</f>
        <v>14.999999999999947</v>
      </c>
      <c r="H3" s="9" t="s">
        <v>181</v>
      </c>
      <c r="I3" s="9" t="s">
        <v>182</v>
      </c>
      <c r="J3" s="44">
        <v>10.199999999999999</v>
      </c>
      <c r="K3" s="60">
        <v>5.9</v>
      </c>
      <c r="L3" s="56">
        <v>4.42</v>
      </c>
      <c r="M3" s="14">
        <f>K3-L3</f>
        <v>1.4800000000000004</v>
      </c>
      <c r="N3" s="15">
        <f>IFERROR(M3/K3,0)</f>
        <v>0.25084745762711869</v>
      </c>
      <c r="O3" s="14">
        <f>IFERROR(L3/J3,0)</f>
        <v>0.43333333333333335</v>
      </c>
      <c r="P3" s="41">
        <f>IFERROR(L3/G3,0)</f>
        <v>0.29466666666666769</v>
      </c>
      <c r="Q3" s="63"/>
    </row>
    <row r="4" spans="1:19" x14ac:dyDescent="0.3">
      <c r="A4" s="9" t="s">
        <v>136</v>
      </c>
      <c r="B4" s="9" t="s">
        <v>18</v>
      </c>
      <c r="C4" s="9" t="s">
        <v>184</v>
      </c>
      <c r="D4" s="52">
        <v>46085</v>
      </c>
      <c r="E4" s="48">
        <v>0.7006944444444444</v>
      </c>
      <c r="F4" s="48">
        <v>0.71666666666666667</v>
      </c>
      <c r="G4" s="43">
        <f>(F4-E4)*1440</f>
        <v>23.000000000000078</v>
      </c>
      <c r="H4" s="9" t="s">
        <v>192</v>
      </c>
      <c r="I4" s="9" t="s">
        <v>2871</v>
      </c>
      <c r="J4" s="44">
        <v>14.49</v>
      </c>
      <c r="K4" s="60">
        <v>9.93</v>
      </c>
      <c r="L4" s="56">
        <v>6.87</v>
      </c>
      <c r="M4" s="14">
        <f>K4-L4</f>
        <v>3.0599999999999996</v>
      </c>
      <c r="N4" s="15">
        <f>IFERROR(M4/K4,0)</f>
        <v>0.30815709969788518</v>
      </c>
      <c r="O4" s="14">
        <f>IFERROR(L4/J4,0)</f>
        <v>0.47412008281573498</v>
      </c>
      <c r="P4" s="14">
        <f>IFERROR(L4/G4,0)</f>
        <v>0.29869565217391203</v>
      </c>
    </row>
    <row r="5" spans="1:19" x14ac:dyDescent="0.3">
      <c r="A5" s="9" t="s">
        <v>132</v>
      </c>
      <c r="B5" s="9" t="s">
        <v>18</v>
      </c>
      <c r="C5" s="9" t="s">
        <v>184</v>
      </c>
      <c r="D5" s="52">
        <v>46085</v>
      </c>
      <c r="E5" s="48">
        <v>0.58750000000000002</v>
      </c>
      <c r="F5" s="48">
        <v>0.60416666666666663</v>
      </c>
      <c r="G5" s="43">
        <f>(F5-E5)*1440</f>
        <v>23.999999999999915</v>
      </c>
      <c r="H5" s="9" t="s">
        <v>2947</v>
      </c>
      <c r="I5" s="9" t="s">
        <v>185</v>
      </c>
      <c r="J5" s="44">
        <v>16.600000000000001</v>
      </c>
      <c r="K5" s="60">
        <v>10.96</v>
      </c>
      <c r="L5" s="56">
        <v>7.99</v>
      </c>
      <c r="M5" s="14">
        <f>K5-L5</f>
        <v>2.9700000000000006</v>
      </c>
      <c r="N5" s="15">
        <f>IFERROR(M5/K5,0)</f>
        <v>0.27098540145985406</v>
      </c>
      <c r="O5" s="14">
        <f>IFERROR(L5/J5,0)</f>
        <v>0.48132530120481926</v>
      </c>
      <c r="P5" s="14">
        <f>IFERROR(L5/G5,0)</f>
        <v>0.33291666666666786</v>
      </c>
      <c r="Q5" s="63"/>
    </row>
    <row r="6" spans="1:19" x14ac:dyDescent="0.3">
      <c r="A6" s="9" t="s">
        <v>25</v>
      </c>
      <c r="B6" s="9" t="s">
        <v>26</v>
      </c>
      <c r="C6" s="9" t="s">
        <v>27</v>
      </c>
      <c r="D6" s="52">
        <v>46085</v>
      </c>
      <c r="E6" s="48">
        <v>0.7993055555555556</v>
      </c>
      <c r="F6" s="48">
        <v>0.81666666666666676</v>
      </c>
      <c r="G6" s="43">
        <f>(F6-E6)*1440</f>
        <v>25.000000000000071</v>
      </c>
      <c r="H6" s="12" t="s">
        <v>128</v>
      </c>
      <c r="I6" s="12" t="s">
        <v>129</v>
      </c>
      <c r="J6" s="44">
        <v>17.2</v>
      </c>
      <c r="K6" s="60">
        <v>11.66</v>
      </c>
      <c r="L6" s="56">
        <v>8.92</v>
      </c>
      <c r="M6" s="14">
        <f>K6-L6</f>
        <v>2.74</v>
      </c>
      <c r="N6" s="15">
        <f>IFERROR(M6/K6,0)</f>
        <v>0.23499142367066897</v>
      </c>
      <c r="O6" s="14">
        <f>IFERROR(L6/J6,0)</f>
        <v>0.51860465116279075</v>
      </c>
      <c r="P6" s="14">
        <f>IFERROR(L6/G6,0)</f>
        <v>0.35679999999999901</v>
      </c>
      <c r="Q6" s="63"/>
    </row>
    <row r="7" spans="1:19" x14ac:dyDescent="0.3">
      <c r="A7" s="9" t="s">
        <v>137</v>
      </c>
      <c r="B7" s="9" t="s">
        <v>18</v>
      </c>
      <c r="C7" s="9" t="s">
        <v>196</v>
      </c>
      <c r="D7" s="52">
        <v>46085</v>
      </c>
      <c r="E7" s="48">
        <v>0.72638888888888886</v>
      </c>
      <c r="F7" s="48">
        <v>0.73541666666666661</v>
      </c>
      <c r="G7" s="43">
        <f>(F7-E7)*1440</f>
        <v>12.999999999999954</v>
      </c>
      <c r="H7" s="9" t="s">
        <v>193</v>
      </c>
      <c r="I7" s="9" t="s">
        <v>1760</v>
      </c>
      <c r="J7" s="44">
        <v>8.07</v>
      </c>
      <c r="K7" s="60">
        <v>5.97</v>
      </c>
      <c r="L7" s="56">
        <v>4.21</v>
      </c>
      <c r="M7" s="14">
        <f>K7-L7</f>
        <v>1.7599999999999998</v>
      </c>
      <c r="N7" s="15">
        <f>IFERROR(M7/K7,0)</f>
        <v>0.29480737018425457</v>
      </c>
      <c r="O7" s="14">
        <f>IFERROR(L7/J7,0)</f>
        <v>0.5216852540272614</v>
      </c>
      <c r="P7" s="14">
        <f>IFERROR(L7/G7,0)</f>
        <v>0.323846153846155</v>
      </c>
    </row>
    <row r="8" spans="1:19" x14ac:dyDescent="0.3">
      <c r="A8" s="9" t="s">
        <v>133</v>
      </c>
      <c r="B8" s="9" t="s">
        <v>18</v>
      </c>
      <c r="C8" s="9" t="s">
        <v>184</v>
      </c>
      <c r="D8" s="52">
        <v>46085</v>
      </c>
      <c r="E8" s="48">
        <v>0.60833333333333328</v>
      </c>
      <c r="F8" s="48">
        <v>0.61805555555555558</v>
      </c>
      <c r="G8" s="43">
        <f>(F8-E8)*1440</f>
        <v>14.00000000000011</v>
      </c>
      <c r="H8" s="9" t="s">
        <v>186</v>
      </c>
      <c r="I8" s="9" t="s">
        <v>187</v>
      </c>
      <c r="J8" s="44">
        <v>7.16</v>
      </c>
      <c r="K8" s="60">
        <v>5.94</v>
      </c>
      <c r="L8" s="56">
        <v>3.86</v>
      </c>
      <c r="M8" s="14">
        <f>K8-L8</f>
        <v>2.0800000000000005</v>
      </c>
      <c r="N8" s="15">
        <f>IFERROR(M8/K8,0)</f>
        <v>0.35016835016835024</v>
      </c>
      <c r="O8" s="14">
        <f>IFERROR(L8/J8,0)</f>
        <v>0.53910614525139666</v>
      </c>
      <c r="P8" s="14">
        <f>IFERROR(L8/G8,0)</f>
        <v>0.27571428571428352</v>
      </c>
      <c r="Q8" s="63"/>
    </row>
    <row r="9" spans="1:19" x14ac:dyDescent="0.3">
      <c r="A9" s="9" t="s">
        <v>134</v>
      </c>
      <c r="B9" s="9" t="s">
        <v>18</v>
      </c>
      <c r="C9" s="9" t="s">
        <v>184</v>
      </c>
      <c r="D9" s="52">
        <v>46085</v>
      </c>
      <c r="E9" s="48">
        <v>0.62361111111111112</v>
      </c>
      <c r="F9" s="48">
        <v>0.63263888888888886</v>
      </c>
      <c r="G9" s="43">
        <f>(F9-E9)*1440</f>
        <v>12.999999999999954</v>
      </c>
      <c r="H9" s="9" t="s">
        <v>188</v>
      </c>
      <c r="I9" s="9" t="s">
        <v>189</v>
      </c>
      <c r="J9" s="44">
        <v>8.61</v>
      </c>
      <c r="K9" s="60">
        <v>7.69</v>
      </c>
      <c r="L9" s="56">
        <v>5.08</v>
      </c>
      <c r="M9" s="14">
        <f>K9-L9</f>
        <v>2.6100000000000003</v>
      </c>
      <c r="N9" s="15">
        <f>IFERROR(M9/K9,0)</f>
        <v>0.33940182054616386</v>
      </c>
      <c r="O9" s="14">
        <f>IFERROR(L9/J9,0)</f>
        <v>0.59001161440185834</v>
      </c>
      <c r="P9" s="14">
        <f>IFERROR(L9/G9,0)</f>
        <v>0.39076923076923215</v>
      </c>
      <c r="Q9" s="63"/>
    </row>
    <row r="10" spans="1:19" x14ac:dyDescent="0.3">
      <c r="A10" s="9" t="s">
        <v>139</v>
      </c>
      <c r="B10" s="9" t="s">
        <v>18</v>
      </c>
      <c r="C10" s="9" t="s">
        <v>184</v>
      </c>
      <c r="D10" s="52">
        <v>46085</v>
      </c>
      <c r="E10" s="48">
        <v>0.78055555555555556</v>
      </c>
      <c r="F10" s="48">
        <v>0.7895833333333333</v>
      </c>
      <c r="G10" s="43">
        <f>(F10-E10)*1440</f>
        <v>12.999999999999954</v>
      </c>
      <c r="H10" s="9" t="s">
        <v>197</v>
      </c>
      <c r="I10" s="9" t="s">
        <v>198</v>
      </c>
      <c r="J10" s="44">
        <v>10.56</v>
      </c>
      <c r="K10" s="60">
        <v>8.9600000000000009</v>
      </c>
      <c r="L10" s="56">
        <v>6.53</v>
      </c>
      <c r="M10" s="14">
        <f>K10-L10</f>
        <v>2.4300000000000006</v>
      </c>
      <c r="N10" s="15">
        <f>IFERROR(M10/K10,0)</f>
        <v>0.27120535714285721</v>
      </c>
      <c r="O10" s="14">
        <f>IFERROR(L10/J10,0)</f>
        <v>0.61837121212121215</v>
      </c>
      <c r="P10" s="14">
        <f>IFERROR(L10/G10,0)</f>
        <v>0.50230769230769412</v>
      </c>
    </row>
    <row r="11" spans="1:19" x14ac:dyDescent="0.3">
      <c r="A11" s="9" t="s">
        <v>135</v>
      </c>
      <c r="B11" s="9" t="s">
        <v>18</v>
      </c>
      <c r="C11" s="9" t="s">
        <v>184</v>
      </c>
      <c r="D11" s="52">
        <v>46085</v>
      </c>
      <c r="E11" s="48">
        <v>0.66805555555555562</v>
      </c>
      <c r="F11" s="48">
        <v>0.68541666666666667</v>
      </c>
      <c r="G11" s="43">
        <f>(F11-E11)*1440</f>
        <v>24.999999999999911</v>
      </c>
      <c r="H11" s="9" t="s">
        <v>190</v>
      </c>
      <c r="I11" s="9" t="s">
        <v>2949</v>
      </c>
      <c r="J11" s="44">
        <v>19.36</v>
      </c>
      <c r="K11" s="60">
        <v>16.54</v>
      </c>
      <c r="L11" s="56">
        <v>13.22</v>
      </c>
      <c r="M11" s="14">
        <f>K11-L11</f>
        <v>3.3199999999999985</v>
      </c>
      <c r="N11" s="15">
        <f>IFERROR(M11/K11,0)</f>
        <v>0.20072551390568311</v>
      </c>
      <c r="O11" s="14">
        <f>IFERROR(L11/J11,0)</f>
        <v>0.68285123966942152</v>
      </c>
      <c r="P11" s="14">
        <f>IFERROR(L11/G11,0)</f>
        <v>0.52880000000000194</v>
      </c>
      <c r="Q11" s="64">
        <v>1.6</v>
      </c>
    </row>
    <row r="12" spans="1:19" x14ac:dyDescent="0.3">
      <c r="A12" s="9" t="s">
        <v>131</v>
      </c>
      <c r="B12" s="9" t="s">
        <v>26</v>
      </c>
      <c r="C12" s="9" t="s">
        <v>27</v>
      </c>
      <c r="D12" s="52">
        <v>46085</v>
      </c>
      <c r="E12" s="48">
        <v>0.86875000000000002</v>
      </c>
      <c r="F12" s="48">
        <v>0.87847222222222221</v>
      </c>
      <c r="G12" s="43">
        <f>(F12-E12)*1440</f>
        <v>13.99999999999995</v>
      </c>
      <c r="H12" s="9" t="s">
        <v>1120</v>
      </c>
      <c r="I12" s="9" t="s">
        <v>183</v>
      </c>
      <c r="J12" s="44">
        <v>5.6</v>
      </c>
      <c r="K12" s="60">
        <v>7.18</v>
      </c>
      <c r="L12" s="56">
        <v>5.38</v>
      </c>
      <c r="M12" s="14">
        <f>K12-L12</f>
        <v>1.7999999999999998</v>
      </c>
      <c r="N12" s="15">
        <f>IFERROR(M12/K12,0)</f>
        <v>0.25069637883008355</v>
      </c>
      <c r="O12" s="14">
        <f>IFERROR(L12/J12,0)</f>
        <v>0.96071428571428574</v>
      </c>
      <c r="P12" s="14">
        <f>IFERROR(L12/G12,0)</f>
        <v>0.38428571428571562</v>
      </c>
      <c r="Q12" s="63"/>
    </row>
    <row r="13" spans="1:19" x14ac:dyDescent="0.3">
      <c r="A13" s="2" t="s">
        <v>17</v>
      </c>
      <c r="B13" s="2" t="s">
        <v>26</v>
      </c>
      <c r="C13" s="2" t="s">
        <v>26</v>
      </c>
      <c r="D13" s="51">
        <v>46085</v>
      </c>
      <c r="E13" s="47">
        <v>0.7729166666666667</v>
      </c>
      <c r="F13" s="47">
        <v>0.77708333333333324</v>
      </c>
      <c r="G13" s="43">
        <f>(F13-E13)*1440</f>
        <v>5.9999999999998188</v>
      </c>
      <c r="H13" s="5" t="s">
        <v>126</v>
      </c>
      <c r="I13" s="5" t="s">
        <v>127</v>
      </c>
      <c r="J13" s="43">
        <v>2.2000000000000002</v>
      </c>
      <c r="K13" s="59">
        <v>6.12</v>
      </c>
      <c r="L13" s="55">
        <v>4.59</v>
      </c>
      <c r="M13" s="7">
        <f>K13-L13</f>
        <v>1.5300000000000002</v>
      </c>
      <c r="N13" s="8">
        <f>IFERROR(M13/K13,0)</f>
        <v>0.25000000000000006</v>
      </c>
      <c r="O13" s="7">
        <f>IFERROR(L13/J13,0)</f>
        <v>2.086363636363636</v>
      </c>
      <c r="P13" s="7">
        <f>IFERROR(L13/G13,0)</f>
        <v>0.76500000000002311</v>
      </c>
      <c r="Q13" s="63"/>
    </row>
    <row r="14" spans="1:19" x14ac:dyDescent="0.3">
      <c r="A14" s="9" t="s">
        <v>138</v>
      </c>
      <c r="B14" s="9" t="s">
        <v>18</v>
      </c>
      <c r="C14" s="9" t="s">
        <v>196</v>
      </c>
      <c r="D14" s="52">
        <v>46085</v>
      </c>
      <c r="E14" s="48">
        <v>0.7583333333333333</v>
      </c>
      <c r="F14" s="48">
        <v>0.76111111111111107</v>
      </c>
      <c r="G14" s="43">
        <f>(F14-E14)*1440</f>
        <v>3.9999999999999858</v>
      </c>
      <c r="H14" s="9" t="s">
        <v>194</v>
      </c>
      <c r="I14" s="9" t="s">
        <v>195</v>
      </c>
      <c r="J14" s="44">
        <v>2.11</v>
      </c>
      <c r="K14" s="60">
        <v>6.98</v>
      </c>
      <c r="L14" s="56">
        <v>4.54</v>
      </c>
      <c r="M14" s="14">
        <f>K14-L14</f>
        <v>2.4400000000000004</v>
      </c>
      <c r="N14" s="15">
        <f>IFERROR(M14/K14,0)</f>
        <v>0.34957020057306593</v>
      </c>
      <c r="O14" s="14">
        <f>IFERROR(L14/J14,0)</f>
        <v>2.1516587677725121</v>
      </c>
      <c r="P14" s="14">
        <f>IFERROR(L14/G14,0)</f>
        <v>1.135000000000004</v>
      </c>
    </row>
    <row r="15" spans="1:19" x14ac:dyDescent="0.3">
      <c r="A15" s="9" t="s">
        <v>156</v>
      </c>
      <c r="B15" s="9" t="s">
        <v>18</v>
      </c>
      <c r="C15" s="9" t="s">
        <v>184</v>
      </c>
      <c r="D15" s="52">
        <v>46086</v>
      </c>
      <c r="E15" s="48">
        <v>0.88750000000000007</v>
      </c>
      <c r="F15" s="48">
        <v>0.8979166666666667</v>
      </c>
      <c r="G15" s="43">
        <f>(F15-E15)*1440</f>
        <v>14.999999999999947</v>
      </c>
      <c r="H15" s="9" t="s">
        <v>228</v>
      </c>
      <c r="I15" s="9" t="s">
        <v>229</v>
      </c>
      <c r="J15" s="44">
        <v>9.27</v>
      </c>
      <c r="K15" s="60">
        <v>5.96</v>
      </c>
      <c r="L15" s="56">
        <v>4.3600000000000003</v>
      </c>
      <c r="M15" s="14">
        <f>K15-L15</f>
        <v>1.5999999999999996</v>
      </c>
      <c r="N15" s="15">
        <f>IFERROR(M15/K15,0)</f>
        <v>0.26845637583892612</v>
      </c>
      <c r="O15" s="14">
        <f>IFERROR(L15/J15,0)</f>
        <v>0.47033441208198495</v>
      </c>
      <c r="P15" s="14">
        <f>IFERROR(L15/G15,0)</f>
        <v>0.29066666666666774</v>
      </c>
    </row>
    <row r="16" spans="1:19" x14ac:dyDescent="0.3">
      <c r="A16" s="9" t="s">
        <v>145</v>
      </c>
      <c r="B16" s="9" t="s">
        <v>26</v>
      </c>
      <c r="C16" s="9" t="s">
        <v>27</v>
      </c>
      <c r="D16" s="52">
        <v>46086</v>
      </c>
      <c r="E16" s="48">
        <v>0.73333333333333339</v>
      </c>
      <c r="F16" s="48">
        <v>0.74652777777777779</v>
      </c>
      <c r="G16" s="43">
        <f>(F16-E16)*1440</f>
        <v>18.999999999999932</v>
      </c>
      <c r="H16" s="9" t="s">
        <v>206</v>
      </c>
      <c r="I16" s="9" t="s">
        <v>207</v>
      </c>
      <c r="J16" s="44">
        <v>16.3</v>
      </c>
      <c r="K16" s="60">
        <v>10.36</v>
      </c>
      <c r="L16" s="56">
        <v>7.77</v>
      </c>
      <c r="M16" s="14">
        <f>K16-L16</f>
        <v>2.59</v>
      </c>
      <c r="N16" s="15">
        <f>IFERROR(M16/K16,0)</f>
        <v>0.25</v>
      </c>
      <c r="O16" s="14">
        <f>IFERROR(L16/J16,0)</f>
        <v>0.47668711656441715</v>
      </c>
      <c r="P16" s="14">
        <f>IFERROR(L16/G16,0)</f>
        <v>0.40894736842105406</v>
      </c>
    </row>
    <row r="17" spans="1:17" x14ac:dyDescent="0.3">
      <c r="A17" s="9" t="s">
        <v>144</v>
      </c>
      <c r="B17" s="9" t="s">
        <v>26</v>
      </c>
      <c r="C17" s="9" t="s">
        <v>27</v>
      </c>
      <c r="D17" s="52">
        <v>46086</v>
      </c>
      <c r="E17" s="48">
        <v>0.68819444444444444</v>
      </c>
      <c r="F17" s="48">
        <v>0.71597222222222223</v>
      </c>
      <c r="G17" s="43">
        <f>(F17-E17)*1440</f>
        <v>40.000000000000014</v>
      </c>
      <c r="H17" s="9" t="s">
        <v>204</v>
      </c>
      <c r="I17" s="9" t="s">
        <v>205</v>
      </c>
      <c r="J17" s="44">
        <v>18.100000000000001</v>
      </c>
      <c r="K17" s="60">
        <v>10.07</v>
      </c>
      <c r="L17" s="56">
        <v>9.44</v>
      </c>
      <c r="M17" s="14">
        <f>K17-L17</f>
        <v>0.63000000000000078</v>
      </c>
      <c r="N17" s="15">
        <f>IFERROR(M17/K17,0)</f>
        <v>6.2562065541211589E-2</v>
      </c>
      <c r="O17" s="14">
        <f>IFERROR(L17/J17,0)</f>
        <v>0.52154696132596678</v>
      </c>
      <c r="P17" s="14">
        <f>IFERROR(L17/G17,0)</f>
        <v>0.2359999999999999</v>
      </c>
    </row>
    <row r="18" spans="1:17" x14ac:dyDescent="0.3">
      <c r="A18" s="9" t="s">
        <v>153</v>
      </c>
      <c r="B18" s="9" t="s">
        <v>18</v>
      </c>
      <c r="C18" s="9" t="s">
        <v>184</v>
      </c>
      <c r="D18" s="52">
        <v>46086</v>
      </c>
      <c r="E18" s="48">
        <v>0.59513888888888888</v>
      </c>
      <c r="F18" s="48">
        <v>0.60833333333333328</v>
      </c>
      <c r="G18" s="43">
        <f>(F18-E18)*1440</f>
        <v>18.999999999999932</v>
      </c>
      <c r="H18" s="9" t="s">
        <v>222</v>
      </c>
      <c r="I18" s="9" t="s">
        <v>223</v>
      </c>
      <c r="J18" s="44">
        <v>8.58</v>
      </c>
      <c r="K18" s="60">
        <v>6.96</v>
      </c>
      <c r="L18" s="56">
        <v>4.76</v>
      </c>
      <c r="M18" s="14">
        <f>K18-L18</f>
        <v>2.2000000000000002</v>
      </c>
      <c r="N18" s="15">
        <f>IFERROR(M18/K18,0)</f>
        <v>0.31609195402298851</v>
      </c>
      <c r="O18" s="14">
        <f>IFERROR(L18/J18,0)</f>
        <v>0.55477855477855476</v>
      </c>
      <c r="P18" s="14">
        <f>IFERROR(L18/G18,0)</f>
        <v>0.25052631578947454</v>
      </c>
    </row>
    <row r="19" spans="1:17" x14ac:dyDescent="0.3">
      <c r="A19" s="9" t="s">
        <v>151</v>
      </c>
      <c r="B19" s="9" t="s">
        <v>26</v>
      </c>
      <c r="C19" s="9" t="s">
        <v>27</v>
      </c>
      <c r="D19" s="52">
        <v>46086</v>
      </c>
      <c r="E19" s="48">
        <v>0.86875000000000002</v>
      </c>
      <c r="F19" s="48">
        <v>0.87847222222222221</v>
      </c>
      <c r="G19" s="43">
        <f>(F19-E19)*1440</f>
        <v>13.99999999999995</v>
      </c>
      <c r="H19" s="9" t="s">
        <v>218</v>
      </c>
      <c r="I19" s="9" t="s">
        <v>219</v>
      </c>
      <c r="J19" s="44">
        <v>6.5</v>
      </c>
      <c r="K19" s="60">
        <v>4.5</v>
      </c>
      <c r="L19" s="56">
        <v>4.13</v>
      </c>
      <c r="M19" s="14">
        <f>K19-L19</f>
        <v>0.37000000000000011</v>
      </c>
      <c r="N19" s="15">
        <f>IFERROR(M19/K19,0)</f>
        <v>8.2222222222222252E-2</v>
      </c>
      <c r="O19" s="14">
        <f>IFERROR(L19/J19,0)</f>
        <v>0.63538461538461533</v>
      </c>
      <c r="P19" s="14">
        <f>IFERROR(L19/G19,0)</f>
        <v>0.29500000000000104</v>
      </c>
    </row>
    <row r="20" spans="1:17" x14ac:dyDescent="0.3">
      <c r="A20" s="9" t="s">
        <v>155</v>
      </c>
      <c r="B20" s="9" t="s">
        <v>18</v>
      </c>
      <c r="C20" s="9" t="s">
        <v>196</v>
      </c>
      <c r="D20" s="52">
        <v>46086</v>
      </c>
      <c r="E20" s="48">
        <v>0.84027777777777779</v>
      </c>
      <c r="F20" s="48">
        <v>0.85486111111111107</v>
      </c>
      <c r="G20" s="43">
        <f>(F20-E20)*1440</f>
        <v>20.999999999999925</v>
      </c>
      <c r="H20" s="9" t="s">
        <v>226</v>
      </c>
      <c r="I20" s="9" t="s">
        <v>227</v>
      </c>
      <c r="J20" s="44">
        <v>9.93</v>
      </c>
      <c r="K20" s="60">
        <v>8.99</v>
      </c>
      <c r="L20" s="56">
        <v>6.9</v>
      </c>
      <c r="M20" s="14">
        <f>K20-L20</f>
        <v>2.09</v>
      </c>
      <c r="N20" s="15">
        <f>IFERROR(M20/K20,0)</f>
        <v>0.23248053392658508</v>
      </c>
      <c r="O20" s="14">
        <f>IFERROR(L20/J20,0)</f>
        <v>0.69486404833836868</v>
      </c>
      <c r="P20" s="14">
        <f>IFERROR(L20/G20,0)</f>
        <v>0.32857142857142974</v>
      </c>
    </row>
    <row r="21" spans="1:17" x14ac:dyDescent="0.3">
      <c r="A21" s="9" t="s">
        <v>152</v>
      </c>
      <c r="B21" s="9" t="s">
        <v>26</v>
      </c>
      <c r="C21" s="9" t="s">
        <v>27</v>
      </c>
      <c r="D21" s="52">
        <v>46086</v>
      </c>
      <c r="E21" s="48">
        <v>0.90555555555555556</v>
      </c>
      <c r="F21" s="48">
        <v>0.91249999999999998</v>
      </c>
      <c r="G21" s="43">
        <f>(F21-E21)*1440</f>
        <v>9.9999999999999645</v>
      </c>
      <c r="H21" s="9" t="s">
        <v>220</v>
      </c>
      <c r="I21" s="9" t="s">
        <v>221</v>
      </c>
      <c r="J21" s="44">
        <v>3.9</v>
      </c>
      <c r="K21" s="60">
        <v>3.63</v>
      </c>
      <c r="L21" s="56">
        <v>3.02</v>
      </c>
      <c r="M21" s="14">
        <f>K21-L21</f>
        <v>0.60999999999999988</v>
      </c>
      <c r="N21" s="15">
        <f>IFERROR(M21/K21,0)</f>
        <v>0.1680440771349862</v>
      </c>
      <c r="O21" s="14">
        <f>IFERROR(L21/J21,0)</f>
        <v>0.77435897435897438</v>
      </c>
      <c r="P21" s="14">
        <f>IFERROR(L21/G21,0)</f>
        <v>0.3020000000000011</v>
      </c>
    </row>
    <row r="22" spans="1:17" x14ac:dyDescent="0.3">
      <c r="A22" s="9" t="s">
        <v>150</v>
      </c>
      <c r="B22" s="9" t="s">
        <v>26</v>
      </c>
      <c r="C22" s="9" t="s">
        <v>27</v>
      </c>
      <c r="D22" s="52">
        <v>46086</v>
      </c>
      <c r="E22" s="48">
        <v>0.8041666666666667</v>
      </c>
      <c r="F22" s="48">
        <v>0.81666666666666676</v>
      </c>
      <c r="G22" s="43">
        <f>(F22-E22)*1440</f>
        <v>18.000000000000096</v>
      </c>
      <c r="H22" s="9" t="s">
        <v>216</v>
      </c>
      <c r="I22" s="9" t="s">
        <v>217</v>
      </c>
      <c r="J22" s="44">
        <v>7.7</v>
      </c>
      <c r="K22" s="60">
        <v>7.3</v>
      </c>
      <c r="L22" s="56">
        <v>6.02</v>
      </c>
      <c r="M22" s="14">
        <f>K22-L22</f>
        <v>1.2800000000000002</v>
      </c>
      <c r="N22" s="15">
        <f>IFERROR(M22/K22,0)</f>
        <v>0.17534246575342469</v>
      </c>
      <c r="O22" s="14">
        <f>IFERROR(L22/J22,0)</f>
        <v>0.78181818181818175</v>
      </c>
      <c r="P22" s="14">
        <f>IFERROR(L22/G22,0)</f>
        <v>0.33444444444444266</v>
      </c>
    </row>
    <row r="23" spans="1:17" x14ac:dyDescent="0.3">
      <c r="A23" s="9" t="s">
        <v>142</v>
      </c>
      <c r="B23" s="9" t="s">
        <v>26</v>
      </c>
      <c r="C23" s="9" t="s">
        <v>27</v>
      </c>
      <c r="D23" s="52">
        <v>46086</v>
      </c>
      <c r="E23" s="48">
        <v>0.62986111111111109</v>
      </c>
      <c r="F23" s="48">
        <v>0.6479166666666667</v>
      </c>
      <c r="G23" s="43">
        <f>(F23-E23)*1440</f>
        <v>26.000000000000068</v>
      </c>
      <c r="H23" s="9" t="s">
        <v>202</v>
      </c>
      <c r="I23" s="9" t="s">
        <v>1120</v>
      </c>
      <c r="J23" s="44">
        <v>7.7</v>
      </c>
      <c r="K23" s="60">
        <v>7.66</v>
      </c>
      <c r="L23" s="56">
        <v>6.31</v>
      </c>
      <c r="M23" s="14">
        <f>K23-L23</f>
        <v>1.3500000000000005</v>
      </c>
      <c r="N23" s="15">
        <f>IFERROR(M23/K23,0)</f>
        <v>0.17624020887728467</v>
      </c>
      <c r="O23" s="14">
        <f>IFERROR(L23/J23,0)</f>
        <v>0.81948051948051936</v>
      </c>
      <c r="P23" s="14">
        <f>IFERROR(L23/G23,0)</f>
        <v>0.24269230769230704</v>
      </c>
    </row>
    <row r="24" spans="1:17" x14ac:dyDescent="0.3">
      <c r="A24" s="9" t="s">
        <v>143</v>
      </c>
      <c r="B24" s="9" t="s">
        <v>26</v>
      </c>
      <c r="C24" s="9" t="s">
        <v>26</v>
      </c>
      <c r="D24" s="52">
        <v>46086</v>
      </c>
      <c r="E24" s="48">
        <v>0.65347222222222223</v>
      </c>
      <c r="F24" s="48">
        <v>0.67638888888888893</v>
      </c>
      <c r="G24" s="43">
        <f>(F24-E24)*1440</f>
        <v>33.000000000000043</v>
      </c>
      <c r="H24" s="9" t="s">
        <v>1120</v>
      </c>
      <c r="I24" s="9" t="s">
        <v>203</v>
      </c>
      <c r="J24" s="44">
        <v>10.9</v>
      </c>
      <c r="K24" s="60">
        <v>10.9</v>
      </c>
      <c r="L24" s="56">
        <v>8.98</v>
      </c>
      <c r="M24" s="14">
        <f>K24-L24</f>
        <v>1.92</v>
      </c>
      <c r="N24" s="15">
        <f>IFERROR(M24/K24,0)</f>
        <v>0.17614678899082567</v>
      </c>
      <c r="O24" s="14">
        <f>IFERROR(L24/J24,0)</f>
        <v>0.8238532110091743</v>
      </c>
      <c r="P24" s="14">
        <f>IFERROR(L24/G24,0)</f>
        <v>0.27212121212121176</v>
      </c>
    </row>
    <row r="25" spans="1:17" x14ac:dyDescent="0.3">
      <c r="A25" s="9" t="s">
        <v>148</v>
      </c>
      <c r="B25" s="9" t="s">
        <v>26</v>
      </c>
      <c r="C25" s="9" t="s">
        <v>27</v>
      </c>
      <c r="D25" s="52">
        <v>46086</v>
      </c>
      <c r="E25" s="48">
        <v>0.78194444444444444</v>
      </c>
      <c r="F25" s="48">
        <v>0.79305555555555562</v>
      </c>
      <c r="G25" s="43">
        <f>(F25-E25)*1440</f>
        <v>16.000000000000103</v>
      </c>
      <c r="H25" s="9" t="s">
        <v>212</v>
      </c>
      <c r="I25" s="9" t="s">
        <v>213</v>
      </c>
      <c r="J25" s="44">
        <v>8.6999999999999993</v>
      </c>
      <c r="K25" s="60">
        <v>7.9</v>
      </c>
      <c r="L25" s="56">
        <v>7.41</v>
      </c>
      <c r="M25" s="14">
        <f>K25-L25</f>
        <v>0.49000000000000021</v>
      </c>
      <c r="N25" s="15">
        <f>IFERROR(M25/K25,0)</f>
        <v>6.2025316455696228E-2</v>
      </c>
      <c r="O25" s="14">
        <f>IFERROR(L25/J25,0)</f>
        <v>0.85172413793103452</v>
      </c>
      <c r="P25" s="14">
        <f>IFERROR(L25/G25,0)</f>
        <v>0.46312499999999701</v>
      </c>
    </row>
    <row r="26" spans="1:17" x14ac:dyDescent="0.3">
      <c r="A26" s="9" t="s">
        <v>154</v>
      </c>
      <c r="B26" s="9" t="s">
        <v>18</v>
      </c>
      <c r="C26" s="9" t="s">
        <v>184</v>
      </c>
      <c r="D26" s="52">
        <v>46086</v>
      </c>
      <c r="E26" s="48">
        <v>0.81944444444444453</v>
      </c>
      <c r="F26" s="48">
        <v>0.8354166666666667</v>
      </c>
      <c r="G26" s="43">
        <f>(F26-E26)*1440</f>
        <v>22.999999999999918</v>
      </c>
      <c r="H26" s="9" t="s">
        <v>224</v>
      </c>
      <c r="I26" s="9" t="s">
        <v>225</v>
      </c>
      <c r="J26" s="44">
        <v>5.96</v>
      </c>
      <c r="K26" s="60">
        <v>6.96</v>
      </c>
      <c r="L26" s="56">
        <v>5.93</v>
      </c>
      <c r="M26" s="14">
        <f>K26-L26</f>
        <v>1.0300000000000002</v>
      </c>
      <c r="N26" s="15">
        <f>IFERROR(M26/K26,0)</f>
        <v>0.14798850574712646</v>
      </c>
      <c r="O26" s="14">
        <f>IFERROR(L26/J26,0)</f>
        <v>0.99496644295302006</v>
      </c>
      <c r="P26" s="14">
        <f>IFERROR(L26/G26,0)</f>
        <v>0.25782608695652265</v>
      </c>
    </row>
    <row r="27" spans="1:17" x14ac:dyDescent="0.3">
      <c r="A27" s="9" t="s">
        <v>146</v>
      </c>
      <c r="B27" s="9" t="s">
        <v>26</v>
      </c>
      <c r="C27" s="9" t="s">
        <v>27</v>
      </c>
      <c r="D27" s="52">
        <v>46086</v>
      </c>
      <c r="E27" s="48">
        <v>0.75624999999999998</v>
      </c>
      <c r="F27" s="48">
        <v>0.7680555555555556</v>
      </c>
      <c r="G27" s="43">
        <f>(F27-E27)*1440</f>
        <v>17.000000000000099</v>
      </c>
      <c r="H27" s="9" t="s">
        <v>208</v>
      </c>
      <c r="I27" s="9" t="s">
        <v>209</v>
      </c>
      <c r="J27" s="44">
        <v>5.2</v>
      </c>
      <c r="K27" s="60">
        <v>6.45</v>
      </c>
      <c r="L27" s="56">
        <v>5.38</v>
      </c>
      <c r="M27" s="14">
        <f>K27-L27</f>
        <v>1.0700000000000003</v>
      </c>
      <c r="N27" s="15">
        <f>IFERROR(M27/K27,0)</f>
        <v>0.16589147286821709</v>
      </c>
      <c r="O27" s="14">
        <f>IFERROR(L27/J27,0)</f>
        <v>1.0346153846153845</v>
      </c>
      <c r="P27" s="14">
        <f>IFERROR(L27/G27,0)</f>
        <v>0.31647058823529228</v>
      </c>
    </row>
    <row r="28" spans="1:17" x14ac:dyDescent="0.3">
      <c r="A28" s="9" t="s">
        <v>141</v>
      </c>
      <c r="B28" s="9" t="s">
        <v>26</v>
      </c>
      <c r="C28" s="9" t="s">
        <v>26</v>
      </c>
      <c r="D28" s="52">
        <v>46086</v>
      </c>
      <c r="E28" s="48">
        <v>0.61527777777777781</v>
      </c>
      <c r="F28" s="48">
        <v>0.62361111111111112</v>
      </c>
      <c r="G28" s="43">
        <f>(F28-E28)*1440</f>
        <v>11.999999999999957</v>
      </c>
      <c r="H28" s="9" t="s">
        <v>201</v>
      </c>
      <c r="I28" s="9" t="s">
        <v>2165</v>
      </c>
      <c r="J28" s="44">
        <v>2.2999999999999998</v>
      </c>
      <c r="K28" s="60">
        <v>4.18</v>
      </c>
      <c r="L28" s="56">
        <v>3.13</v>
      </c>
      <c r="M28" s="14">
        <f>K28-L28</f>
        <v>1.0499999999999998</v>
      </c>
      <c r="N28" s="15">
        <f>IFERROR(M28/K28,0)</f>
        <v>0.25119617224880381</v>
      </c>
      <c r="O28" s="14">
        <f>IFERROR(L28/J28,0)</f>
        <v>1.3608695652173914</v>
      </c>
      <c r="P28" s="14">
        <f>IFERROR(L28/G28,0)</f>
        <v>0.26083333333333425</v>
      </c>
    </row>
    <row r="29" spans="1:17" x14ac:dyDescent="0.3">
      <c r="A29" s="9" t="s">
        <v>147</v>
      </c>
      <c r="B29" s="9" t="s">
        <v>26</v>
      </c>
      <c r="C29" s="9" t="s">
        <v>27</v>
      </c>
      <c r="D29" s="52">
        <v>46086</v>
      </c>
      <c r="E29" s="48">
        <v>0.77083333333333337</v>
      </c>
      <c r="F29" s="48">
        <v>0.77638888888888891</v>
      </c>
      <c r="G29" s="43">
        <f>(F29-E29)*1440</f>
        <v>7.9999999999999716</v>
      </c>
      <c r="H29" s="9" t="s">
        <v>210</v>
      </c>
      <c r="I29" s="9" t="s">
        <v>211</v>
      </c>
      <c r="J29" s="44">
        <v>3.3</v>
      </c>
      <c r="K29" s="60">
        <v>6.2</v>
      </c>
      <c r="L29" s="56">
        <v>4.6500000000000004</v>
      </c>
      <c r="M29" s="14">
        <f>K29-L29</f>
        <v>1.5499999999999998</v>
      </c>
      <c r="N29" s="15">
        <f>IFERROR(M29/K29,0)</f>
        <v>0.24999999999999997</v>
      </c>
      <c r="O29" s="14">
        <f>IFERROR(L29/J29,0)</f>
        <v>1.4090909090909092</v>
      </c>
      <c r="P29" s="14">
        <f>IFERROR(L29/G29,0)</f>
        <v>0.58125000000000215</v>
      </c>
    </row>
    <row r="30" spans="1:17" x14ac:dyDescent="0.3">
      <c r="A30" s="9" t="s">
        <v>149</v>
      </c>
      <c r="B30" s="9" t="s">
        <v>26</v>
      </c>
      <c r="C30" s="9" t="s">
        <v>27</v>
      </c>
      <c r="D30" s="52">
        <v>46086</v>
      </c>
      <c r="E30" s="48">
        <v>0.79652777777777783</v>
      </c>
      <c r="F30" s="48">
        <v>0.80138888888888893</v>
      </c>
      <c r="G30" s="43">
        <f>(F30-E30)*1440</f>
        <v>6.9999999999999751</v>
      </c>
      <c r="H30" s="9" t="s">
        <v>214</v>
      </c>
      <c r="I30" s="9" t="s">
        <v>215</v>
      </c>
      <c r="J30" s="44">
        <v>1.3</v>
      </c>
      <c r="K30" s="60">
        <v>3.77</v>
      </c>
      <c r="L30" s="56">
        <v>4.04</v>
      </c>
      <c r="M30" s="14">
        <f>K30-L30</f>
        <v>-0.27</v>
      </c>
      <c r="N30" s="15">
        <f>IFERROR(M30/K30,0)</f>
        <v>-7.161803713527852E-2</v>
      </c>
      <c r="O30" s="14">
        <f>IFERROR(L30/J30,0)</f>
        <v>3.1076923076923078</v>
      </c>
      <c r="P30" s="14">
        <f>IFERROR(L30/G30,0)</f>
        <v>0.57714285714285918</v>
      </c>
    </row>
    <row r="31" spans="1:17" x14ac:dyDescent="0.3">
      <c r="A31" s="9" t="s">
        <v>165</v>
      </c>
      <c r="B31" s="9" t="s">
        <v>26</v>
      </c>
      <c r="C31" s="9" t="s">
        <v>27</v>
      </c>
      <c r="D31" s="52">
        <v>46087</v>
      </c>
      <c r="E31" s="48">
        <v>0.6972222222222223</v>
      </c>
      <c r="F31" s="48">
        <v>0.71805555555555556</v>
      </c>
      <c r="G31" s="43">
        <f>(F31-E31)*1440</f>
        <v>29.999999999999893</v>
      </c>
      <c r="H31" s="9" t="s">
        <v>246</v>
      </c>
      <c r="I31" s="9" t="s">
        <v>247</v>
      </c>
      <c r="J31" s="44">
        <v>22.7</v>
      </c>
      <c r="K31" s="60">
        <v>10.3</v>
      </c>
      <c r="L31" s="56">
        <v>9.76</v>
      </c>
      <c r="M31" s="14">
        <f>K31-L31</f>
        <v>0.54000000000000092</v>
      </c>
      <c r="N31" s="15">
        <f>IFERROR(M31/K31,0)</f>
        <v>5.2427184466019502E-2</v>
      </c>
      <c r="O31" s="14">
        <f>IFERROR(L31/J31,0)</f>
        <v>0.42995594713656388</v>
      </c>
      <c r="P31" s="14">
        <f>IFERROR(L31/G31,0)</f>
        <v>0.32533333333333447</v>
      </c>
      <c r="Q31" s="64">
        <v>0.4</v>
      </c>
    </row>
    <row r="32" spans="1:17" x14ac:dyDescent="0.3">
      <c r="A32" s="9" t="s">
        <v>158</v>
      </c>
      <c r="B32" s="9" t="s">
        <v>18</v>
      </c>
      <c r="C32" s="9" t="s">
        <v>184</v>
      </c>
      <c r="D32" s="52">
        <v>46087</v>
      </c>
      <c r="E32" s="48">
        <v>0.63611111111111118</v>
      </c>
      <c r="F32" s="48">
        <v>0.64861111111111114</v>
      </c>
      <c r="G32" s="43">
        <f>(F32-E32)*1440</f>
        <v>17.999999999999936</v>
      </c>
      <c r="H32" s="9" t="s">
        <v>233</v>
      </c>
      <c r="I32" s="9" t="s">
        <v>234</v>
      </c>
      <c r="J32" s="44">
        <v>11.92</v>
      </c>
      <c r="K32" s="60">
        <v>7.94</v>
      </c>
      <c r="L32" s="56">
        <v>5.16</v>
      </c>
      <c r="M32" s="14">
        <f>K32-L32</f>
        <v>2.7800000000000002</v>
      </c>
      <c r="N32" s="15">
        <f>IFERROR(M32/K32,0)</f>
        <v>0.3501259445843829</v>
      </c>
      <c r="O32" s="14">
        <f>IFERROR(L32/J32,0)</f>
        <v>0.4328859060402685</v>
      </c>
      <c r="P32" s="14">
        <f>IFERROR(L32/G32,0)</f>
        <v>0.28666666666666768</v>
      </c>
    </row>
    <row r="33" spans="1:18" x14ac:dyDescent="0.3">
      <c r="A33" s="9" t="s">
        <v>173</v>
      </c>
      <c r="B33" s="9" t="s">
        <v>26</v>
      </c>
      <c r="C33" s="9" t="s">
        <v>27</v>
      </c>
      <c r="D33" s="52">
        <v>46087</v>
      </c>
      <c r="E33" s="48">
        <v>0.9194444444444444</v>
      </c>
      <c r="F33" s="48">
        <v>0.92986111111111114</v>
      </c>
      <c r="G33" s="43">
        <f>(F33-E33)*1440</f>
        <v>15.000000000000107</v>
      </c>
      <c r="H33" s="9" t="s">
        <v>261</v>
      </c>
      <c r="I33" s="9" t="s">
        <v>262</v>
      </c>
      <c r="J33" s="44">
        <v>17.100000000000001</v>
      </c>
      <c r="K33" s="60">
        <v>8.5500000000000007</v>
      </c>
      <c r="L33" s="56">
        <v>8.02</v>
      </c>
      <c r="M33" s="14">
        <f>K33-L33</f>
        <v>0.53000000000000114</v>
      </c>
      <c r="N33" s="15">
        <f>IFERROR(M33/K33,0)</f>
        <v>6.1988304093567377E-2</v>
      </c>
      <c r="O33" s="14">
        <f>IFERROR(L33/J33,0)</f>
        <v>0.46900584795321631</v>
      </c>
      <c r="P33" s="14">
        <f>IFERROR(L33/G33,0)</f>
        <v>0.53466666666666285</v>
      </c>
    </row>
    <row r="34" spans="1:18" x14ac:dyDescent="0.3">
      <c r="A34" s="9" t="s">
        <v>164</v>
      </c>
      <c r="B34" s="9" t="s">
        <v>26</v>
      </c>
      <c r="C34" s="9" t="s">
        <v>27</v>
      </c>
      <c r="D34" s="52">
        <v>46087</v>
      </c>
      <c r="E34" s="48">
        <v>0.67708333333333337</v>
      </c>
      <c r="F34" s="48">
        <v>0.69374999999999998</v>
      </c>
      <c r="G34" s="43">
        <f>(F34-E34)*1440</f>
        <v>23.999999999999915</v>
      </c>
      <c r="H34" s="9" t="s">
        <v>244</v>
      </c>
      <c r="I34" s="9" t="s">
        <v>245</v>
      </c>
      <c r="J34" s="44">
        <v>11.8</v>
      </c>
      <c r="K34" s="60">
        <v>7.3</v>
      </c>
      <c r="L34" s="56">
        <v>6.18</v>
      </c>
      <c r="M34" s="14">
        <f>K34-L34</f>
        <v>1.1200000000000001</v>
      </c>
      <c r="N34" s="15">
        <f>IFERROR(M34/K34,0)</f>
        <v>0.15342465753424658</v>
      </c>
      <c r="O34" s="14">
        <f>IFERROR(L34/J34,0)</f>
        <v>0.52372881355932199</v>
      </c>
      <c r="P34" s="14">
        <f>IFERROR(L34/G34,0)</f>
        <v>0.25750000000000089</v>
      </c>
    </row>
    <row r="35" spans="1:18" x14ac:dyDescent="0.3">
      <c r="A35" s="9" t="s">
        <v>169</v>
      </c>
      <c r="B35" s="9" t="s">
        <v>26</v>
      </c>
      <c r="C35" s="9" t="s">
        <v>27</v>
      </c>
      <c r="D35" s="52">
        <v>46087</v>
      </c>
      <c r="E35" s="48">
        <v>0.80208333333333337</v>
      </c>
      <c r="F35" s="48">
        <v>0.82291666666666663</v>
      </c>
      <c r="G35" s="43">
        <f>(F35-E35)*1440</f>
        <v>29.999999999999893</v>
      </c>
      <c r="H35" s="9" t="s">
        <v>255</v>
      </c>
      <c r="I35" s="9" t="s">
        <v>256</v>
      </c>
      <c r="J35" s="44">
        <v>17.5</v>
      </c>
      <c r="K35" s="60">
        <v>9.94</v>
      </c>
      <c r="L35" s="56">
        <v>9.31</v>
      </c>
      <c r="M35" s="14">
        <f>K35-L35</f>
        <v>0.62999999999999901</v>
      </c>
      <c r="N35" s="15">
        <f>IFERROR(M35/K35,0)</f>
        <v>6.3380281690140747E-2</v>
      </c>
      <c r="O35" s="14">
        <f>IFERROR(L35/J35,0)</f>
        <v>0.53200000000000003</v>
      </c>
      <c r="P35" s="14">
        <f>IFERROR(L35/G35,0)</f>
        <v>0.31033333333333446</v>
      </c>
    </row>
    <row r="36" spans="1:18" x14ac:dyDescent="0.3">
      <c r="A36" s="9" t="s">
        <v>160</v>
      </c>
      <c r="B36" s="9" t="s">
        <v>18</v>
      </c>
      <c r="C36" s="9" t="s">
        <v>184</v>
      </c>
      <c r="D36" s="52">
        <v>46087</v>
      </c>
      <c r="E36" s="48">
        <v>0.83888888888888891</v>
      </c>
      <c r="F36" s="48">
        <v>0.8569444444444444</v>
      </c>
      <c r="G36" s="43">
        <f>(F36-E36)*1440</f>
        <v>25.999999999999908</v>
      </c>
      <c r="H36" s="9" t="s">
        <v>237</v>
      </c>
      <c r="I36" s="9" t="s">
        <v>238</v>
      </c>
      <c r="J36" s="44">
        <v>14.98</v>
      </c>
      <c r="K36" s="60">
        <v>10.96</v>
      </c>
      <c r="L36" s="56">
        <v>8.11</v>
      </c>
      <c r="M36" s="14">
        <f>K36-L36</f>
        <v>2.8500000000000014</v>
      </c>
      <c r="N36" s="15">
        <f>IFERROR(M36/K36,0)</f>
        <v>0.26003649635036508</v>
      </c>
      <c r="O36" s="14">
        <f>IFERROR(L36/J36,0)</f>
        <v>0.54138851802403198</v>
      </c>
      <c r="P36" s="14">
        <f>IFERROR(L36/G36,0)</f>
        <v>0.31192307692307802</v>
      </c>
    </row>
    <row r="37" spans="1:18" x14ac:dyDescent="0.3">
      <c r="A37" s="9" t="s">
        <v>170</v>
      </c>
      <c r="B37" s="9" t="s">
        <v>26</v>
      </c>
      <c r="C37" s="9" t="s">
        <v>27</v>
      </c>
      <c r="D37" s="52">
        <v>46087</v>
      </c>
      <c r="E37" s="48">
        <v>0.86458333333333337</v>
      </c>
      <c r="F37" s="48">
        <v>0.87847222222222221</v>
      </c>
      <c r="G37" s="43">
        <f>(F37-E37)*1440</f>
        <v>19.999999999999929</v>
      </c>
      <c r="H37" s="9" t="s">
        <v>257</v>
      </c>
      <c r="I37" s="9" t="s">
        <v>258</v>
      </c>
      <c r="J37" s="44">
        <v>11.6</v>
      </c>
      <c r="K37" s="60">
        <v>6.74</v>
      </c>
      <c r="L37" s="56">
        <v>6.95</v>
      </c>
      <c r="M37" s="14">
        <f>K37-L37</f>
        <v>-0.20999999999999996</v>
      </c>
      <c r="N37" s="15">
        <f>IFERROR(M37/K37,0)</f>
        <v>-3.1157270029673584E-2</v>
      </c>
      <c r="O37" s="14">
        <f>IFERROR(L37/J37,0)</f>
        <v>0.59913793103448276</v>
      </c>
      <c r="P37" s="14">
        <f>IFERROR(L37/G37,0)</f>
        <v>0.34750000000000125</v>
      </c>
    </row>
    <row r="38" spans="1:18" x14ac:dyDescent="0.3">
      <c r="A38" s="9" t="s">
        <v>163</v>
      </c>
      <c r="B38" s="9" t="s">
        <v>26</v>
      </c>
      <c r="C38" s="9" t="s">
        <v>27</v>
      </c>
      <c r="D38" s="52">
        <v>46087</v>
      </c>
      <c r="E38" s="48">
        <v>0.65486111111111112</v>
      </c>
      <c r="F38" s="48">
        <v>0.66249999999999998</v>
      </c>
      <c r="G38" s="43">
        <f>(F38-E38)*1440</f>
        <v>10.999999999999961</v>
      </c>
      <c r="H38" s="9" t="s">
        <v>214</v>
      </c>
      <c r="I38" s="9" t="s">
        <v>243</v>
      </c>
      <c r="J38" s="44">
        <v>6.2</v>
      </c>
      <c r="K38" s="60">
        <v>5.07</v>
      </c>
      <c r="L38" s="56">
        <v>3.8</v>
      </c>
      <c r="M38" s="14">
        <f>K38-L38</f>
        <v>1.2700000000000005</v>
      </c>
      <c r="N38" s="15">
        <f>IFERROR(M38/K38,0)</f>
        <v>0.25049309664694286</v>
      </c>
      <c r="O38" s="14">
        <f>IFERROR(L38/J38,0)</f>
        <v>0.61290322580645151</v>
      </c>
      <c r="P38" s="14">
        <f>IFERROR(L38/G38,0)</f>
        <v>0.34545454545454668</v>
      </c>
    </row>
    <row r="39" spans="1:18" x14ac:dyDescent="0.3">
      <c r="A39" s="9" t="s">
        <v>168</v>
      </c>
      <c r="B39" s="9" t="s">
        <v>26</v>
      </c>
      <c r="C39" s="9" t="s">
        <v>27</v>
      </c>
      <c r="D39" s="52">
        <v>46087</v>
      </c>
      <c r="E39" s="48">
        <v>0.78125</v>
      </c>
      <c r="F39" s="48">
        <v>0.79652777777777783</v>
      </c>
      <c r="G39" s="43">
        <f>(F39-E39)*1440</f>
        <v>22.000000000000082</v>
      </c>
      <c r="H39" s="9" t="s">
        <v>253</v>
      </c>
      <c r="I39" s="9" t="s">
        <v>254</v>
      </c>
      <c r="J39" s="44">
        <v>16.2</v>
      </c>
      <c r="K39" s="60">
        <v>10.81</v>
      </c>
      <c r="L39" s="56">
        <v>10.220000000000001</v>
      </c>
      <c r="M39" s="14">
        <f>K39-L39</f>
        <v>0.58999999999999986</v>
      </c>
      <c r="N39" s="15">
        <f>IFERROR(M39/K39,0)</f>
        <v>5.4579093432007383E-2</v>
      </c>
      <c r="O39" s="14">
        <f>IFERROR(L39/J39,0)</f>
        <v>0.63086419753086431</v>
      </c>
      <c r="P39" s="14">
        <f>IFERROR(L39/G39,0)</f>
        <v>0.46454545454545287</v>
      </c>
      <c r="Q39" s="64">
        <v>0.35</v>
      </c>
      <c r="R39" s="57">
        <v>2.2799999999999998</v>
      </c>
    </row>
    <row r="40" spans="1:18" x14ac:dyDescent="0.3">
      <c r="A40" s="9" t="s">
        <v>167</v>
      </c>
      <c r="B40" s="9" t="s">
        <v>26</v>
      </c>
      <c r="C40" s="9" t="s">
        <v>27</v>
      </c>
      <c r="D40" s="52">
        <v>46087</v>
      </c>
      <c r="E40" s="48">
        <v>0.76180555555555562</v>
      </c>
      <c r="F40" s="48">
        <v>0.77777777777777779</v>
      </c>
      <c r="G40" s="43">
        <f>(F40-E40)*1440</f>
        <v>22.999999999999918</v>
      </c>
      <c r="H40" s="9" t="s">
        <v>251</v>
      </c>
      <c r="I40" s="9" t="s">
        <v>252</v>
      </c>
      <c r="J40" s="44">
        <v>10.3</v>
      </c>
      <c r="K40" s="60">
        <v>6.6</v>
      </c>
      <c r="L40" s="56">
        <v>7.07</v>
      </c>
      <c r="M40" s="14">
        <f>K40-L40</f>
        <v>-0.47000000000000064</v>
      </c>
      <c r="N40" s="15">
        <f>IFERROR(M40/K40,0)</f>
        <v>-7.121212121212131E-2</v>
      </c>
      <c r="O40" s="14">
        <f>IFERROR(L40/J40,0)</f>
        <v>0.68640776699029127</v>
      </c>
      <c r="P40" s="14">
        <f>IFERROR(L40/G40,0)</f>
        <v>0.30739130434782719</v>
      </c>
    </row>
    <row r="41" spans="1:18" x14ac:dyDescent="0.3">
      <c r="A41" s="9" t="s">
        <v>161</v>
      </c>
      <c r="B41" s="9" t="s">
        <v>26</v>
      </c>
      <c r="C41" s="9" t="s">
        <v>27</v>
      </c>
      <c r="D41" s="52">
        <v>46087</v>
      </c>
      <c r="E41" s="48">
        <v>0.55902777777777779</v>
      </c>
      <c r="F41" s="48">
        <v>0.56874999999999998</v>
      </c>
      <c r="G41" s="43">
        <f>(F41-E41)*1440</f>
        <v>13.99999999999995</v>
      </c>
      <c r="H41" s="9" t="s">
        <v>239</v>
      </c>
      <c r="I41" s="9" t="s">
        <v>240</v>
      </c>
      <c r="J41" s="44">
        <v>6.2</v>
      </c>
      <c r="K41" s="60">
        <v>5.12</v>
      </c>
      <c r="L41" s="56">
        <v>4.2699999999999996</v>
      </c>
      <c r="M41" s="14">
        <f>K41-L41</f>
        <v>0.85000000000000053</v>
      </c>
      <c r="N41" s="15">
        <f>IFERROR(M41/K41,0)</f>
        <v>0.16601562500000011</v>
      </c>
      <c r="O41" s="14">
        <f>IFERROR(L41/J41,0)</f>
        <v>0.68870967741935474</v>
      </c>
      <c r="P41" s="14">
        <f>IFERROR(L41/G41,0)</f>
        <v>0.30500000000000105</v>
      </c>
    </row>
    <row r="42" spans="1:18" x14ac:dyDescent="0.3">
      <c r="A42" s="9" t="s">
        <v>162</v>
      </c>
      <c r="B42" s="9" t="s">
        <v>26</v>
      </c>
      <c r="C42" s="9" t="s">
        <v>27</v>
      </c>
      <c r="D42" s="52">
        <v>46087</v>
      </c>
      <c r="E42" s="48">
        <v>0.62222222222222223</v>
      </c>
      <c r="F42" s="48">
        <v>0.63750000000000007</v>
      </c>
      <c r="G42" s="43">
        <f>(F42-E42)*1440</f>
        <v>22.000000000000082</v>
      </c>
      <c r="H42" s="9" t="s">
        <v>241</v>
      </c>
      <c r="I42" s="9" t="s">
        <v>242</v>
      </c>
      <c r="J42" s="44">
        <v>7.3</v>
      </c>
      <c r="K42" s="60">
        <v>6.9</v>
      </c>
      <c r="L42" s="56">
        <v>5.17</v>
      </c>
      <c r="M42" s="14">
        <f>K42-L42</f>
        <v>1.7300000000000004</v>
      </c>
      <c r="N42" s="15">
        <f>IFERROR(M42/K42,0)</f>
        <v>0.25072463768115949</v>
      </c>
      <c r="O42" s="14">
        <f>IFERROR(L42/J42,0)</f>
        <v>0.70821917808219181</v>
      </c>
      <c r="P42" s="14">
        <f>IFERROR(L42/G42,0)</f>
        <v>0.23499999999999913</v>
      </c>
    </row>
    <row r="43" spans="1:18" x14ac:dyDescent="0.3">
      <c r="A43" s="9" t="s">
        <v>171</v>
      </c>
      <c r="B43" s="9" t="s">
        <v>26</v>
      </c>
      <c r="C43" s="9" t="s">
        <v>27</v>
      </c>
      <c r="D43" s="52">
        <v>46087</v>
      </c>
      <c r="E43" s="48">
        <v>0.87986111111111109</v>
      </c>
      <c r="F43" s="48">
        <v>0.88680555555555562</v>
      </c>
      <c r="G43" s="43">
        <f>(F43-E43)*1440</f>
        <v>10.000000000000124</v>
      </c>
      <c r="H43" s="9" t="s">
        <v>259</v>
      </c>
      <c r="I43" s="9" t="s">
        <v>1120</v>
      </c>
      <c r="J43" s="44">
        <v>6.7</v>
      </c>
      <c r="K43" s="60">
        <v>6.8</v>
      </c>
      <c r="L43" s="56">
        <v>5.0999999999999996</v>
      </c>
      <c r="M43" s="14">
        <f>K43-L43</f>
        <v>1.7000000000000002</v>
      </c>
      <c r="N43" s="15">
        <f>IFERROR(M43/K43,0)</f>
        <v>0.25000000000000006</v>
      </c>
      <c r="O43" s="14">
        <f>IFERROR(L43/J43,0)</f>
        <v>0.76119402985074625</v>
      </c>
      <c r="P43" s="14">
        <f>IFERROR(L43/G43,0)</f>
        <v>0.50999999999999357</v>
      </c>
      <c r="R43" s="57">
        <v>1.1399999999999999</v>
      </c>
    </row>
    <row r="44" spans="1:18" x14ac:dyDescent="0.3">
      <c r="A44" s="9" t="s">
        <v>157</v>
      </c>
      <c r="B44" s="9" t="s">
        <v>18</v>
      </c>
      <c r="C44" s="9" t="s">
        <v>230</v>
      </c>
      <c r="D44" s="52">
        <v>46087</v>
      </c>
      <c r="E44" s="48">
        <v>0.56805555555555554</v>
      </c>
      <c r="F44" s="48">
        <v>0.60486111111111118</v>
      </c>
      <c r="G44" s="43">
        <f>(F44-E44)*1440</f>
        <v>53.000000000000128</v>
      </c>
      <c r="H44" s="9" t="s">
        <v>231</v>
      </c>
      <c r="I44" s="9" t="s">
        <v>232</v>
      </c>
      <c r="J44" s="44">
        <v>18.920000000000002</v>
      </c>
      <c r="K44" s="60">
        <v>17.350000000000001</v>
      </c>
      <c r="L44" s="56">
        <v>15.08</v>
      </c>
      <c r="M44" s="14">
        <f>K44-L44</f>
        <v>2.2700000000000014</v>
      </c>
      <c r="N44" s="15">
        <f>IFERROR(M44/K44,0)</f>
        <v>0.13083573487031708</v>
      </c>
      <c r="O44" s="14">
        <f>IFERROR(L44/J44,0)</f>
        <v>0.79704016913319231</v>
      </c>
      <c r="P44" s="14">
        <f>IFERROR(L44/G44,0)</f>
        <v>0.28452830188679179</v>
      </c>
    </row>
    <row r="45" spans="1:18" x14ac:dyDescent="0.3">
      <c r="A45" s="9" t="s">
        <v>159</v>
      </c>
      <c r="B45" s="9" t="s">
        <v>18</v>
      </c>
      <c r="C45" s="9" t="s">
        <v>196</v>
      </c>
      <c r="D45" s="52">
        <v>46087</v>
      </c>
      <c r="E45" s="48">
        <v>0.82361111111111107</v>
      </c>
      <c r="F45" s="48">
        <v>0.83263888888888893</v>
      </c>
      <c r="G45" s="43">
        <f>(F45-E45)*1440</f>
        <v>13.000000000000114</v>
      </c>
      <c r="H45" s="9" t="s">
        <v>235</v>
      </c>
      <c r="I45" s="9" t="s">
        <v>236</v>
      </c>
      <c r="J45" s="44">
        <v>7.53</v>
      </c>
      <c r="K45" s="60">
        <v>9.9700000000000006</v>
      </c>
      <c r="L45" s="56">
        <v>6.48</v>
      </c>
      <c r="M45" s="14">
        <f>K45-L45</f>
        <v>3.49</v>
      </c>
      <c r="N45" s="15">
        <f>IFERROR(M45/K45,0)</f>
        <v>0.35005015045135407</v>
      </c>
      <c r="O45" s="14">
        <f>IFERROR(L45/J45,0)</f>
        <v>0.8605577689243028</v>
      </c>
      <c r="P45" s="14">
        <f>IFERROR(L45/G45,0)</f>
        <v>0.49846153846153413</v>
      </c>
    </row>
    <row r="46" spans="1:18" x14ac:dyDescent="0.3">
      <c r="A46" s="9" t="s">
        <v>172</v>
      </c>
      <c r="B46" s="9" t="s">
        <v>26</v>
      </c>
      <c r="C46" s="9" t="s">
        <v>26</v>
      </c>
      <c r="D46" s="52">
        <v>46087</v>
      </c>
      <c r="E46" s="48">
        <v>0.88750000000000007</v>
      </c>
      <c r="F46" s="48">
        <v>0.89722222222222225</v>
      </c>
      <c r="G46" s="43">
        <f>(F46-E46)*1440</f>
        <v>13.99999999999995</v>
      </c>
      <c r="H46" s="9" t="s">
        <v>1120</v>
      </c>
      <c r="I46" s="9" t="s">
        <v>260</v>
      </c>
      <c r="J46" s="44">
        <v>5.4</v>
      </c>
      <c r="K46" s="60">
        <v>5.71</v>
      </c>
      <c r="L46" s="56">
        <v>4.75</v>
      </c>
      <c r="M46" s="14">
        <f>K46-L46</f>
        <v>0.96</v>
      </c>
      <c r="N46" s="15">
        <f>IFERROR(M46/K46,0)</f>
        <v>0.1681260945709282</v>
      </c>
      <c r="O46" s="14">
        <f>IFERROR(L46/J46,0)</f>
        <v>0.87962962962962954</v>
      </c>
      <c r="P46" s="14">
        <f>IFERROR(L46/G46,0)</f>
        <v>0.33928571428571547</v>
      </c>
    </row>
    <row r="47" spans="1:18" x14ac:dyDescent="0.3">
      <c r="A47" s="9" t="s">
        <v>166</v>
      </c>
      <c r="B47" s="9" t="s">
        <v>26</v>
      </c>
      <c r="C47" s="9" t="s">
        <v>26</v>
      </c>
      <c r="D47" s="52">
        <v>46087</v>
      </c>
      <c r="E47" s="48">
        <v>0.74236111111111114</v>
      </c>
      <c r="F47" s="48">
        <v>0.75902777777777775</v>
      </c>
      <c r="G47" s="43">
        <f>(F47-E47)*1440</f>
        <v>23.999999999999915</v>
      </c>
      <c r="H47" s="9" t="s">
        <v>248</v>
      </c>
      <c r="I47" s="9" t="s">
        <v>249</v>
      </c>
      <c r="J47" s="44">
        <v>9.5</v>
      </c>
      <c r="K47" s="60">
        <v>11.18</v>
      </c>
      <c r="L47" s="56">
        <v>8.3800000000000008</v>
      </c>
      <c r="M47" s="14">
        <f>K47-L47</f>
        <v>2.7999999999999989</v>
      </c>
      <c r="N47" s="15">
        <f>IFERROR(M47/K47,0)</f>
        <v>0.25044722719141316</v>
      </c>
      <c r="O47" s="14">
        <f>IFERROR(L47/J47,0)</f>
        <v>0.88210526315789484</v>
      </c>
      <c r="P47" s="14">
        <f>IFERROR(L47/G47,0)</f>
        <v>0.34916666666666796</v>
      </c>
      <c r="R47" s="57">
        <v>1.59</v>
      </c>
    </row>
    <row r="48" spans="1:18" x14ac:dyDescent="0.3">
      <c r="A48" s="9" t="s">
        <v>178</v>
      </c>
      <c r="B48" s="9" t="s">
        <v>26</v>
      </c>
      <c r="C48" s="9" t="s">
        <v>27</v>
      </c>
      <c r="D48" s="52">
        <v>46088</v>
      </c>
      <c r="E48" s="48">
        <v>0.61805555555555558</v>
      </c>
      <c r="F48" s="48">
        <v>0.64027777777777783</v>
      </c>
      <c r="G48" s="43">
        <f>(F48-E48)*1440</f>
        <v>32.000000000000043</v>
      </c>
      <c r="H48" s="9" t="s">
        <v>271</v>
      </c>
      <c r="I48" s="9" t="s">
        <v>272</v>
      </c>
      <c r="J48" s="44">
        <v>22.1</v>
      </c>
      <c r="K48" s="60">
        <v>12.28</v>
      </c>
      <c r="L48" s="56">
        <v>9.31</v>
      </c>
      <c r="M48" s="14">
        <f>K48-L48</f>
        <v>2.9699999999999989</v>
      </c>
      <c r="N48" s="15">
        <f>IFERROR(M48/K48,0)</f>
        <v>0.24185667752442988</v>
      </c>
      <c r="O48" s="14">
        <f>IFERROR(L48/J48,0)</f>
        <v>0.42126696832579186</v>
      </c>
      <c r="P48" s="14">
        <f>IFERROR(L48/G48,0)</f>
        <v>0.29093749999999963</v>
      </c>
      <c r="Q48" s="64">
        <v>0.4</v>
      </c>
    </row>
    <row r="49" spans="1:18" x14ac:dyDescent="0.3">
      <c r="A49" s="9" t="s">
        <v>179</v>
      </c>
      <c r="B49" s="9" t="s">
        <v>26</v>
      </c>
      <c r="C49" s="9" t="s">
        <v>27</v>
      </c>
      <c r="D49" s="52">
        <v>46088</v>
      </c>
      <c r="E49" s="48">
        <v>0.64097222222222217</v>
      </c>
      <c r="F49" s="48">
        <v>0.65972222222222221</v>
      </c>
      <c r="G49" s="43">
        <f>(F49-E49)*1440</f>
        <v>27.000000000000064</v>
      </c>
      <c r="H49" s="9" t="s">
        <v>273</v>
      </c>
      <c r="I49" s="9" t="s">
        <v>225</v>
      </c>
      <c r="J49" s="44">
        <v>18.8</v>
      </c>
      <c r="K49" s="60">
        <v>9.39</v>
      </c>
      <c r="L49" s="56">
        <v>8.6</v>
      </c>
      <c r="M49" s="14">
        <f>K49-L49</f>
        <v>0.79000000000000092</v>
      </c>
      <c r="N49" s="15">
        <f>IFERROR(M49/K49,0)</f>
        <v>8.4132055378061857E-2</v>
      </c>
      <c r="O49" s="14">
        <f>IFERROR(L49/J49,0)</f>
        <v>0.45744680851063824</v>
      </c>
      <c r="P49" s="14">
        <f>IFERROR(L49/G49,0)</f>
        <v>0.31851851851851776</v>
      </c>
    </row>
    <row r="50" spans="1:18" x14ac:dyDescent="0.3">
      <c r="A50" s="9" t="s">
        <v>285</v>
      </c>
      <c r="B50" s="9" t="s">
        <v>538</v>
      </c>
      <c r="C50" s="9" t="s">
        <v>184</v>
      </c>
      <c r="D50" s="52">
        <v>46088</v>
      </c>
      <c r="E50" s="48">
        <v>0.7909722222222223</v>
      </c>
      <c r="F50" s="48">
        <v>0.81458333333333333</v>
      </c>
      <c r="G50" s="43">
        <f>(F50-E50)*1440</f>
        <v>33.999999999999879</v>
      </c>
      <c r="H50" s="9" t="s">
        <v>541</v>
      </c>
      <c r="I50" s="9" t="s">
        <v>542</v>
      </c>
      <c r="J50" s="44">
        <v>23.6</v>
      </c>
      <c r="K50" s="60">
        <v>16.95</v>
      </c>
      <c r="L50" s="56">
        <v>11.2</v>
      </c>
      <c r="M50" s="14">
        <f>K50-L50</f>
        <v>5.75</v>
      </c>
      <c r="N50" s="15">
        <f>IFERROR(M50/K50,0)</f>
        <v>0.33923303834808261</v>
      </c>
      <c r="O50" s="14">
        <f>IFERROR(L50/J50,0)</f>
        <v>0.47457627118644063</v>
      </c>
      <c r="P50" s="14">
        <f>IFERROR(L50/G50,0)</f>
        <v>0.32941176470588351</v>
      </c>
    </row>
    <row r="51" spans="1:18" x14ac:dyDescent="0.3">
      <c r="A51" s="9" t="s">
        <v>284</v>
      </c>
      <c r="B51" s="9" t="s">
        <v>538</v>
      </c>
      <c r="C51" s="9" t="s">
        <v>184</v>
      </c>
      <c r="D51" s="52">
        <v>46088</v>
      </c>
      <c r="E51" s="48">
        <v>0.7631944444444444</v>
      </c>
      <c r="F51" s="48">
        <v>0.77500000000000002</v>
      </c>
      <c r="G51" s="43">
        <f>(F51-E51)*1440</f>
        <v>17.000000000000099</v>
      </c>
      <c r="H51" s="9" t="s">
        <v>539</v>
      </c>
      <c r="I51" s="9" t="s">
        <v>540</v>
      </c>
      <c r="J51" s="44">
        <v>14.26</v>
      </c>
      <c r="K51" s="60">
        <v>9.93</v>
      </c>
      <c r="L51" s="56">
        <v>6.8</v>
      </c>
      <c r="M51" s="14">
        <f>K51-L51</f>
        <v>3.13</v>
      </c>
      <c r="N51" s="15">
        <f>IFERROR(M51/K51,0)</f>
        <v>0.3152064451158107</v>
      </c>
      <c r="O51" s="14">
        <f>IFERROR(L51/J51,0)</f>
        <v>0.47685834502103785</v>
      </c>
      <c r="P51" s="14">
        <f>IFERROR(L51/G51,0)</f>
        <v>0.39999999999999764</v>
      </c>
    </row>
    <row r="52" spans="1:18" x14ac:dyDescent="0.3">
      <c r="A52" s="9" t="s">
        <v>281</v>
      </c>
      <c r="B52" s="9" t="s">
        <v>18</v>
      </c>
      <c r="C52" s="9" t="s">
        <v>184</v>
      </c>
      <c r="D52" s="52">
        <v>46088</v>
      </c>
      <c r="E52" s="48">
        <v>0.68680555555555556</v>
      </c>
      <c r="F52" s="48">
        <v>0.70000000000000007</v>
      </c>
      <c r="G52" s="43">
        <f>(F52-E52)*1440</f>
        <v>19.000000000000092</v>
      </c>
      <c r="H52" s="9" t="s">
        <v>533</v>
      </c>
      <c r="I52" s="9" t="s">
        <v>534</v>
      </c>
      <c r="J52" s="44">
        <v>14.46</v>
      </c>
      <c r="K52" s="60">
        <v>10.94</v>
      </c>
      <c r="L52" s="56">
        <v>7.11</v>
      </c>
      <c r="M52" s="14">
        <f>K52-L52</f>
        <v>3.8299999999999992</v>
      </c>
      <c r="N52" s="15">
        <f>IFERROR(M52/K52,0)</f>
        <v>0.35009140767824493</v>
      </c>
      <c r="O52" s="14">
        <f>IFERROR(L52/J52,0)</f>
        <v>0.49170124481327798</v>
      </c>
      <c r="P52" s="14">
        <f>IFERROR(L52/G52,0)</f>
        <v>0.37421052631578766</v>
      </c>
    </row>
    <row r="53" spans="1:18" x14ac:dyDescent="0.3">
      <c r="A53" s="9" t="s">
        <v>280</v>
      </c>
      <c r="B53" s="9" t="s">
        <v>26</v>
      </c>
      <c r="C53" s="9" t="s">
        <v>26</v>
      </c>
      <c r="D53" s="52">
        <v>46088</v>
      </c>
      <c r="E53" s="48">
        <v>0.94861111111111107</v>
      </c>
      <c r="F53" s="48">
        <v>0.96527777777777779</v>
      </c>
      <c r="G53" s="43">
        <f>(F53-E53)*1440</f>
        <v>24.000000000000075</v>
      </c>
      <c r="H53" s="9" t="s">
        <v>531</v>
      </c>
      <c r="I53" s="9" t="s">
        <v>532</v>
      </c>
      <c r="J53" s="44">
        <v>21.1</v>
      </c>
      <c r="K53" s="60">
        <v>9.9</v>
      </c>
      <c r="L53" s="56">
        <v>10.6</v>
      </c>
      <c r="M53" s="14">
        <f>K53-L53</f>
        <v>-0.69999999999999929</v>
      </c>
      <c r="N53" s="15">
        <f>IFERROR(M53/K53,0)</f>
        <v>-7.0707070707070635E-2</v>
      </c>
      <c r="O53" s="14">
        <f>IFERROR(L53/J53,0)</f>
        <v>0.50236966824644547</v>
      </c>
      <c r="P53" s="14">
        <f>IFERROR(L53/G53,0)</f>
        <v>0.44166666666666526</v>
      </c>
    </row>
    <row r="54" spans="1:18" x14ac:dyDescent="0.3">
      <c r="A54" s="9" t="s">
        <v>277</v>
      </c>
      <c r="B54" s="9" t="s">
        <v>26</v>
      </c>
      <c r="C54" s="9" t="s">
        <v>27</v>
      </c>
      <c r="D54" s="52">
        <v>46088</v>
      </c>
      <c r="E54" s="48">
        <v>0.84375</v>
      </c>
      <c r="F54" s="48">
        <v>0.85555555555555562</v>
      </c>
      <c r="G54" s="43">
        <f>(F54-E54)*1440</f>
        <v>17.000000000000099</v>
      </c>
      <c r="H54" s="9" t="s">
        <v>525</v>
      </c>
      <c r="I54" s="9" t="s">
        <v>526</v>
      </c>
      <c r="J54" s="44">
        <v>12.2</v>
      </c>
      <c r="K54" s="60">
        <v>6.9</v>
      </c>
      <c r="L54" s="56">
        <v>6.33</v>
      </c>
      <c r="M54" s="14">
        <f>K54-L54</f>
        <v>0.57000000000000028</v>
      </c>
      <c r="N54" s="15">
        <f>IFERROR(M54/K54,0)</f>
        <v>8.260869565217395E-2</v>
      </c>
      <c r="O54" s="14">
        <f>IFERROR(L54/J54,0)</f>
        <v>0.51885245901639343</v>
      </c>
      <c r="P54" s="14">
        <f>IFERROR(L54/G54,0)</f>
        <v>0.37235294117646839</v>
      </c>
    </row>
    <row r="55" spans="1:18" x14ac:dyDescent="0.3">
      <c r="A55" s="9" t="s">
        <v>175</v>
      </c>
      <c r="B55" s="9" t="s">
        <v>26</v>
      </c>
      <c r="C55" s="9" t="s">
        <v>26</v>
      </c>
      <c r="D55" s="52">
        <v>46088</v>
      </c>
      <c r="E55" s="48">
        <v>0.56319444444444444</v>
      </c>
      <c r="F55" s="48">
        <v>0.57222222222222219</v>
      </c>
      <c r="G55" s="43">
        <f>(F55-E55)*1440</f>
        <v>12.999999999999954</v>
      </c>
      <c r="H55" s="9" t="s">
        <v>265</v>
      </c>
      <c r="I55" s="9" t="s">
        <v>266</v>
      </c>
      <c r="J55" s="44">
        <v>10.6</v>
      </c>
      <c r="K55" s="60">
        <v>7.5</v>
      </c>
      <c r="L55" s="56">
        <v>5.62</v>
      </c>
      <c r="M55" s="14">
        <f>K55-L55</f>
        <v>1.88</v>
      </c>
      <c r="N55" s="15">
        <f>IFERROR(M55/K55,0)</f>
        <v>0.25066666666666665</v>
      </c>
      <c r="O55" s="14">
        <f>IFERROR(L55/J55,0)</f>
        <v>0.53018867924528301</v>
      </c>
      <c r="P55" s="14">
        <f>IFERROR(L55/G55,0)</f>
        <v>0.43230769230769384</v>
      </c>
    </row>
    <row r="56" spans="1:18" x14ac:dyDescent="0.3">
      <c r="A56" s="9" t="s">
        <v>174</v>
      </c>
      <c r="B56" s="9" t="s">
        <v>26</v>
      </c>
      <c r="C56" s="9" t="s">
        <v>26</v>
      </c>
      <c r="D56" s="52">
        <v>46088</v>
      </c>
      <c r="E56" s="48">
        <v>0.54583333333333328</v>
      </c>
      <c r="F56" s="48">
        <v>0.5541666666666667</v>
      </c>
      <c r="G56" s="43">
        <f>(F56-E56)*1440</f>
        <v>12.000000000000117</v>
      </c>
      <c r="H56" s="9" t="s">
        <v>263</v>
      </c>
      <c r="I56" s="9" t="s">
        <v>264</v>
      </c>
      <c r="J56" s="44">
        <v>9.6</v>
      </c>
      <c r="K56" s="60">
        <v>5.92</v>
      </c>
      <c r="L56" s="56">
        <v>5.55</v>
      </c>
      <c r="M56" s="14">
        <f>K56-L56</f>
        <v>0.37000000000000011</v>
      </c>
      <c r="N56" s="15">
        <f>IFERROR(M56/K56,0)</f>
        <v>6.2500000000000014E-2</v>
      </c>
      <c r="O56" s="14">
        <f>IFERROR(L56/J56,0)</f>
        <v>0.578125</v>
      </c>
      <c r="P56" s="14">
        <f>IFERROR(L56/G56,0)</f>
        <v>0.46249999999999547</v>
      </c>
      <c r="R56" s="57">
        <v>1.27</v>
      </c>
    </row>
    <row r="57" spans="1:18" x14ac:dyDescent="0.3">
      <c r="A57" s="9" t="s">
        <v>275</v>
      </c>
      <c r="B57" s="9" t="s">
        <v>26</v>
      </c>
      <c r="C57" s="9" t="s">
        <v>27</v>
      </c>
      <c r="D57" s="52">
        <v>46088</v>
      </c>
      <c r="E57" s="48">
        <v>0.78194444444444444</v>
      </c>
      <c r="F57" s="48">
        <v>0.7909722222222223</v>
      </c>
      <c r="G57" s="43">
        <f>(F57-E57)*1440</f>
        <v>13.000000000000114</v>
      </c>
      <c r="H57" s="9" t="s">
        <v>521</v>
      </c>
      <c r="I57" s="9" t="s">
        <v>522</v>
      </c>
      <c r="J57" s="44">
        <v>9.6</v>
      </c>
      <c r="K57" s="60">
        <v>7.71</v>
      </c>
      <c r="L57" s="56">
        <v>5.78</v>
      </c>
      <c r="M57" s="14">
        <f>K57-L57</f>
        <v>1.9299999999999997</v>
      </c>
      <c r="N57" s="15">
        <f>IFERROR(M57/K57,0)</f>
        <v>0.25032425421530474</v>
      </c>
      <c r="O57" s="14">
        <f>IFERROR(L57/J57,0)</f>
        <v>0.60208333333333341</v>
      </c>
      <c r="P57" s="14">
        <f>IFERROR(L57/G57,0)</f>
        <v>0.44461538461538075</v>
      </c>
      <c r="R57" s="57">
        <v>1.32</v>
      </c>
    </row>
    <row r="58" spans="1:18" x14ac:dyDescent="0.3">
      <c r="A58" s="9" t="s">
        <v>279</v>
      </c>
      <c r="B58" s="9" t="s">
        <v>26</v>
      </c>
      <c r="C58" s="9" t="s">
        <v>27</v>
      </c>
      <c r="D58" s="52">
        <v>46088</v>
      </c>
      <c r="E58" s="48">
        <v>0.9243055555555556</v>
      </c>
      <c r="F58" s="48">
        <v>0.93125000000000002</v>
      </c>
      <c r="G58" s="43">
        <f>(F58-E58)*1440</f>
        <v>9.9999999999999645</v>
      </c>
      <c r="H58" s="9" t="s">
        <v>529</v>
      </c>
      <c r="I58" s="9" t="s">
        <v>530</v>
      </c>
      <c r="J58" s="44">
        <v>6</v>
      </c>
      <c r="K58" s="60">
        <v>5.03</v>
      </c>
      <c r="L58" s="56">
        <v>3.77</v>
      </c>
      <c r="M58" s="14">
        <f>K58-L58</f>
        <v>1.2600000000000002</v>
      </c>
      <c r="N58" s="15">
        <f>IFERROR(M58/K58,0)</f>
        <v>0.25049701789264417</v>
      </c>
      <c r="O58" s="14">
        <f>IFERROR(L58/J58,0)</f>
        <v>0.6283333333333333</v>
      </c>
      <c r="P58" s="14">
        <f>IFERROR(L58/G58,0)</f>
        <v>0.37700000000000133</v>
      </c>
    </row>
    <row r="59" spans="1:18" x14ac:dyDescent="0.3">
      <c r="A59" s="9" t="s">
        <v>283</v>
      </c>
      <c r="B59" s="9" t="s">
        <v>18</v>
      </c>
      <c r="C59" s="9" t="s">
        <v>184</v>
      </c>
      <c r="D59" s="52">
        <v>46088</v>
      </c>
      <c r="E59" s="48">
        <v>0.7368055555555556</v>
      </c>
      <c r="F59" s="48">
        <v>0.75</v>
      </c>
      <c r="G59" s="43">
        <f>(F59-E59)*1440</f>
        <v>18.999999999999932</v>
      </c>
      <c r="H59" s="9" t="s">
        <v>536</v>
      </c>
      <c r="I59" s="9" t="s">
        <v>537</v>
      </c>
      <c r="J59" s="44">
        <v>11.45</v>
      </c>
      <c r="K59" s="60">
        <v>8.9600000000000009</v>
      </c>
      <c r="L59" s="56">
        <v>7.22</v>
      </c>
      <c r="M59" s="14">
        <f>K59-L59</f>
        <v>1.7400000000000011</v>
      </c>
      <c r="N59" s="15">
        <f>IFERROR(M59/K59,0)</f>
        <v>0.19419642857142869</v>
      </c>
      <c r="O59" s="14">
        <f>IFERROR(L59/J59,0)</f>
        <v>0.6305676855895197</v>
      </c>
      <c r="P59" s="14">
        <f>IFERROR(L59/G59,0)</f>
        <v>0.38000000000000134</v>
      </c>
    </row>
    <row r="60" spans="1:18" x14ac:dyDescent="0.3">
      <c r="A60" s="9" t="s">
        <v>177</v>
      </c>
      <c r="B60" s="9" t="s">
        <v>26</v>
      </c>
      <c r="C60" s="9" t="s">
        <v>27</v>
      </c>
      <c r="D60" s="52">
        <v>46088</v>
      </c>
      <c r="E60" s="48">
        <v>0.59861111111111109</v>
      </c>
      <c r="F60" s="48">
        <v>0.61111111111111105</v>
      </c>
      <c r="G60" s="43">
        <f>(F60-E60)*1440</f>
        <v>17.999999999999936</v>
      </c>
      <c r="H60" s="9" t="s">
        <v>269</v>
      </c>
      <c r="I60" s="9" t="s">
        <v>270</v>
      </c>
      <c r="J60" s="44">
        <v>8.1999999999999993</v>
      </c>
      <c r="K60" s="60">
        <v>7.48</v>
      </c>
      <c r="L60" s="56">
        <v>5.61</v>
      </c>
      <c r="M60" s="14">
        <f>K60-L60</f>
        <v>1.87</v>
      </c>
      <c r="N60" s="15">
        <f>IFERROR(M60/K60,0)</f>
        <v>0.25</v>
      </c>
      <c r="O60" s="14">
        <f>IFERROR(L60/J60,0)</f>
        <v>0.68414634146341469</v>
      </c>
      <c r="P60" s="14">
        <f>IFERROR(L60/G60,0)</f>
        <v>0.31166666666666781</v>
      </c>
    </row>
    <row r="61" spans="1:18" x14ac:dyDescent="0.3">
      <c r="A61" s="9" t="s">
        <v>286</v>
      </c>
      <c r="B61" s="9" t="s">
        <v>18</v>
      </c>
      <c r="C61" s="9" t="s">
        <v>196</v>
      </c>
      <c r="D61" s="52">
        <v>46088</v>
      </c>
      <c r="E61" s="48">
        <v>0.85902777777777783</v>
      </c>
      <c r="F61" s="48">
        <v>0.875</v>
      </c>
      <c r="G61" s="43">
        <f>(F61-E61)*1440</f>
        <v>22.999999999999918</v>
      </c>
      <c r="H61" s="9" t="s">
        <v>543</v>
      </c>
      <c r="I61" s="9" t="s">
        <v>544</v>
      </c>
      <c r="J61" s="44">
        <v>12.39</v>
      </c>
      <c r="K61" s="60">
        <v>12.98</v>
      </c>
      <c r="L61" s="56">
        <v>8.52</v>
      </c>
      <c r="M61" s="14">
        <f>K61-L61</f>
        <v>4.4600000000000009</v>
      </c>
      <c r="N61" s="15">
        <f>IFERROR(M61/K61,0)</f>
        <v>0.34360554699537754</v>
      </c>
      <c r="O61" s="14">
        <f>IFERROR(L61/J61,0)</f>
        <v>0.68765133171912829</v>
      </c>
      <c r="P61" s="14">
        <f>IFERROR(L61/G61,0)</f>
        <v>0.37043478260869694</v>
      </c>
    </row>
    <row r="62" spans="1:18" x14ac:dyDescent="0.3">
      <c r="A62" s="9" t="s">
        <v>276</v>
      </c>
      <c r="B62" s="9" t="s">
        <v>26</v>
      </c>
      <c r="C62" s="9" t="s">
        <v>27</v>
      </c>
      <c r="D62" s="52">
        <v>46088</v>
      </c>
      <c r="E62" s="48">
        <v>0.8256944444444444</v>
      </c>
      <c r="F62" s="48">
        <v>0.84305555555555556</v>
      </c>
      <c r="G62" s="43">
        <f>(F62-E62)*1440</f>
        <v>25.000000000000071</v>
      </c>
      <c r="H62" s="9" t="s">
        <v>523</v>
      </c>
      <c r="I62" s="9" t="s">
        <v>524</v>
      </c>
      <c r="J62" s="44">
        <v>8.8000000000000007</v>
      </c>
      <c r="K62" s="60">
        <v>6.52</v>
      </c>
      <c r="L62" s="56">
        <v>6.11</v>
      </c>
      <c r="M62" s="14">
        <f>K62-L62</f>
        <v>0.40999999999999925</v>
      </c>
      <c r="N62" s="15">
        <f>IFERROR(M62/K62,0)</f>
        <v>6.2883435582821973E-2</v>
      </c>
      <c r="O62" s="14">
        <f>IFERROR(L62/J62,0)</f>
        <v>0.69431818181818183</v>
      </c>
      <c r="P62" s="14">
        <f>IFERROR(L62/G62,0)</f>
        <v>0.24439999999999931</v>
      </c>
    </row>
    <row r="63" spans="1:18" x14ac:dyDescent="0.3">
      <c r="A63" s="9" t="s">
        <v>176</v>
      </c>
      <c r="B63" s="9" t="s">
        <v>26</v>
      </c>
      <c r="C63" s="9" t="s">
        <v>27</v>
      </c>
      <c r="D63" s="52">
        <v>46088</v>
      </c>
      <c r="E63" s="48">
        <v>0.57361111111111118</v>
      </c>
      <c r="F63" s="48">
        <v>0.59236111111111112</v>
      </c>
      <c r="G63" s="43">
        <f>(F63-E63)*1440</f>
        <v>26.999999999999904</v>
      </c>
      <c r="H63" s="9" t="s">
        <v>267</v>
      </c>
      <c r="I63" s="9" t="s">
        <v>268</v>
      </c>
      <c r="J63" s="44">
        <v>7.9</v>
      </c>
      <c r="K63" s="60">
        <v>6.3</v>
      </c>
      <c r="L63" s="56">
        <v>5.91</v>
      </c>
      <c r="M63" s="14">
        <f>K63-L63</f>
        <v>0.38999999999999968</v>
      </c>
      <c r="N63" s="15">
        <f>IFERROR(M63/K63,0)</f>
        <v>6.1904761904761858E-2</v>
      </c>
      <c r="O63" s="14">
        <f>IFERROR(L63/J63,0)</f>
        <v>0.7481012658227848</v>
      </c>
      <c r="P63" s="14">
        <f>IFERROR(L63/G63,0)</f>
        <v>0.21888888888888966</v>
      </c>
      <c r="R63" s="57">
        <v>1.36</v>
      </c>
    </row>
    <row r="64" spans="1:18" x14ac:dyDescent="0.3">
      <c r="A64" s="9" t="s">
        <v>282</v>
      </c>
      <c r="B64" s="9" t="s">
        <v>18</v>
      </c>
      <c r="C64" s="9" t="s">
        <v>196</v>
      </c>
      <c r="D64" s="52">
        <v>46088</v>
      </c>
      <c r="E64" s="48">
        <v>0.70416666666666661</v>
      </c>
      <c r="F64" s="48">
        <v>0.71458333333333324</v>
      </c>
      <c r="G64" s="43">
        <f>(F64-E64)*1440</f>
        <v>14.999999999999947</v>
      </c>
      <c r="H64" s="9" t="s">
        <v>233</v>
      </c>
      <c r="I64" s="9" t="s">
        <v>535</v>
      </c>
      <c r="J64" s="44">
        <v>6.42</v>
      </c>
      <c r="K64" s="60">
        <v>7.97</v>
      </c>
      <c r="L64" s="56">
        <v>5.18</v>
      </c>
      <c r="M64" s="14">
        <f>K64-L64</f>
        <v>2.79</v>
      </c>
      <c r="N64" s="15">
        <f>IFERROR(M64/K64,0)</f>
        <v>0.3500627352572146</v>
      </c>
      <c r="O64" s="14">
        <f>IFERROR(L64/J64,0)</f>
        <v>0.80685358255451711</v>
      </c>
      <c r="P64" s="14">
        <f>IFERROR(L64/G64,0)</f>
        <v>0.34533333333333455</v>
      </c>
    </row>
    <row r="65" spans="1:18" x14ac:dyDescent="0.3">
      <c r="A65" s="9" t="s">
        <v>180</v>
      </c>
      <c r="B65" s="9" t="s">
        <v>26</v>
      </c>
      <c r="C65" s="9" t="s">
        <v>27</v>
      </c>
      <c r="D65" s="52">
        <v>46088</v>
      </c>
      <c r="E65" s="48">
        <v>0.72222222222222221</v>
      </c>
      <c r="F65" s="48">
        <v>0.73472222222222217</v>
      </c>
      <c r="G65" s="43">
        <f>(F65-E65)*1440</f>
        <v>17.999999999999936</v>
      </c>
      <c r="H65" s="9" t="s">
        <v>228</v>
      </c>
      <c r="I65" s="9" t="s">
        <v>274</v>
      </c>
      <c r="J65" s="44">
        <v>5.6</v>
      </c>
      <c r="K65" s="60">
        <v>5.9</v>
      </c>
      <c r="L65" s="56">
        <v>4.87</v>
      </c>
      <c r="M65" s="14">
        <f>K65-L65</f>
        <v>1.0300000000000002</v>
      </c>
      <c r="N65" s="15">
        <f>IFERROR(M65/K65,0)</f>
        <v>0.1745762711864407</v>
      </c>
      <c r="O65" s="14">
        <f>IFERROR(L65/J65,0)</f>
        <v>0.86964285714285716</v>
      </c>
      <c r="P65" s="14">
        <f>IFERROR(L65/G65,0)</f>
        <v>0.27055555555555655</v>
      </c>
    </row>
    <row r="66" spans="1:18" x14ac:dyDescent="0.3">
      <c r="A66" s="9" t="s">
        <v>278</v>
      </c>
      <c r="B66" s="9" t="s">
        <v>26</v>
      </c>
      <c r="C66" s="9" t="s">
        <v>26</v>
      </c>
      <c r="D66" s="52">
        <v>46088</v>
      </c>
      <c r="E66" s="48">
        <v>0.89583333333333337</v>
      </c>
      <c r="F66" s="48">
        <v>0.90625</v>
      </c>
      <c r="G66" s="43">
        <f>(F66-E66)*1440</f>
        <v>14.999999999999947</v>
      </c>
      <c r="H66" s="9" t="s">
        <v>527</v>
      </c>
      <c r="I66" s="9" t="s">
        <v>528</v>
      </c>
      <c r="J66" s="44">
        <v>5.7</v>
      </c>
      <c r="K66" s="60">
        <v>4.9000000000000004</v>
      </c>
      <c r="L66" s="56">
        <v>5.0599999999999996</v>
      </c>
      <c r="M66" s="14">
        <f>K66-L66</f>
        <v>-0.15999999999999925</v>
      </c>
      <c r="N66" s="15">
        <f>IFERROR(M66/K66,0)</f>
        <v>-3.2653061224489639E-2</v>
      </c>
      <c r="O66" s="14">
        <f>IFERROR(L66/J66,0)</f>
        <v>0.88771929824561391</v>
      </c>
      <c r="P66" s="14">
        <f>IFERROR(L66/G66,0)</f>
        <v>0.33733333333333448</v>
      </c>
    </row>
    <row r="67" spans="1:18" x14ac:dyDescent="0.3">
      <c r="A67" s="9" t="s">
        <v>288</v>
      </c>
      <c r="B67" s="9" t="s">
        <v>26</v>
      </c>
      <c r="C67" s="9" t="s">
        <v>27</v>
      </c>
      <c r="D67" s="52">
        <v>46089</v>
      </c>
      <c r="E67" s="48">
        <v>0.59166666666666667</v>
      </c>
      <c r="F67" s="48">
        <v>0.60138888888888886</v>
      </c>
      <c r="G67" s="43">
        <f>(F67-E67)*1440</f>
        <v>13.99999999999995</v>
      </c>
      <c r="H67" s="9" t="s">
        <v>547</v>
      </c>
      <c r="I67" s="9" t="s">
        <v>214</v>
      </c>
      <c r="J67" s="44">
        <v>14.2</v>
      </c>
      <c r="K67" s="60">
        <v>7.84</v>
      </c>
      <c r="L67" s="56">
        <v>5.88</v>
      </c>
      <c r="M67" s="14">
        <f>K67-L67</f>
        <v>1.96</v>
      </c>
      <c r="N67" s="15">
        <f>IFERROR(M67/K67,0)</f>
        <v>0.25</v>
      </c>
      <c r="O67" s="14">
        <f>IFERROR(L67/J67,0)</f>
        <v>0.41408450704225352</v>
      </c>
      <c r="P67" s="14">
        <f>IFERROR(L67/G67,0)</f>
        <v>0.42000000000000148</v>
      </c>
    </row>
    <row r="68" spans="1:18" x14ac:dyDescent="0.3">
      <c r="A68" s="9" t="s">
        <v>294</v>
      </c>
      <c r="B68" s="9" t="s">
        <v>26</v>
      </c>
      <c r="C68" s="9" t="s">
        <v>27</v>
      </c>
      <c r="D68" s="52">
        <v>46089</v>
      </c>
      <c r="E68" s="48">
        <v>0.65694444444444444</v>
      </c>
      <c r="F68" s="48">
        <v>0.66666666666666663</v>
      </c>
      <c r="G68" s="43">
        <f>(F68-E68)*1440</f>
        <v>13.99999999999995</v>
      </c>
      <c r="H68" s="9" t="s">
        <v>556</v>
      </c>
      <c r="I68" s="9" t="s">
        <v>557</v>
      </c>
      <c r="J68" s="44">
        <v>9.1999999999999993</v>
      </c>
      <c r="K68" s="60">
        <v>3.9</v>
      </c>
      <c r="L68" s="56">
        <v>4.18</v>
      </c>
      <c r="M68" s="14">
        <f>K68-L68</f>
        <v>-0.2799999999999998</v>
      </c>
      <c r="N68" s="15">
        <f>IFERROR(M68/K68,0)</f>
        <v>-7.1794871794871748E-2</v>
      </c>
      <c r="O68" s="14">
        <f>IFERROR(L68/J68,0)</f>
        <v>0.45434782608695651</v>
      </c>
      <c r="P68" s="14">
        <f>IFERROR(L68/G68,0)</f>
        <v>0.2985714285714296</v>
      </c>
    </row>
    <row r="69" spans="1:18" x14ac:dyDescent="0.3">
      <c r="A69" s="9" t="s">
        <v>289</v>
      </c>
      <c r="B69" s="9" t="s">
        <v>26</v>
      </c>
      <c r="C69" s="9" t="s">
        <v>27</v>
      </c>
      <c r="D69" s="52">
        <v>46089</v>
      </c>
      <c r="E69" s="48">
        <v>0.60625000000000007</v>
      </c>
      <c r="F69" s="48">
        <v>0.61458333333333337</v>
      </c>
      <c r="G69" s="43">
        <f>(F69-E69)*1440</f>
        <v>11.999999999999957</v>
      </c>
      <c r="H69" s="9" t="s">
        <v>214</v>
      </c>
      <c r="I69" s="9" t="s">
        <v>548</v>
      </c>
      <c r="J69" s="44">
        <v>9.4</v>
      </c>
      <c r="K69" s="60">
        <v>5.9</v>
      </c>
      <c r="L69" s="56">
        <v>4.42</v>
      </c>
      <c r="M69" s="14">
        <f>K69-L69</f>
        <v>1.4800000000000004</v>
      </c>
      <c r="N69" s="15">
        <f>IFERROR(M69/K69,0)</f>
        <v>0.25084745762711869</v>
      </c>
      <c r="O69" s="14">
        <f>IFERROR(L69/J69,0)</f>
        <v>0.47021276595744677</v>
      </c>
      <c r="P69" s="14">
        <f>IFERROR(L69/G69,0)</f>
        <v>0.36833333333333462</v>
      </c>
    </row>
    <row r="70" spans="1:18" x14ac:dyDescent="0.3">
      <c r="A70" s="9" t="s">
        <v>291</v>
      </c>
      <c r="B70" s="9" t="s">
        <v>26</v>
      </c>
      <c r="C70" s="9" t="s">
        <v>27</v>
      </c>
      <c r="D70" s="52">
        <v>46089</v>
      </c>
      <c r="E70" s="48">
        <v>0.62361111111111112</v>
      </c>
      <c r="F70" s="48">
        <v>0.63055555555555554</v>
      </c>
      <c r="G70" s="43">
        <f>(F70-E70)*1440</f>
        <v>9.9999999999999645</v>
      </c>
      <c r="H70" s="9" t="s">
        <v>253</v>
      </c>
      <c r="I70" s="9" t="s">
        <v>243</v>
      </c>
      <c r="J70" s="44">
        <v>6.8</v>
      </c>
      <c r="K70" s="60">
        <v>3.9</v>
      </c>
      <c r="L70" s="56">
        <v>3.25</v>
      </c>
      <c r="M70" s="14">
        <f>K70-L70</f>
        <v>0.64999999999999991</v>
      </c>
      <c r="N70" s="15">
        <f>IFERROR(M70/K70,0)</f>
        <v>0.16666666666666666</v>
      </c>
      <c r="O70" s="14">
        <f>IFERROR(L70/J70,0)</f>
        <v>0.47794117647058826</v>
      </c>
      <c r="P70" s="14">
        <f>IFERROR(L70/G70,0)</f>
        <v>0.32500000000000118</v>
      </c>
    </row>
    <row r="71" spans="1:18" x14ac:dyDescent="0.3">
      <c r="A71" s="9" t="s">
        <v>307</v>
      </c>
      <c r="B71" s="9" t="s">
        <v>18</v>
      </c>
      <c r="C71" s="9" t="s">
        <v>196</v>
      </c>
      <c r="D71" s="52">
        <v>46089</v>
      </c>
      <c r="E71" s="48">
        <v>0.82013888888888886</v>
      </c>
      <c r="F71" s="48">
        <v>0.84583333333333333</v>
      </c>
      <c r="G71" s="43">
        <f>(F71-E71)*1440</f>
        <v>37.000000000000028</v>
      </c>
      <c r="H71" s="9" t="s">
        <v>580</v>
      </c>
      <c r="I71" s="9" t="s">
        <v>581</v>
      </c>
      <c r="J71" s="44">
        <v>25.57</v>
      </c>
      <c r="K71" s="60">
        <v>15.91</v>
      </c>
      <c r="L71" s="56">
        <v>12.36</v>
      </c>
      <c r="M71" s="14">
        <f>K71-L71</f>
        <v>3.5500000000000007</v>
      </c>
      <c r="N71" s="15">
        <f>IFERROR(M71/K71,0)</f>
        <v>0.22313010685103712</v>
      </c>
      <c r="O71" s="14">
        <f>IFERROR(L71/J71,0)</f>
        <v>0.48337895971841999</v>
      </c>
      <c r="P71" s="14">
        <f>IFERROR(L71/G71,0)</f>
        <v>0.33405405405405381</v>
      </c>
    </row>
    <row r="72" spans="1:18" x14ac:dyDescent="0.3">
      <c r="A72" s="9" t="s">
        <v>287</v>
      </c>
      <c r="B72" s="9" t="s">
        <v>26</v>
      </c>
      <c r="C72" s="9" t="s">
        <v>27</v>
      </c>
      <c r="D72" s="52">
        <v>46089</v>
      </c>
      <c r="E72" s="48">
        <v>0.58124999999999993</v>
      </c>
      <c r="F72" s="48">
        <v>0.59027777777777779</v>
      </c>
      <c r="G72" s="43">
        <f>(F72-E72)*1440</f>
        <v>13.000000000000114</v>
      </c>
      <c r="H72" s="9" t="s">
        <v>545</v>
      </c>
      <c r="I72" s="9" t="s">
        <v>546</v>
      </c>
      <c r="J72" s="44">
        <v>8.1</v>
      </c>
      <c r="K72" s="60">
        <v>5.3</v>
      </c>
      <c r="L72" s="56">
        <v>3.97</v>
      </c>
      <c r="M72" s="14">
        <f>K72-L72</f>
        <v>1.3299999999999996</v>
      </c>
      <c r="N72" s="15">
        <f>IFERROR(M72/K72,0)</f>
        <v>0.25094339622641504</v>
      </c>
      <c r="O72" s="14">
        <f>IFERROR(L72/J72,0)</f>
        <v>0.49012345679012348</v>
      </c>
      <c r="P72" s="14">
        <f>IFERROR(L72/G72,0)</f>
        <v>0.30538461538461276</v>
      </c>
    </row>
    <row r="73" spans="1:18" x14ac:dyDescent="0.3">
      <c r="A73" s="9" t="s">
        <v>304</v>
      </c>
      <c r="B73" s="9" t="s">
        <v>26</v>
      </c>
      <c r="C73" s="9" t="s">
        <v>27</v>
      </c>
      <c r="D73" s="52">
        <v>46089</v>
      </c>
      <c r="E73" s="48">
        <v>0.88194444444444453</v>
      </c>
      <c r="F73" s="48">
        <v>0.89722222222222225</v>
      </c>
      <c r="G73" s="43">
        <f>(F73-E73)*1440</f>
        <v>21.999999999999922</v>
      </c>
      <c r="H73" s="9" t="s">
        <v>225</v>
      </c>
      <c r="I73" s="9" t="s">
        <v>575</v>
      </c>
      <c r="J73" s="44">
        <v>22.5</v>
      </c>
      <c r="K73" s="60">
        <v>14.67</v>
      </c>
      <c r="L73" s="56">
        <v>12.1</v>
      </c>
      <c r="M73" s="14">
        <f>K73-L73</f>
        <v>2.5700000000000003</v>
      </c>
      <c r="N73" s="15">
        <f>IFERROR(M73/K73,0)</f>
        <v>0.17518745739604638</v>
      </c>
      <c r="O73" s="14">
        <f>IFERROR(L73/J73,0)</f>
        <v>0.5377777777777778</v>
      </c>
      <c r="P73" s="14">
        <f>IFERROR(L73/G73,0)</f>
        <v>0.55000000000000193</v>
      </c>
      <c r="R73" s="57">
        <v>3.49</v>
      </c>
    </row>
    <row r="74" spans="1:18" x14ac:dyDescent="0.3">
      <c r="A74" s="9" t="s">
        <v>303</v>
      </c>
      <c r="B74" s="9" t="s">
        <v>26</v>
      </c>
      <c r="C74" s="9" t="s">
        <v>27</v>
      </c>
      <c r="D74" s="52">
        <v>46089</v>
      </c>
      <c r="E74" s="48">
        <v>0.8569444444444444</v>
      </c>
      <c r="F74" s="48">
        <v>0.86805555555555547</v>
      </c>
      <c r="G74" s="43">
        <f>(F74-E74)*1440</f>
        <v>15.999999999999943</v>
      </c>
      <c r="H74" s="9" t="s">
        <v>573</v>
      </c>
      <c r="I74" s="9" t="s">
        <v>574</v>
      </c>
      <c r="J74" s="44">
        <v>9.6</v>
      </c>
      <c r="K74" s="60">
        <v>5.14</v>
      </c>
      <c r="L74" s="56">
        <v>5.3</v>
      </c>
      <c r="M74" s="14">
        <f>K74-L74</f>
        <v>-0.16000000000000014</v>
      </c>
      <c r="N74" s="15">
        <f>IFERROR(M74/K74,0)</f>
        <v>-3.1128404669260729E-2</v>
      </c>
      <c r="O74" s="14">
        <f>IFERROR(L74/J74,0)</f>
        <v>0.55208333333333337</v>
      </c>
      <c r="P74" s="14">
        <f>IFERROR(L74/G74,0)</f>
        <v>0.33125000000000115</v>
      </c>
    </row>
    <row r="75" spans="1:18" x14ac:dyDescent="0.3">
      <c r="A75" s="9" t="s">
        <v>299</v>
      </c>
      <c r="B75" s="9" t="s">
        <v>26</v>
      </c>
      <c r="C75" s="9" t="s">
        <v>27</v>
      </c>
      <c r="D75" s="52">
        <v>46089</v>
      </c>
      <c r="E75" s="48">
        <v>0.72986111111111107</v>
      </c>
      <c r="F75" s="48">
        <v>0.74236111111111114</v>
      </c>
      <c r="G75" s="43">
        <f>(F75-E75)*1440</f>
        <v>18.000000000000096</v>
      </c>
      <c r="H75" s="9" t="s">
        <v>566</v>
      </c>
      <c r="I75" s="9" t="s">
        <v>567</v>
      </c>
      <c r="J75" s="44">
        <v>11.6</v>
      </c>
      <c r="K75" s="60">
        <v>8.9</v>
      </c>
      <c r="L75" s="56">
        <v>6.67</v>
      </c>
      <c r="M75" s="14">
        <f>K75-L75</f>
        <v>2.2300000000000004</v>
      </c>
      <c r="N75" s="15">
        <f>IFERROR(M75/K75,0)</f>
        <v>0.25056179775280901</v>
      </c>
      <c r="O75" s="14">
        <f>IFERROR(L75/J75,0)</f>
        <v>0.57500000000000007</v>
      </c>
      <c r="P75" s="14">
        <f>IFERROR(L75/G75,0)</f>
        <v>0.37055555555555358</v>
      </c>
      <c r="R75" s="57">
        <v>1.02</v>
      </c>
    </row>
    <row r="76" spans="1:18" x14ac:dyDescent="0.3">
      <c r="A76" s="9" t="s">
        <v>297</v>
      </c>
      <c r="B76" s="9" t="s">
        <v>26</v>
      </c>
      <c r="C76" s="9" t="s">
        <v>27</v>
      </c>
      <c r="D76" s="52">
        <v>46089</v>
      </c>
      <c r="E76" s="48">
        <v>0.69861111111111107</v>
      </c>
      <c r="F76" s="48">
        <v>0.71388888888888891</v>
      </c>
      <c r="G76" s="43">
        <f>(F76-E76)*1440</f>
        <v>22.000000000000082</v>
      </c>
      <c r="H76" s="9" t="s">
        <v>562</v>
      </c>
      <c r="I76" s="9" t="s">
        <v>563</v>
      </c>
      <c r="J76" s="44">
        <v>12.1</v>
      </c>
      <c r="K76" s="60">
        <v>11.3</v>
      </c>
      <c r="L76" s="56">
        <v>8.4700000000000006</v>
      </c>
      <c r="M76" s="14">
        <f>K76-L76</f>
        <v>2.83</v>
      </c>
      <c r="N76" s="15">
        <f>IFERROR(M76/K76,0)</f>
        <v>0.25044247787610618</v>
      </c>
      <c r="O76" s="14">
        <f>IFERROR(L76/J76,0)</f>
        <v>0.70000000000000007</v>
      </c>
      <c r="P76" s="14">
        <f>IFERROR(L76/G76,0)</f>
        <v>0.38499999999999862</v>
      </c>
      <c r="R76" s="57">
        <v>3.27</v>
      </c>
    </row>
    <row r="77" spans="1:18" x14ac:dyDescent="0.3">
      <c r="A77" s="9" t="s">
        <v>302</v>
      </c>
      <c r="B77" s="9" t="s">
        <v>26</v>
      </c>
      <c r="C77" s="9" t="s">
        <v>27</v>
      </c>
      <c r="D77" s="52">
        <v>46089</v>
      </c>
      <c r="E77" s="48">
        <v>0.78819444444444453</v>
      </c>
      <c r="F77" s="48">
        <v>0.79861111111111116</v>
      </c>
      <c r="G77" s="43">
        <f>(F77-E77)*1440</f>
        <v>14.999999999999947</v>
      </c>
      <c r="H77" s="9" t="s">
        <v>572</v>
      </c>
      <c r="I77" s="9" t="s">
        <v>571</v>
      </c>
      <c r="J77" s="44">
        <v>10.199999999999999</v>
      </c>
      <c r="K77" s="60">
        <v>7.65</v>
      </c>
      <c r="L77" s="56">
        <v>7.17</v>
      </c>
      <c r="M77" s="14">
        <f>K77-L77</f>
        <v>0.48000000000000043</v>
      </c>
      <c r="N77" s="15">
        <f>IFERROR(M77/K77,0)</f>
        <v>6.2745098039215741E-2</v>
      </c>
      <c r="O77" s="14">
        <f>IFERROR(L77/J77,0)</f>
        <v>0.70294117647058829</v>
      </c>
      <c r="P77" s="14">
        <f>IFERROR(L77/G77,0)</f>
        <v>0.4780000000000017</v>
      </c>
      <c r="R77" s="57">
        <v>2.13</v>
      </c>
    </row>
    <row r="78" spans="1:18" x14ac:dyDescent="0.3">
      <c r="A78" s="9" t="s">
        <v>305</v>
      </c>
      <c r="B78" s="9" t="s">
        <v>18</v>
      </c>
      <c r="C78" s="9" t="s">
        <v>184</v>
      </c>
      <c r="D78" s="52">
        <v>46089</v>
      </c>
      <c r="E78" s="48">
        <v>0.63402777777777775</v>
      </c>
      <c r="F78" s="48">
        <v>0.63888888888888895</v>
      </c>
      <c r="G78" s="43">
        <f>(F78-E78)*1440</f>
        <v>7.000000000000135</v>
      </c>
      <c r="H78" s="9" t="s">
        <v>576</v>
      </c>
      <c r="I78" s="9" t="s">
        <v>577</v>
      </c>
      <c r="J78" s="44">
        <v>4.57</v>
      </c>
      <c r="K78" s="60">
        <v>3.93</v>
      </c>
      <c r="L78" s="56">
        <v>3.31</v>
      </c>
      <c r="M78" s="14">
        <f>K78-L78</f>
        <v>0.62000000000000011</v>
      </c>
      <c r="N78" s="15">
        <f>IFERROR(M78/K78,0)</f>
        <v>0.15776081424936389</v>
      </c>
      <c r="O78" s="14">
        <f>IFERROR(L78/J78,0)</f>
        <v>0.724288840262582</v>
      </c>
      <c r="P78" s="14">
        <f>IFERROR(L78/G78,0)</f>
        <v>0.47285714285713376</v>
      </c>
    </row>
    <row r="79" spans="1:18" x14ac:dyDescent="0.3">
      <c r="A79" s="9" t="s">
        <v>306</v>
      </c>
      <c r="B79" s="9" t="s">
        <v>18</v>
      </c>
      <c r="C79" s="9" t="s">
        <v>196</v>
      </c>
      <c r="D79" s="52">
        <v>46089</v>
      </c>
      <c r="E79" s="48">
        <v>0.7416666666666667</v>
      </c>
      <c r="F79" s="48">
        <v>0.75277777777777777</v>
      </c>
      <c r="G79" s="43">
        <f>(F79-E79)*1440</f>
        <v>15.999999999999943</v>
      </c>
      <c r="H79" s="9" t="s">
        <v>578</v>
      </c>
      <c r="I79" s="9" t="s">
        <v>579</v>
      </c>
      <c r="J79" s="44">
        <v>7.97</v>
      </c>
      <c r="K79" s="60">
        <v>6.98</v>
      </c>
      <c r="L79" s="56">
        <v>5.85</v>
      </c>
      <c r="M79" s="14">
        <f>K79-L79</f>
        <v>1.1300000000000008</v>
      </c>
      <c r="N79" s="15">
        <f>IFERROR(M79/K79,0)</f>
        <v>0.16189111747851012</v>
      </c>
      <c r="O79" s="14">
        <f>IFERROR(L79/J79,0)</f>
        <v>0.73400250941028855</v>
      </c>
      <c r="P79" s="14">
        <f>IFERROR(L79/G79,0)</f>
        <v>0.36562500000000125</v>
      </c>
    </row>
    <row r="80" spans="1:18" x14ac:dyDescent="0.3">
      <c r="A80" s="9" t="s">
        <v>300</v>
      </c>
      <c r="B80" s="9" t="s">
        <v>26</v>
      </c>
      <c r="C80" s="9" t="s">
        <v>27</v>
      </c>
      <c r="D80" s="52">
        <v>46089</v>
      </c>
      <c r="E80" s="48">
        <v>0.7597222222222223</v>
      </c>
      <c r="F80" s="48">
        <v>0.7729166666666667</v>
      </c>
      <c r="G80" s="43">
        <f>(F80-E80)*1440</f>
        <v>18.999999999999932</v>
      </c>
      <c r="H80" s="9" t="s">
        <v>568</v>
      </c>
      <c r="I80" s="9" t="s">
        <v>569</v>
      </c>
      <c r="J80" s="44">
        <v>10.5</v>
      </c>
      <c r="K80" s="60">
        <v>10.9</v>
      </c>
      <c r="L80" s="56">
        <v>8.17</v>
      </c>
      <c r="M80" s="14">
        <f>K80-L80</f>
        <v>2.7300000000000004</v>
      </c>
      <c r="N80" s="15">
        <f>IFERROR(M80/K80,0)</f>
        <v>0.25045871559633032</v>
      </c>
      <c r="O80" s="14">
        <f>IFERROR(L80/J80,0)</f>
        <v>0.77809523809523806</v>
      </c>
      <c r="P80" s="14">
        <f>IFERROR(L80/G80,0)</f>
        <v>0.43000000000000155</v>
      </c>
      <c r="R80" s="57">
        <v>2.29</v>
      </c>
    </row>
    <row r="81" spans="1:18" x14ac:dyDescent="0.3">
      <c r="A81" s="9" t="s">
        <v>301</v>
      </c>
      <c r="B81" s="9" t="s">
        <v>26</v>
      </c>
      <c r="C81" s="9" t="s">
        <v>27</v>
      </c>
      <c r="D81" s="52">
        <v>46089</v>
      </c>
      <c r="E81" s="48">
        <v>0.77430555555555547</v>
      </c>
      <c r="F81" s="48">
        <v>0.78611111111111109</v>
      </c>
      <c r="G81" s="43">
        <f>(F81-E81)*1440</f>
        <v>17.000000000000099</v>
      </c>
      <c r="H81" s="9" t="s">
        <v>214</v>
      </c>
      <c r="I81" s="9" t="s">
        <v>570</v>
      </c>
      <c r="J81" s="44">
        <v>6.19</v>
      </c>
      <c r="K81" s="60">
        <v>6.19</v>
      </c>
      <c r="L81" s="56">
        <v>5.8</v>
      </c>
      <c r="M81" s="14">
        <f>K81-L81</f>
        <v>0.39000000000000057</v>
      </c>
      <c r="N81" s="15">
        <f>IFERROR(M81/K81,0)</f>
        <v>6.3004846526655986E-2</v>
      </c>
      <c r="O81" s="14">
        <f>IFERROR(L81/J81,0)</f>
        <v>0.93699515347334406</v>
      </c>
      <c r="P81" s="14">
        <f>IFERROR(L81/G81,0)</f>
        <v>0.3411764705882333</v>
      </c>
      <c r="R81" s="57">
        <v>0.72</v>
      </c>
    </row>
    <row r="82" spans="1:18" x14ac:dyDescent="0.3">
      <c r="A82" s="9" t="s">
        <v>293</v>
      </c>
      <c r="B82" s="9" t="s">
        <v>553</v>
      </c>
      <c r="C82" s="9" t="s">
        <v>27</v>
      </c>
      <c r="D82" s="52">
        <v>46089</v>
      </c>
      <c r="E82" s="48">
        <v>0.64652777777777781</v>
      </c>
      <c r="F82" s="48">
        <v>0.65347222222222223</v>
      </c>
      <c r="G82" s="43">
        <f>(F82-E82)*1440</f>
        <v>9.9999999999999645</v>
      </c>
      <c r="H82" s="9" t="s">
        <v>554</v>
      </c>
      <c r="I82" s="9" t="s">
        <v>555</v>
      </c>
      <c r="J82" s="44">
        <v>6.1</v>
      </c>
      <c r="K82" s="60">
        <v>7.9</v>
      </c>
      <c r="L82" s="56">
        <v>7.4</v>
      </c>
      <c r="M82" s="14">
        <f>K82-L82</f>
        <v>0.5</v>
      </c>
      <c r="N82" s="15">
        <f>IFERROR(M82/K82,0)</f>
        <v>6.3291139240506319E-2</v>
      </c>
      <c r="O82" s="14">
        <f>IFERROR(L82/J82,0)</f>
        <v>1.2131147540983609</v>
      </c>
      <c r="P82" s="14">
        <f>IFERROR(L82/G82,0)</f>
        <v>0.74000000000000266</v>
      </c>
      <c r="R82" s="57">
        <v>5.0599999999999996</v>
      </c>
    </row>
    <row r="83" spans="1:18" x14ac:dyDescent="0.3">
      <c r="A83" s="9" t="s">
        <v>295</v>
      </c>
      <c r="B83" s="9" t="s">
        <v>26</v>
      </c>
      <c r="C83" s="9" t="s">
        <v>27</v>
      </c>
      <c r="D83" s="52">
        <v>46089</v>
      </c>
      <c r="E83" s="48">
        <v>0.67013888888888884</v>
      </c>
      <c r="F83" s="48">
        <v>0.67569444444444438</v>
      </c>
      <c r="G83" s="43">
        <f>(F83-E83)*1440</f>
        <v>7.9999999999999716</v>
      </c>
      <c r="H83" s="9" t="s">
        <v>558</v>
      </c>
      <c r="I83" s="9" t="s">
        <v>559</v>
      </c>
      <c r="J83" s="44">
        <v>3</v>
      </c>
      <c r="K83" s="60">
        <v>5.39</v>
      </c>
      <c r="L83" s="56">
        <v>4.04</v>
      </c>
      <c r="M83" s="14">
        <f>K83-L83</f>
        <v>1.3499999999999996</v>
      </c>
      <c r="N83" s="15">
        <f>IFERROR(M83/K83,0)</f>
        <v>0.25046382189239325</v>
      </c>
      <c r="O83" s="14">
        <f>IFERROR(L83/J83,0)</f>
        <v>1.3466666666666667</v>
      </c>
      <c r="P83" s="14">
        <f>IFERROR(L83/G83,0)</f>
        <v>0.50500000000000178</v>
      </c>
    </row>
    <row r="84" spans="1:18" x14ac:dyDescent="0.3">
      <c r="A84" s="9" t="s">
        <v>298</v>
      </c>
      <c r="B84" s="9" t="s">
        <v>26</v>
      </c>
      <c r="C84" s="9" t="s">
        <v>27</v>
      </c>
      <c r="D84" s="52">
        <v>46089</v>
      </c>
      <c r="E84" s="48">
        <v>0.71736111111111101</v>
      </c>
      <c r="F84" s="48">
        <v>0.72222222222222221</v>
      </c>
      <c r="G84" s="43">
        <f>(F84-E84)*1440</f>
        <v>7.000000000000135</v>
      </c>
      <c r="H84" s="9" t="s">
        <v>564</v>
      </c>
      <c r="I84" s="9" t="s">
        <v>565</v>
      </c>
      <c r="J84" s="44">
        <v>2.8</v>
      </c>
      <c r="K84" s="60">
        <v>5</v>
      </c>
      <c r="L84" s="56">
        <v>4.13</v>
      </c>
      <c r="M84" s="14">
        <f>K84-L84</f>
        <v>0.87000000000000011</v>
      </c>
      <c r="N84" s="15">
        <f>IFERROR(M84/K84,0)</f>
        <v>0.17400000000000002</v>
      </c>
      <c r="O84" s="14">
        <f>IFERROR(L84/J84,0)</f>
        <v>1.4750000000000001</v>
      </c>
      <c r="P84" s="14">
        <f>IFERROR(L84/G84,0)</f>
        <v>0.58999999999998864</v>
      </c>
      <c r="R84" s="57">
        <v>1.1499999999999999</v>
      </c>
    </row>
    <row r="85" spans="1:18" x14ac:dyDescent="0.3">
      <c r="A85" s="9" t="s">
        <v>290</v>
      </c>
      <c r="B85" s="9" t="s">
        <v>26</v>
      </c>
      <c r="C85" s="9" t="s">
        <v>27</v>
      </c>
      <c r="D85" s="52">
        <v>46089</v>
      </c>
      <c r="E85" s="48">
        <v>0.6166666666666667</v>
      </c>
      <c r="F85" s="48">
        <v>0.62152777777777779</v>
      </c>
      <c r="G85" s="43">
        <f>(F85-E85)*1440</f>
        <v>6.9999999999999751</v>
      </c>
      <c r="H85" s="9" t="s">
        <v>549</v>
      </c>
      <c r="I85" s="9" t="s">
        <v>550</v>
      </c>
      <c r="J85" s="44">
        <v>1.9</v>
      </c>
      <c r="K85" s="60">
        <v>4</v>
      </c>
      <c r="L85" s="56">
        <v>3</v>
      </c>
      <c r="M85" s="14">
        <f>K85-L85</f>
        <v>1</v>
      </c>
      <c r="N85" s="15">
        <f>IFERROR(M85/K85,0)</f>
        <v>0.25</v>
      </c>
      <c r="O85" s="14">
        <f>IFERROR(L85/J85,0)</f>
        <v>1.5789473684210527</v>
      </c>
      <c r="P85" s="14">
        <f>IFERROR(L85/G85,0)</f>
        <v>0.4285714285714301</v>
      </c>
    </row>
    <row r="86" spans="1:18" x14ac:dyDescent="0.3">
      <c r="A86" s="9" t="s">
        <v>292</v>
      </c>
      <c r="B86" s="9" t="s">
        <v>26</v>
      </c>
      <c r="C86" s="9" t="s">
        <v>27</v>
      </c>
      <c r="D86" s="52">
        <v>46089</v>
      </c>
      <c r="E86" s="48">
        <v>0.63055555555555554</v>
      </c>
      <c r="F86" s="48">
        <v>0.63472222222222219</v>
      </c>
      <c r="G86" s="43">
        <f>(F86-E86)*1440</f>
        <v>5.9999999999999787</v>
      </c>
      <c r="H86" s="9" t="s">
        <v>551</v>
      </c>
      <c r="I86" s="9" t="s">
        <v>552</v>
      </c>
      <c r="J86" s="44">
        <v>1.7</v>
      </c>
      <c r="K86" s="60">
        <v>3.85</v>
      </c>
      <c r="L86" s="56">
        <v>2.89</v>
      </c>
      <c r="M86" s="14">
        <f>K86-L86</f>
        <v>0.96</v>
      </c>
      <c r="N86" s="15">
        <f>IFERROR(M86/K86,0)</f>
        <v>0.24935064935064932</v>
      </c>
      <c r="O86" s="14">
        <f>IFERROR(L86/J86,0)</f>
        <v>1.7000000000000002</v>
      </c>
      <c r="P86" s="14">
        <f>IFERROR(L86/G86,0)</f>
        <v>0.48166666666666841</v>
      </c>
    </row>
    <row r="87" spans="1:18" x14ac:dyDescent="0.3">
      <c r="A87" s="9" t="s">
        <v>308</v>
      </c>
      <c r="B87" s="9" t="s">
        <v>18</v>
      </c>
      <c r="C87" s="9" t="s">
        <v>196</v>
      </c>
      <c r="D87" s="52">
        <v>46089</v>
      </c>
      <c r="E87" s="48">
        <v>0.87013888888888891</v>
      </c>
      <c r="F87" s="48">
        <v>0.87430555555555556</v>
      </c>
      <c r="G87" s="43">
        <f>(F87-E87)*1440</f>
        <v>5.9999999999999787</v>
      </c>
      <c r="H87" s="9" t="s">
        <v>582</v>
      </c>
      <c r="I87" s="9" t="s">
        <v>583</v>
      </c>
      <c r="J87" s="44">
        <v>2.61</v>
      </c>
      <c r="K87" s="60">
        <v>8.9700000000000006</v>
      </c>
      <c r="L87" s="56">
        <v>6.84</v>
      </c>
      <c r="M87" s="14">
        <f>K87-L87</f>
        <v>2.1300000000000008</v>
      </c>
      <c r="N87" s="15">
        <f>IFERROR(M87/K87,0)</f>
        <v>0.23745819397993317</v>
      </c>
      <c r="O87" s="14">
        <f>IFERROR(L87/J87,0)</f>
        <v>2.6206896551724137</v>
      </c>
      <c r="P87" s="14">
        <f>IFERROR(L87/G87,0)</f>
        <v>1.1400000000000041</v>
      </c>
    </row>
    <row r="88" spans="1:18" x14ac:dyDescent="0.3">
      <c r="A88" s="9" t="s">
        <v>296</v>
      </c>
      <c r="B88" s="9" t="s">
        <v>26</v>
      </c>
      <c r="C88" s="9" t="s">
        <v>27</v>
      </c>
      <c r="D88" s="52">
        <v>46089</v>
      </c>
      <c r="E88" s="48">
        <v>0.69166666666666676</v>
      </c>
      <c r="F88" s="48">
        <v>0.69444444444444453</v>
      </c>
      <c r="G88" s="43">
        <f>(F88-E88)*1440</f>
        <v>3.9999999999999858</v>
      </c>
      <c r="H88" s="9" t="s">
        <v>560</v>
      </c>
      <c r="I88" s="9" t="s">
        <v>561</v>
      </c>
      <c r="J88" s="44">
        <v>0.8</v>
      </c>
      <c r="K88" s="60">
        <v>7.32</v>
      </c>
      <c r="L88" s="56">
        <v>5.49</v>
      </c>
      <c r="M88" s="14">
        <f>K88-L88</f>
        <v>1.83</v>
      </c>
      <c r="N88" s="15">
        <f>IFERROR(M88/K88,0)</f>
        <v>0.25</v>
      </c>
      <c r="O88" s="14">
        <f>IFERROR(L88/J88,0)</f>
        <v>6.8624999999999998</v>
      </c>
      <c r="P88" s="14">
        <f>IFERROR(L88/G88,0)</f>
        <v>1.3725000000000049</v>
      </c>
      <c r="R88" s="57">
        <v>3.47</v>
      </c>
    </row>
    <row r="89" spans="1:18" x14ac:dyDescent="0.3">
      <c r="A89" s="9" t="s">
        <v>309</v>
      </c>
      <c r="B89" s="9" t="s">
        <v>18</v>
      </c>
      <c r="C89" s="9" t="s">
        <v>184</v>
      </c>
      <c r="D89" s="52">
        <v>46090</v>
      </c>
      <c r="E89" s="48">
        <v>0.6069444444444444</v>
      </c>
      <c r="F89" s="48">
        <v>0.62222222222222223</v>
      </c>
      <c r="G89" s="43">
        <f>(F89-E89)*1440</f>
        <v>22.000000000000082</v>
      </c>
      <c r="H89" s="9" t="s">
        <v>584</v>
      </c>
      <c r="I89" s="9" t="s">
        <v>585</v>
      </c>
      <c r="J89" s="44">
        <v>22.17</v>
      </c>
      <c r="K89" s="60">
        <v>9.9499999999999993</v>
      </c>
      <c r="L89" s="56">
        <v>6.47</v>
      </c>
      <c r="M89" s="14">
        <f>K89-L89</f>
        <v>3.4799999999999995</v>
      </c>
      <c r="N89" s="15">
        <f>IFERROR(M89/K89,0)</f>
        <v>0.34974874371859294</v>
      </c>
      <c r="O89" s="14">
        <f>IFERROR(L89/J89,0)</f>
        <v>0.29183581416328369</v>
      </c>
      <c r="P89" s="14">
        <f>IFERROR(L89/G89,0)</f>
        <v>0.29409090909090801</v>
      </c>
    </row>
    <row r="90" spans="1:18" x14ac:dyDescent="0.3">
      <c r="A90" s="9" t="s">
        <v>324</v>
      </c>
      <c r="B90" s="9" t="s">
        <v>26</v>
      </c>
      <c r="C90" s="9" t="s">
        <v>27</v>
      </c>
      <c r="D90" s="52">
        <v>46090</v>
      </c>
      <c r="E90" s="48">
        <v>0.85833333333333339</v>
      </c>
      <c r="F90" s="48">
        <v>0.87638888888888899</v>
      </c>
      <c r="G90" s="43">
        <f>(F90-E90)*1440</f>
        <v>26.000000000000068</v>
      </c>
      <c r="H90" s="9" t="s">
        <v>610</v>
      </c>
      <c r="I90" s="9" t="s">
        <v>611</v>
      </c>
      <c r="J90" s="44">
        <v>18.399999999999999</v>
      </c>
      <c r="K90" s="60">
        <v>10.210000000000001</v>
      </c>
      <c r="L90" s="56">
        <v>7.66</v>
      </c>
      <c r="M90" s="14">
        <f>K90-L90</f>
        <v>2.5500000000000007</v>
      </c>
      <c r="N90" s="15">
        <f>IFERROR(M90/K90,0)</f>
        <v>0.24975514201762983</v>
      </c>
      <c r="O90" s="14">
        <f>IFERROR(L90/J90,0)</f>
        <v>0.416304347826087</v>
      </c>
      <c r="P90" s="14">
        <f>IFERROR(L90/G90,0)</f>
        <v>0.29461538461538384</v>
      </c>
    </row>
    <row r="91" spans="1:18" x14ac:dyDescent="0.3">
      <c r="A91" s="9" t="s">
        <v>323</v>
      </c>
      <c r="B91" s="9" t="s">
        <v>26</v>
      </c>
      <c r="C91" s="9" t="s">
        <v>27</v>
      </c>
      <c r="D91" s="52">
        <v>46090</v>
      </c>
      <c r="E91" s="48">
        <v>0.84305555555555556</v>
      </c>
      <c r="F91" s="48">
        <v>0.85625000000000007</v>
      </c>
      <c r="G91" s="43">
        <f>(F91-E91)*1440</f>
        <v>19.000000000000092</v>
      </c>
      <c r="H91" s="9" t="s">
        <v>608</v>
      </c>
      <c r="I91" s="9" t="s">
        <v>609</v>
      </c>
      <c r="J91" s="44">
        <v>15</v>
      </c>
      <c r="K91" s="60">
        <v>6.9</v>
      </c>
      <c r="L91" s="56">
        <v>6.47</v>
      </c>
      <c r="M91" s="14">
        <f>K91-L91</f>
        <v>0.4300000000000006</v>
      </c>
      <c r="N91" s="15">
        <f>IFERROR(M91/K91,0)</f>
        <v>6.2318840579710232E-2</v>
      </c>
      <c r="O91" s="14">
        <f>IFERROR(L91/J91,0)</f>
        <v>0.43133333333333329</v>
      </c>
      <c r="P91" s="14">
        <f>IFERROR(L91/G91,0)</f>
        <v>0.34052631578947201</v>
      </c>
    </row>
    <row r="92" spans="1:18" x14ac:dyDescent="0.3">
      <c r="A92" s="9" t="s">
        <v>317</v>
      </c>
      <c r="B92" s="9" t="s">
        <v>26</v>
      </c>
      <c r="C92" s="9" t="s">
        <v>27</v>
      </c>
      <c r="D92" s="52">
        <v>46090</v>
      </c>
      <c r="E92" s="48">
        <v>0.57013888888888886</v>
      </c>
      <c r="F92" s="48">
        <v>0.59097222222222223</v>
      </c>
      <c r="G92" s="43">
        <f>(F92-E92)*1440</f>
        <v>30.000000000000053</v>
      </c>
      <c r="H92" s="9" t="s">
        <v>598</v>
      </c>
      <c r="I92" s="9" t="s">
        <v>599</v>
      </c>
      <c r="J92" s="44">
        <v>22.6</v>
      </c>
      <c r="K92" s="60">
        <v>11.9</v>
      </c>
      <c r="L92" s="56">
        <v>9.91</v>
      </c>
      <c r="M92" s="14">
        <f>K92-L92</f>
        <v>1.9900000000000002</v>
      </c>
      <c r="N92" s="15">
        <f>IFERROR(M92/K92,0)</f>
        <v>0.16722689075630254</v>
      </c>
      <c r="O92" s="14">
        <f>IFERROR(L92/J92,0)</f>
        <v>0.43849557522123894</v>
      </c>
      <c r="P92" s="14">
        <f>IFERROR(L92/G92,0)</f>
        <v>0.33033333333333276</v>
      </c>
    </row>
    <row r="93" spans="1:18" x14ac:dyDescent="0.3">
      <c r="A93" s="9" t="s">
        <v>310</v>
      </c>
      <c r="B93" s="9" t="s">
        <v>18</v>
      </c>
      <c r="C93" s="9" t="s">
        <v>184</v>
      </c>
      <c r="D93" s="52">
        <v>46090</v>
      </c>
      <c r="E93" s="48">
        <v>0.64444444444444449</v>
      </c>
      <c r="F93" s="48">
        <v>0.65138888888888891</v>
      </c>
      <c r="G93" s="43">
        <f>(F93-E93)*1440</f>
        <v>9.9999999999999645</v>
      </c>
      <c r="H93" s="9" t="s">
        <v>586</v>
      </c>
      <c r="I93" s="9" t="s">
        <v>587</v>
      </c>
      <c r="J93" s="44">
        <v>7.27</v>
      </c>
      <c r="K93" s="60">
        <v>4.95</v>
      </c>
      <c r="L93" s="56">
        <v>3.22</v>
      </c>
      <c r="M93" s="14">
        <f>K93-L93</f>
        <v>1.73</v>
      </c>
      <c r="N93" s="15">
        <f>IFERROR(M93/K93,0)</f>
        <v>0.34949494949494947</v>
      </c>
      <c r="O93" s="14">
        <f>IFERROR(L93/J93,0)</f>
        <v>0.44291609353507572</v>
      </c>
      <c r="P93" s="14">
        <f>IFERROR(L93/G93,0)</f>
        <v>0.32200000000000117</v>
      </c>
    </row>
    <row r="94" spans="1:18" x14ac:dyDescent="0.3">
      <c r="A94" s="9" t="s">
        <v>319</v>
      </c>
      <c r="B94" s="9" t="s">
        <v>26</v>
      </c>
      <c r="C94" s="9" t="s">
        <v>27</v>
      </c>
      <c r="D94" s="52">
        <v>46090</v>
      </c>
      <c r="E94" s="48">
        <v>0.62916666666666665</v>
      </c>
      <c r="F94" s="48">
        <v>0.64097222222222217</v>
      </c>
      <c r="G94" s="43">
        <f>(F94-E94)*1440</f>
        <v>16.99999999999994</v>
      </c>
      <c r="H94" s="9" t="s">
        <v>601</v>
      </c>
      <c r="I94" s="9" t="s">
        <v>602</v>
      </c>
      <c r="J94" s="44">
        <v>14.5</v>
      </c>
      <c r="K94" s="60">
        <v>8.57</v>
      </c>
      <c r="L94" s="56">
        <v>6.43</v>
      </c>
      <c r="M94" s="14">
        <f>K94-L94</f>
        <v>2.1400000000000006</v>
      </c>
      <c r="N94" s="15">
        <f>IFERROR(M94/K94,0)</f>
        <v>0.24970828471411907</v>
      </c>
      <c r="O94" s="14">
        <f>IFERROR(L94/J94,0)</f>
        <v>0.44344827586206892</v>
      </c>
      <c r="P94" s="14">
        <f>IFERROR(L94/G94,0)</f>
        <v>0.37823529411764839</v>
      </c>
    </row>
    <row r="95" spans="1:18" x14ac:dyDescent="0.3">
      <c r="A95" s="9" t="s">
        <v>316</v>
      </c>
      <c r="B95" s="9" t="s">
        <v>18</v>
      </c>
      <c r="C95" s="9" t="s">
        <v>184</v>
      </c>
      <c r="D95" s="52">
        <v>46090</v>
      </c>
      <c r="E95" s="48">
        <v>0.90069444444444446</v>
      </c>
      <c r="F95" s="48">
        <v>0.90625</v>
      </c>
      <c r="G95" s="43">
        <f>(F95-E95)*1440</f>
        <v>7.9999999999999716</v>
      </c>
      <c r="H95" s="9" t="s">
        <v>584</v>
      </c>
      <c r="I95" s="9" t="s">
        <v>597</v>
      </c>
      <c r="J95" s="44">
        <v>6.87</v>
      </c>
      <c r="K95" s="60">
        <v>4.93</v>
      </c>
      <c r="L95" s="56">
        <v>3.53</v>
      </c>
      <c r="M95" s="14">
        <f>K95-L95</f>
        <v>1.4</v>
      </c>
      <c r="N95" s="15">
        <f>IFERROR(M95/K95,0)</f>
        <v>0.28397565922920892</v>
      </c>
      <c r="O95" s="14">
        <f>IFERROR(L95/J95,0)</f>
        <v>0.51382823871906835</v>
      </c>
      <c r="P95" s="14">
        <f>IFERROR(L95/G95,0)</f>
        <v>0.44125000000000153</v>
      </c>
    </row>
    <row r="96" spans="1:18" x14ac:dyDescent="0.3">
      <c r="A96" s="9" t="s">
        <v>311</v>
      </c>
      <c r="B96" s="9" t="s">
        <v>18</v>
      </c>
      <c r="C96" s="9" t="s">
        <v>184</v>
      </c>
      <c r="D96" s="52">
        <v>46090</v>
      </c>
      <c r="E96" s="48">
        <v>0.70624999999999993</v>
      </c>
      <c r="F96" s="48">
        <v>0.72083333333333333</v>
      </c>
      <c r="G96" s="43">
        <f>(F96-E96)*1440</f>
        <v>21.000000000000085</v>
      </c>
      <c r="H96" s="9" t="s">
        <v>588</v>
      </c>
      <c r="I96" s="9" t="s">
        <v>225</v>
      </c>
      <c r="J96" s="44">
        <v>13.12</v>
      </c>
      <c r="K96" s="60">
        <v>10.23</v>
      </c>
      <c r="L96" s="56">
        <v>7.26</v>
      </c>
      <c r="M96" s="14">
        <f>K96-L96</f>
        <v>2.9700000000000006</v>
      </c>
      <c r="N96" s="15">
        <f>IFERROR(M96/K96,0)</f>
        <v>0.29032258064516137</v>
      </c>
      <c r="O96" s="14">
        <f>IFERROR(L96/J96,0)</f>
        <v>0.55335365853658536</v>
      </c>
      <c r="P96" s="14">
        <f>IFERROR(L96/G96,0)</f>
        <v>0.34571428571428431</v>
      </c>
    </row>
    <row r="97" spans="1:18" x14ac:dyDescent="0.3">
      <c r="A97" s="9" t="s">
        <v>314</v>
      </c>
      <c r="B97" s="9" t="s">
        <v>18</v>
      </c>
      <c r="C97" s="9" t="s">
        <v>184</v>
      </c>
      <c r="D97" s="52">
        <v>46090</v>
      </c>
      <c r="E97" s="48">
        <v>0.79236111111111107</v>
      </c>
      <c r="F97" s="48">
        <v>0.80625000000000002</v>
      </c>
      <c r="G97" s="43">
        <f>(F97-E97)*1440</f>
        <v>20.000000000000089</v>
      </c>
      <c r="H97" s="9" t="s">
        <v>593</v>
      </c>
      <c r="I97" s="9" t="s">
        <v>594</v>
      </c>
      <c r="J97" s="44">
        <v>12.97</v>
      </c>
      <c r="K97" s="60">
        <v>8.9600000000000009</v>
      </c>
      <c r="L97" s="56">
        <v>7.18</v>
      </c>
      <c r="M97" s="14">
        <f>K97-L97</f>
        <v>1.7800000000000011</v>
      </c>
      <c r="N97" s="15">
        <f>IFERROR(M97/K97,0)</f>
        <v>0.19866071428571438</v>
      </c>
      <c r="O97" s="14">
        <f>IFERROR(L97/J97,0)</f>
        <v>0.5535851966075559</v>
      </c>
      <c r="P97" s="14">
        <f>IFERROR(L97/G97,0)</f>
        <v>0.35899999999999838</v>
      </c>
    </row>
    <row r="98" spans="1:18" x14ac:dyDescent="0.3">
      <c r="A98" s="9" t="s">
        <v>320</v>
      </c>
      <c r="B98" s="9" t="s">
        <v>26</v>
      </c>
      <c r="C98" s="9" t="s">
        <v>27</v>
      </c>
      <c r="D98" s="52">
        <v>46090</v>
      </c>
      <c r="E98" s="48">
        <v>0.66319444444444442</v>
      </c>
      <c r="F98" s="48">
        <v>0.67499999999999993</v>
      </c>
      <c r="G98" s="43">
        <f>(F98-E98)*1440</f>
        <v>16.99999999999994</v>
      </c>
      <c r="H98" s="9" t="s">
        <v>603</v>
      </c>
      <c r="I98" s="9" t="s">
        <v>604</v>
      </c>
      <c r="J98" s="44">
        <v>8.1999999999999993</v>
      </c>
      <c r="K98" s="60">
        <v>6.33</v>
      </c>
      <c r="L98" s="56">
        <v>4.75</v>
      </c>
      <c r="M98" s="14">
        <f>K98-L98</f>
        <v>1.58</v>
      </c>
      <c r="N98" s="15">
        <f>IFERROR(M98/K98,0)</f>
        <v>0.2496050552922591</v>
      </c>
      <c r="O98" s="14">
        <f>IFERROR(L98/J98,0)</f>
        <v>0.5792682926829269</v>
      </c>
      <c r="P98" s="14">
        <f>IFERROR(L98/G98,0)</f>
        <v>0.27941176470588336</v>
      </c>
    </row>
    <row r="99" spans="1:18" x14ac:dyDescent="0.3">
      <c r="A99" s="9" t="s">
        <v>321</v>
      </c>
      <c r="B99" s="9" t="s">
        <v>26</v>
      </c>
      <c r="C99" s="9" t="s">
        <v>27</v>
      </c>
      <c r="D99" s="52">
        <v>46090</v>
      </c>
      <c r="E99" s="48">
        <v>0.67638888888888893</v>
      </c>
      <c r="F99" s="48">
        <v>0.69236111111111109</v>
      </c>
      <c r="G99" s="43">
        <f>(F99-E99)*1440</f>
        <v>22.999999999999918</v>
      </c>
      <c r="H99" s="9" t="s">
        <v>604</v>
      </c>
      <c r="I99" s="9" t="s">
        <v>605</v>
      </c>
      <c r="J99" s="44">
        <v>10.199999999999999</v>
      </c>
      <c r="K99" s="60">
        <v>9.43</v>
      </c>
      <c r="L99" s="56">
        <v>7.07</v>
      </c>
      <c r="M99" s="14">
        <f>K99-L99</f>
        <v>2.3599999999999994</v>
      </c>
      <c r="N99" s="15">
        <f>IFERROR(M99/K99,0)</f>
        <v>0.2502651113467656</v>
      </c>
      <c r="O99" s="14">
        <f>IFERROR(L99/J99,0)</f>
        <v>0.69313725490196088</v>
      </c>
      <c r="P99" s="14">
        <f>IFERROR(L99/G99,0)</f>
        <v>0.30739130434782719</v>
      </c>
      <c r="R99" s="57">
        <v>0.87</v>
      </c>
    </row>
    <row r="100" spans="1:18" x14ac:dyDescent="0.3">
      <c r="A100" s="9" t="s">
        <v>312</v>
      </c>
      <c r="B100" s="9" t="s">
        <v>18</v>
      </c>
      <c r="C100" s="9" t="s">
        <v>184</v>
      </c>
      <c r="D100" s="52">
        <v>46090</v>
      </c>
      <c r="E100" s="48">
        <v>0.73125000000000007</v>
      </c>
      <c r="F100" s="48">
        <v>0.75694444444444453</v>
      </c>
      <c r="G100" s="43">
        <f>(F100-E100)*1440</f>
        <v>37.000000000000028</v>
      </c>
      <c r="H100" s="9" t="s">
        <v>589</v>
      </c>
      <c r="I100" s="9" t="s">
        <v>590</v>
      </c>
      <c r="J100" s="44">
        <v>16.07</v>
      </c>
      <c r="K100" s="60">
        <v>14.94</v>
      </c>
      <c r="L100" s="56">
        <v>11.51</v>
      </c>
      <c r="M100" s="14">
        <f>K100-L100</f>
        <v>3.4299999999999997</v>
      </c>
      <c r="N100" s="15">
        <f>IFERROR(M100/K100,0)</f>
        <v>0.22958500669344042</v>
      </c>
      <c r="O100" s="14">
        <f>IFERROR(L100/J100,0)</f>
        <v>0.71624144368388298</v>
      </c>
      <c r="P100" s="14">
        <f>IFERROR(L100/G100,0)</f>
        <v>0.31108108108108085</v>
      </c>
    </row>
    <row r="101" spans="1:18" x14ac:dyDescent="0.3">
      <c r="A101" s="9" t="s">
        <v>318</v>
      </c>
      <c r="B101" s="9" t="s">
        <v>26</v>
      </c>
      <c r="C101" s="9" t="s">
        <v>27</v>
      </c>
      <c r="D101" s="52">
        <v>46090</v>
      </c>
      <c r="E101" s="48">
        <v>0.59652777777777777</v>
      </c>
      <c r="F101" s="48">
        <v>0.60902777777777783</v>
      </c>
      <c r="G101" s="43">
        <f>(F101-E101)*1440</f>
        <v>18.000000000000096</v>
      </c>
      <c r="H101" s="9" t="s">
        <v>600</v>
      </c>
      <c r="I101" s="9" t="s">
        <v>530</v>
      </c>
      <c r="J101" s="44">
        <v>7.5</v>
      </c>
      <c r="K101" s="60">
        <v>6.9</v>
      </c>
      <c r="L101" s="56">
        <v>5.69</v>
      </c>
      <c r="M101" s="14">
        <f>K101-L101</f>
        <v>1.21</v>
      </c>
      <c r="N101" s="15">
        <f>IFERROR(M101/K101,0)</f>
        <v>0.17536231884057971</v>
      </c>
      <c r="O101" s="14">
        <f>IFERROR(L101/J101,0)</f>
        <v>0.75866666666666671</v>
      </c>
      <c r="P101" s="14">
        <f>IFERROR(L101/G101,0)</f>
        <v>0.31611111111110946</v>
      </c>
    </row>
    <row r="102" spans="1:18" x14ac:dyDescent="0.3">
      <c r="A102" s="9" t="s">
        <v>315</v>
      </c>
      <c r="B102" s="9" t="s">
        <v>18</v>
      </c>
      <c r="C102" s="9" t="s">
        <v>184</v>
      </c>
      <c r="D102" s="52">
        <v>46090</v>
      </c>
      <c r="E102" s="48">
        <v>0.8125</v>
      </c>
      <c r="F102" s="48">
        <v>0.81944444444444453</v>
      </c>
      <c r="G102" s="43">
        <f>(F102-E102)*1440</f>
        <v>10.000000000000124</v>
      </c>
      <c r="H102" s="9" t="s">
        <v>595</v>
      </c>
      <c r="I102" s="9" t="s">
        <v>596</v>
      </c>
      <c r="J102" s="44">
        <v>5.63</v>
      </c>
      <c r="K102" s="60">
        <v>5.99</v>
      </c>
      <c r="L102" s="56">
        <v>4.4800000000000004</v>
      </c>
      <c r="M102" s="14">
        <f>K102-L102</f>
        <v>1.5099999999999998</v>
      </c>
      <c r="N102" s="15">
        <f>IFERROR(M102/K102,0)</f>
        <v>0.25208681135225369</v>
      </c>
      <c r="O102" s="14">
        <f>IFERROR(L102/J102,0)</f>
        <v>0.79573712255772655</v>
      </c>
      <c r="P102" s="14">
        <f>IFERROR(L102/G102,0)</f>
        <v>0.44799999999999446</v>
      </c>
    </row>
    <row r="103" spans="1:18" x14ac:dyDescent="0.3">
      <c r="A103" s="9" t="s">
        <v>322</v>
      </c>
      <c r="B103" s="9" t="s">
        <v>26</v>
      </c>
      <c r="C103" s="9" t="s">
        <v>27</v>
      </c>
      <c r="D103" s="52">
        <v>46090</v>
      </c>
      <c r="E103" s="48">
        <v>0.69374999999999998</v>
      </c>
      <c r="F103" s="48">
        <v>0.70277777777777783</v>
      </c>
      <c r="G103" s="43">
        <f>(F103-E103)*1440</f>
        <v>13.000000000000114</v>
      </c>
      <c r="H103" s="9" t="s">
        <v>606</v>
      </c>
      <c r="I103" s="9" t="s">
        <v>607</v>
      </c>
      <c r="J103" s="44">
        <v>6.7</v>
      </c>
      <c r="K103" s="60">
        <v>7.22</v>
      </c>
      <c r="L103" s="56">
        <v>5.54</v>
      </c>
      <c r="M103" s="14">
        <f>K103-L103</f>
        <v>1.6799999999999997</v>
      </c>
      <c r="N103" s="15">
        <f>IFERROR(M103/K103,0)</f>
        <v>0.23268698060941825</v>
      </c>
      <c r="O103" s="14">
        <f>IFERROR(L103/J103,0)</f>
        <v>0.82686567164179103</v>
      </c>
      <c r="P103" s="14">
        <f>IFERROR(L103/G103,0)</f>
        <v>0.42615384615384244</v>
      </c>
      <c r="R103" s="57">
        <v>1.55</v>
      </c>
    </row>
    <row r="104" spans="1:18" x14ac:dyDescent="0.3">
      <c r="A104" s="9" t="s">
        <v>313</v>
      </c>
      <c r="B104" s="9" t="s">
        <v>18</v>
      </c>
      <c r="C104" s="9" t="s">
        <v>184</v>
      </c>
      <c r="D104" s="52">
        <v>46090</v>
      </c>
      <c r="E104" s="48">
        <v>0.76180555555555562</v>
      </c>
      <c r="F104" s="48">
        <v>0.76944444444444438</v>
      </c>
      <c r="G104" s="43">
        <f>(F104-E104)*1440</f>
        <v>10.999999999999801</v>
      </c>
      <c r="H104" s="9" t="s">
        <v>591</v>
      </c>
      <c r="I104" s="9" t="s">
        <v>592</v>
      </c>
      <c r="J104" s="44">
        <v>6.27</v>
      </c>
      <c r="K104" s="60">
        <v>5.36</v>
      </c>
      <c r="L104" s="56">
        <v>5.21</v>
      </c>
      <c r="M104" s="14">
        <f>K104-L104</f>
        <v>0.15000000000000036</v>
      </c>
      <c r="N104" s="15">
        <f>IFERROR(M104/K104,0)</f>
        <v>2.7985074626865735E-2</v>
      </c>
      <c r="O104" s="14">
        <f>IFERROR(L104/J104,0)</f>
        <v>0.83094098883572576</v>
      </c>
      <c r="P104" s="14">
        <f>IFERROR(L104/G104,0)</f>
        <v>0.47363636363637218</v>
      </c>
    </row>
    <row r="105" spans="1:18" x14ac:dyDescent="0.3">
      <c r="A105" s="9" t="s">
        <v>335</v>
      </c>
      <c r="B105" s="9" t="s">
        <v>18</v>
      </c>
      <c r="C105" s="9" t="s">
        <v>184</v>
      </c>
      <c r="D105" s="52">
        <v>46092</v>
      </c>
      <c r="E105" s="48">
        <v>0.56944444444444442</v>
      </c>
      <c r="F105" s="48">
        <v>0.58611111111111114</v>
      </c>
      <c r="G105" s="43">
        <f>(F105-E105)*1440</f>
        <v>24.000000000000075</v>
      </c>
      <c r="H105" s="9" t="s">
        <v>627</v>
      </c>
      <c r="I105" s="9" t="s">
        <v>621</v>
      </c>
      <c r="J105" s="44">
        <v>23.07</v>
      </c>
      <c r="K105" s="60">
        <v>12.96</v>
      </c>
      <c r="L105" s="56">
        <v>8.9700000000000006</v>
      </c>
      <c r="M105" s="14">
        <f>K105-L105</f>
        <v>3.99</v>
      </c>
      <c r="N105" s="15">
        <f>IFERROR(M105/K105,0)</f>
        <v>0.30787037037037035</v>
      </c>
      <c r="O105" s="14">
        <f>IFERROR(L105/J105,0)</f>
        <v>0.38881664499349805</v>
      </c>
      <c r="P105" s="14">
        <f>IFERROR(L105/G105,0)</f>
        <v>0.37374999999999886</v>
      </c>
    </row>
    <row r="106" spans="1:18" x14ac:dyDescent="0.3">
      <c r="A106" s="9" t="s">
        <v>334</v>
      </c>
      <c r="B106" s="9" t="s">
        <v>26</v>
      </c>
      <c r="C106" s="9" t="s">
        <v>27</v>
      </c>
      <c r="D106" s="52">
        <v>46092</v>
      </c>
      <c r="E106" s="48">
        <v>0.8930555555555556</v>
      </c>
      <c r="F106" s="48">
        <v>0.90625</v>
      </c>
      <c r="G106" s="43">
        <f>(F106-E106)*1440</f>
        <v>18.999999999999932</v>
      </c>
      <c r="H106" s="9" t="s">
        <v>584</v>
      </c>
      <c r="I106" s="9" t="s">
        <v>626</v>
      </c>
      <c r="J106" s="44">
        <v>13.1</v>
      </c>
      <c r="K106" s="60">
        <v>7.9</v>
      </c>
      <c r="L106" s="56">
        <v>5.92</v>
      </c>
      <c r="M106" s="14">
        <f>K106-L106</f>
        <v>1.9800000000000004</v>
      </c>
      <c r="N106" s="15">
        <f>IFERROR(M106/K106,0)</f>
        <v>0.25063291139240512</v>
      </c>
      <c r="O106" s="14">
        <f>IFERROR(L106/J106,0)</f>
        <v>0.45190839694656487</v>
      </c>
      <c r="P106" s="14">
        <f>IFERROR(L106/G106,0)</f>
        <v>0.31157894736842218</v>
      </c>
    </row>
    <row r="107" spans="1:18" x14ac:dyDescent="0.3">
      <c r="A107" s="9" t="s">
        <v>326</v>
      </c>
      <c r="B107" s="9" t="s">
        <v>26</v>
      </c>
      <c r="C107" s="9" t="s">
        <v>26</v>
      </c>
      <c r="D107" s="52">
        <v>46092</v>
      </c>
      <c r="E107" s="48">
        <v>0.61458333333333337</v>
      </c>
      <c r="F107" s="48">
        <v>0.62986111111111109</v>
      </c>
      <c r="G107" s="43">
        <f>(F107-E107)*1440</f>
        <v>21.999999999999922</v>
      </c>
      <c r="H107" s="9" t="s">
        <v>551</v>
      </c>
      <c r="I107" s="9" t="s">
        <v>613</v>
      </c>
      <c r="J107" s="44">
        <v>20.5</v>
      </c>
      <c r="K107" s="60">
        <v>12.25</v>
      </c>
      <c r="L107" s="56">
        <v>9.4499999999999993</v>
      </c>
      <c r="M107" s="14">
        <f>K107-L107</f>
        <v>2.8000000000000007</v>
      </c>
      <c r="N107" s="15">
        <f>IFERROR(M107/K107,0)</f>
        <v>0.22857142857142862</v>
      </c>
      <c r="O107" s="14">
        <f>IFERROR(L107/J107,0)</f>
        <v>0.46097560975609753</v>
      </c>
      <c r="P107" s="14">
        <f>IFERROR(L107/G107,0)</f>
        <v>0.42954545454545606</v>
      </c>
      <c r="Q107" s="64">
        <v>1.05</v>
      </c>
    </row>
    <row r="108" spans="1:18" x14ac:dyDescent="0.3">
      <c r="A108" s="9" t="s">
        <v>333</v>
      </c>
      <c r="B108" s="9" t="s">
        <v>26</v>
      </c>
      <c r="C108" s="9" t="s">
        <v>27</v>
      </c>
      <c r="D108" s="52">
        <v>46092</v>
      </c>
      <c r="E108" s="48">
        <v>0.87152777777777779</v>
      </c>
      <c r="F108" s="48">
        <v>0.88263888888888886</v>
      </c>
      <c r="G108" s="43">
        <f>(F108-E108)*1440</f>
        <v>15.999999999999943</v>
      </c>
      <c r="H108" s="9" t="s">
        <v>624</v>
      </c>
      <c r="I108" s="9" t="s">
        <v>625</v>
      </c>
      <c r="J108" s="44">
        <v>13.8</v>
      </c>
      <c r="K108" s="60">
        <v>9.27</v>
      </c>
      <c r="L108" s="56">
        <v>6.95</v>
      </c>
      <c r="M108" s="14">
        <f>K108-L108</f>
        <v>2.3199999999999994</v>
      </c>
      <c r="N108" s="15">
        <f>IFERROR(M108/K108,0)</f>
        <v>0.250269687162891</v>
      </c>
      <c r="O108" s="14">
        <f>IFERROR(L108/J108,0)</f>
        <v>0.50362318840579712</v>
      </c>
      <c r="P108" s="14">
        <f>IFERROR(L108/G108,0)</f>
        <v>0.43437500000000157</v>
      </c>
    </row>
    <row r="109" spans="1:18" x14ac:dyDescent="0.3">
      <c r="A109" s="9" t="s">
        <v>336</v>
      </c>
      <c r="B109" s="9" t="s">
        <v>18</v>
      </c>
      <c r="C109" s="9" t="s">
        <v>184</v>
      </c>
      <c r="D109" s="52">
        <v>46092</v>
      </c>
      <c r="E109" s="48">
        <v>0.66597222222222219</v>
      </c>
      <c r="F109" s="48">
        <v>0.67708333333333337</v>
      </c>
      <c r="G109" s="43">
        <f>(F109-E109)*1440</f>
        <v>16.000000000000103</v>
      </c>
      <c r="H109" s="9" t="s">
        <v>628</v>
      </c>
      <c r="I109" s="9" t="s">
        <v>629</v>
      </c>
      <c r="J109" s="44">
        <v>8.9</v>
      </c>
      <c r="K109" s="60">
        <v>6.99</v>
      </c>
      <c r="L109" s="56">
        <v>4.54</v>
      </c>
      <c r="M109" s="14">
        <f>K109-L109</f>
        <v>2.4500000000000002</v>
      </c>
      <c r="N109" s="15">
        <f>IFERROR(M109/K109,0)</f>
        <v>0.35050071530758226</v>
      </c>
      <c r="O109" s="14">
        <f>IFERROR(L109/J109,0)</f>
        <v>0.51011235955056178</v>
      </c>
      <c r="P109" s="14">
        <f>IFERROR(L109/G109,0)</f>
        <v>0.28374999999999817</v>
      </c>
    </row>
    <row r="110" spans="1:18" x14ac:dyDescent="0.3">
      <c r="A110" s="9" t="s">
        <v>327</v>
      </c>
      <c r="B110" s="9" t="s">
        <v>26</v>
      </c>
      <c r="C110" s="9" t="s">
        <v>26</v>
      </c>
      <c r="D110" s="52">
        <v>46092</v>
      </c>
      <c r="E110" s="48">
        <v>0.64097222222222217</v>
      </c>
      <c r="F110" s="48">
        <v>0.66111111111111109</v>
      </c>
      <c r="G110" s="43">
        <f>(F110-E110)*1440</f>
        <v>29.000000000000057</v>
      </c>
      <c r="H110" s="9" t="s">
        <v>614</v>
      </c>
      <c r="I110" s="9" t="s">
        <v>615</v>
      </c>
      <c r="J110" s="44">
        <v>21.7</v>
      </c>
      <c r="K110" s="60">
        <v>15.3</v>
      </c>
      <c r="L110" s="56">
        <v>11.65</v>
      </c>
      <c r="M110" s="14">
        <f>K110-L110</f>
        <v>3.6500000000000004</v>
      </c>
      <c r="N110" s="15">
        <f>IFERROR(M110/K110,0)</f>
        <v>0.23856209150326799</v>
      </c>
      <c r="O110" s="14">
        <f>IFERROR(L110/J110,0)</f>
        <v>0.53686635944700467</v>
      </c>
      <c r="P110" s="14">
        <f>IFERROR(L110/G110,0)</f>
        <v>0.40172413793103373</v>
      </c>
      <c r="Q110" s="64">
        <v>0.7</v>
      </c>
    </row>
    <row r="111" spans="1:18" x14ac:dyDescent="0.3">
      <c r="A111" s="9" t="s">
        <v>325</v>
      </c>
      <c r="B111" s="9" t="s">
        <v>26</v>
      </c>
      <c r="C111" s="9" t="s">
        <v>26</v>
      </c>
      <c r="D111" s="52">
        <v>46092</v>
      </c>
      <c r="E111" s="48">
        <v>0.6</v>
      </c>
      <c r="F111" s="48">
        <v>0.61319444444444449</v>
      </c>
      <c r="G111" s="43">
        <f>(F111-E111)*1440</f>
        <v>19.000000000000092</v>
      </c>
      <c r="H111" s="9" t="s">
        <v>612</v>
      </c>
      <c r="I111" s="9" t="s">
        <v>243</v>
      </c>
      <c r="J111" s="44">
        <v>9.4</v>
      </c>
      <c r="K111" s="60">
        <v>5.97</v>
      </c>
      <c r="L111" s="56">
        <v>5.59</v>
      </c>
      <c r="M111" s="14">
        <f>K111-L111</f>
        <v>0.37999999999999989</v>
      </c>
      <c r="N111" s="15">
        <f>IFERROR(M111/K111,0)</f>
        <v>6.3651591289782233E-2</v>
      </c>
      <c r="O111" s="14">
        <f>IFERROR(L111/J111,0)</f>
        <v>0.59468085106382973</v>
      </c>
      <c r="P111" s="14">
        <f>IFERROR(L111/G111,0)</f>
        <v>0.29421052631578803</v>
      </c>
    </row>
    <row r="112" spans="1:18" x14ac:dyDescent="0.3">
      <c r="A112" s="9" t="s">
        <v>331</v>
      </c>
      <c r="B112" s="9" t="s">
        <v>26</v>
      </c>
      <c r="C112" s="9" t="s">
        <v>27</v>
      </c>
      <c r="D112" s="52">
        <v>46092</v>
      </c>
      <c r="E112" s="48">
        <v>0.8222222222222223</v>
      </c>
      <c r="F112" s="48">
        <v>0.83472222222222225</v>
      </c>
      <c r="G112" s="43">
        <f>(F112-E112)*1440</f>
        <v>17.999999999999936</v>
      </c>
      <c r="H112" s="9" t="s">
        <v>620</v>
      </c>
      <c r="I112" s="9" t="s">
        <v>621</v>
      </c>
      <c r="J112" s="44">
        <v>9.5</v>
      </c>
      <c r="K112" s="60">
        <v>7.3</v>
      </c>
      <c r="L112" s="56">
        <v>6.02</v>
      </c>
      <c r="M112" s="14">
        <f>K112-L112</f>
        <v>1.2800000000000002</v>
      </c>
      <c r="N112" s="15">
        <f>IFERROR(M112/K112,0)</f>
        <v>0.17534246575342469</v>
      </c>
      <c r="O112" s="14">
        <f>IFERROR(L112/J112,0)</f>
        <v>0.63368421052631574</v>
      </c>
      <c r="P112" s="14">
        <f>IFERROR(L112/G112,0)</f>
        <v>0.3344444444444456</v>
      </c>
      <c r="R112" s="57">
        <v>0.7</v>
      </c>
    </row>
    <row r="113" spans="1:18" x14ac:dyDescent="0.3">
      <c r="A113" s="9" t="s">
        <v>337</v>
      </c>
      <c r="B113" s="9" t="s">
        <v>18</v>
      </c>
      <c r="C113" s="9" t="s">
        <v>184</v>
      </c>
      <c r="D113" s="52">
        <v>46092</v>
      </c>
      <c r="E113" s="48">
        <v>0.67986111111111114</v>
      </c>
      <c r="F113" s="48">
        <v>0.68819444444444444</v>
      </c>
      <c r="G113" s="43">
        <f>(F113-E113)*1440</f>
        <v>11.999999999999957</v>
      </c>
      <c r="H113" s="9" t="s">
        <v>536</v>
      </c>
      <c r="I113" s="9" t="s">
        <v>582</v>
      </c>
      <c r="J113" s="44">
        <v>8.92</v>
      </c>
      <c r="K113" s="60">
        <v>7.95</v>
      </c>
      <c r="L113" s="56">
        <v>5.71</v>
      </c>
      <c r="M113" s="14">
        <f>K113-L113</f>
        <v>2.2400000000000002</v>
      </c>
      <c r="N113" s="15">
        <f>IFERROR(M113/K113,0)</f>
        <v>0.28176100628930817</v>
      </c>
      <c r="O113" s="14">
        <f>IFERROR(L113/J113,0)</f>
        <v>0.64013452914798208</v>
      </c>
      <c r="P113" s="14">
        <f>IFERROR(L113/G113,0)</f>
        <v>0.475833333333335</v>
      </c>
    </row>
    <row r="114" spans="1:18" x14ac:dyDescent="0.3">
      <c r="A114" s="9" t="s">
        <v>328</v>
      </c>
      <c r="B114" s="9" t="s">
        <v>26</v>
      </c>
      <c r="C114" s="9" t="s">
        <v>26</v>
      </c>
      <c r="D114" s="52">
        <v>46092</v>
      </c>
      <c r="E114" s="48">
        <v>0.70763888888888893</v>
      </c>
      <c r="F114" s="48">
        <v>0.72430555555555554</v>
      </c>
      <c r="G114" s="43">
        <f>(F114-E114)*1440</f>
        <v>23.999999999999915</v>
      </c>
      <c r="H114" s="9" t="s">
        <v>229</v>
      </c>
      <c r="I114" s="9" t="s">
        <v>616</v>
      </c>
      <c r="J114" s="44">
        <v>7.9</v>
      </c>
      <c r="K114" s="60">
        <v>5.9</v>
      </c>
      <c r="L114" s="56">
        <v>5.53</v>
      </c>
      <c r="M114" s="14">
        <f>K114-L114</f>
        <v>0.37000000000000011</v>
      </c>
      <c r="N114" s="15">
        <f>IFERROR(M114/K114,0)</f>
        <v>6.2711864406779672E-2</v>
      </c>
      <c r="O114" s="14">
        <f>IFERROR(L114/J114,0)</f>
        <v>0.7</v>
      </c>
      <c r="P114" s="14">
        <f>IFERROR(L114/G114,0)</f>
        <v>0.23041666666666749</v>
      </c>
    </row>
    <row r="115" spans="1:18" x14ac:dyDescent="0.3">
      <c r="A115" s="9" t="s">
        <v>341</v>
      </c>
      <c r="B115" s="9" t="s">
        <v>18</v>
      </c>
      <c r="C115" s="9" t="s">
        <v>184</v>
      </c>
      <c r="D115" s="52">
        <v>46092</v>
      </c>
      <c r="E115" s="48">
        <v>0.84513888888888899</v>
      </c>
      <c r="F115" s="48">
        <v>0.85902777777777783</v>
      </c>
      <c r="G115" s="43">
        <f>(F115-E115)*1440</f>
        <v>19.999999999999929</v>
      </c>
      <c r="H115" s="9" t="s">
        <v>1120</v>
      </c>
      <c r="I115" s="9" t="s">
        <v>636</v>
      </c>
      <c r="J115" s="44">
        <v>13.23</v>
      </c>
      <c r="K115" s="60">
        <v>13.01</v>
      </c>
      <c r="L115" s="56">
        <v>9.8800000000000008</v>
      </c>
      <c r="M115" s="14">
        <f>K115-L115</f>
        <v>3.129999999999999</v>
      </c>
      <c r="N115" s="15">
        <f>IFERROR(M115/K115,0)</f>
        <v>0.24058416602613367</v>
      </c>
      <c r="O115" s="14">
        <f>IFERROR(L115/J115,0)</f>
        <v>0.74678760393046106</v>
      </c>
      <c r="P115" s="14">
        <f>IFERROR(L115/G115,0)</f>
        <v>0.49400000000000177</v>
      </c>
    </row>
    <row r="116" spans="1:18" x14ac:dyDescent="0.3">
      <c r="A116" s="9" t="s">
        <v>340</v>
      </c>
      <c r="B116" s="9" t="s">
        <v>18</v>
      </c>
      <c r="C116" s="9" t="s">
        <v>196</v>
      </c>
      <c r="D116" s="52">
        <v>46092</v>
      </c>
      <c r="E116" s="48">
        <v>0.75277777777777777</v>
      </c>
      <c r="F116" s="48">
        <v>0.7680555555555556</v>
      </c>
      <c r="G116" s="43">
        <f>(F116-E116)*1440</f>
        <v>22.000000000000082</v>
      </c>
      <c r="H116" s="9" t="s">
        <v>634</v>
      </c>
      <c r="I116" s="9" t="s">
        <v>635</v>
      </c>
      <c r="J116" s="44">
        <v>10.87</v>
      </c>
      <c r="K116" s="60">
        <v>12.98</v>
      </c>
      <c r="L116" s="56">
        <v>8.89</v>
      </c>
      <c r="M116" s="14">
        <f>K116-L116</f>
        <v>4.09</v>
      </c>
      <c r="N116" s="15">
        <f>IFERROR(M116/K116,0)</f>
        <v>0.31510015408320491</v>
      </c>
      <c r="O116" s="14">
        <f>IFERROR(L116/J116,0)</f>
        <v>0.81784728610855573</v>
      </c>
      <c r="P116" s="14">
        <f>IFERROR(L116/G116,0)</f>
        <v>0.40409090909090761</v>
      </c>
    </row>
    <row r="117" spans="1:18" x14ac:dyDescent="0.3">
      <c r="A117" s="9" t="s">
        <v>329</v>
      </c>
      <c r="B117" s="9" t="s">
        <v>26</v>
      </c>
      <c r="C117" s="9" t="s">
        <v>26</v>
      </c>
      <c r="D117" s="52">
        <v>46092</v>
      </c>
      <c r="E117" s="48">
        <v>0.7895833333333333</v>
      </c>
      <c r="F117" s="48">
        <v>0.7993055555555556</v>
      </c>
      <c r="G117" s="43">
        <f>(F117-E117)*1440</f>
        <v>14.00000000000011</v>
      </c>
      <c r="H117" s="9" t="s">
        <v>617</v>
      </c>
      <c r="I117" s="9" t="s">
        <v>618</v>
      </c>
      <c r="J117" s="44">
        <v>5</v>
      </c>
      <c r="K117" s="60">
        <v>5.0599999999999996</v>
      </c>
      <c r="L117" s="56">
        <v>4.21</v>
      </c>
      <c r="M117" s="14">
        <f>K117-L117</f>
        <v>0.84999999999999964</v>
      </c>
      <c r="N117" s="15">
        <f>IFERROR(M117/K117,0)</f>
        <v>0.1679841897233201</v>
      </c>
      <c r="O117" s="14">
        <f>IFERROR(L117/J117,0)</f>
        <v>0.84199999999999997</v>
      </c>
      <c r="P117" s="14">
        <f>IFERROR(L117/G117,0)</f>
        <v>0.30071428571428332</v>
      </c>
      <c r="R117" s="57">
        <v>0.51</v>
      </c>
    </row>
    <row r="118" spans="1:18" x14ac:dyDescent="0.3">
      <c r="A118" s="9" t="s">
        <v>332</v>
      </c>
      <c r="B118" s="9" t="s">
        <v>26</v>
      </c>
      <c r="C118" s="9" t="s">
        <v>26</v>
      </c>
      <c r="D118" s="52">
        <v>46092</v>
      </c>
      <c r="E118" s="48">
        <v>0.83888888888888891</v>
      </c>
      <c r="F118" s="48">
        <v>0.84375</v>
      </c>
      <c r="G118" s="43">
        <f>(F118-E118)*1440</f>
        <v>6.9999999999999751</v>
      </c>
      <c r="H118" s="9" t="s">
        <v>622</v>
      </c>
      <c r="I118" s="9" t="s">
        <v>623</v>
      </c>
      <c r="J118" s="44">
        <v>3.8</v>
      </c>
      <c r="K118" s="60">
        <v>4.03</v>
      </c>
      <c r="L118" s="56">
        <v>3.7</v>
      </c>
      <c r="M118" s="14">
        <f>K118-L118</f>
        <v>0.33000000000000007</v>
      </c>
      <c r="N118" s="15">
        <f>IFERROR(M118/K118,0)</f>
        <v>8.1885856079404476E-2</v>
      </c>
      <c r="O118" s="14">
        <f>IFERROR(L118/J118,0)</f>
        <v>0.97368421052631593</v>
      </c>
      <c r="P118" s="14">
        <f>IFERROR(L118/G118,0)</f>
        <v>0.52857142857143047</v>
      </c>
      <c r="R118" s="57">
        <v>0.42</v>
      </c>
    </row>
    <row r="119" spans="1:18" x14ac:dyDescent="0.3">
      <c r="A119" s="9" t="s">
        <v>330</v>
      </c>
      <c r="B119" s="9" t="s">
        <v>26</v>
      </c>
      <c r="C119" s="9" t="s">
        <v>27</v>
      </c>
      <c r="D119" s="52">
        <v>46092</v>
      </c>
      <c r="E119" s="48">
        <v>0.80555555555555547</v>
      </c>
      <c r="F119" s="48">
        <v>0.81527777777777777</v>
      </c>
      <c r="G119" s="43">
        <f>(F119-E119)*1440</f>
        <v>14.00000000000011</v>
      </c>
      <c r="H119" s="9" t="s">
        <v>214</v>
      </c>
      <c r="I119" s="9" t="s">
        <v>619</v>
      </c>
      <c r="J119" s="44">
        <v>4.5</v>
      </c>
      <c r="K119" s="60">
        <v>6.19</v>
      </c>
      <c r="L119" s="56">
        <v>5.0999999999999996</v>
      </c>
      <c r="M119" s="14">
        <f>K119-L119</f>
        <v>1.0900000000000007</v>
      </c>
      <c r="N119" s="15">
        <f>IFERROR(M119/K119,0)</f>
        <v>0.17609046849757684</v>
      </c>
      <c r="O119" s="14">
        <f>IFERROR(L119/J119,0)</f>
        <v>1.1333333333333333</v>
      </c>
      <c r="P119" s="14">
        <f>IFERROR(L119/G119,0)</f>
        <v>0.36428571428571138</v>
      </c>
      <c r="R119" s="57">
        <v>1.93</v>
      </c>
    </row>
    <row r="120" spans="1:18" x14ac:dyDescent="0.3">
      <c r="A120" s="9" t="s">
        <v>338</v>
      </c>
      <c r="B120" s="9" t="s">
        <v>18</v>
      </c>
      <c r="C120" s="9" t="s">
        <v>184</v>
      </c>
      <c r="D120" s="52">
        <v>46092</v>
      </c>
      <c r="E120" s="48">
        <v>0.69374999999999998</v>
      </c>
      <c r="F120" s="48">
        <v>0.70000000000000007</v>
      </c>
      <c r="G120" s="43">
        <f>(F120-E120)*1440</f>
        <v>9.0000000000001279</v>
      </c>
      <c r="H120" s="9" t="s">
        <v>630</v>
      </c>
      <c r="I120" s="9" t="s">
        <v>631</v>
      </c>
      <c r="J120" s="44">
        <v>3.53</v>
      </c>
      <c r="K120" s="60">
        <v>4.9400000000000004</v>
      </c>
      <c r="L120" s="56">
        <v>4.05</v>
      </c>
      <c r="M120" s="14">
        <f>K120-L120</f>
        <v>0.89000000000000057</v>
      </c>
      <c r="N120" s="15">
        <f>IFERROR(M120/K120,0)</f>
        <v>0.18016194331983815</v>
      </c>
      <c r="O120" s="14">
        <f>IFERROR(L120/J120,0)</f>
        <v>1.1473087818696883</v>
      </c>
      <c r="P120" s="14">
        <f>IFERROR(L120/G120,0)</f>
        <v>0.44999999999999357</v>
      </c>
    </row>
    <row r="121" spans="1:18" x14ac:dyDescent="0.3">
      <c r="A121" s="9" t="s">
        <v>339</v>
      </c>
      <c r="B121" s="9" t="s">
        <v>18</v>
      </c>
      <c r="C121" s="9" t="s">
        <v>184</v>
      </c>
      <c r="D121" s="52">
        <v>46092</v>
      </c>
      <c r="E121" s="48">
        <v>0.7416666666666667</v>
      </c>
      <c r="F121" s="48">
        <v>0.74583333333333324</v>
      </c>
      <c r="G121" s="43">
        <f>(F121-E121)*1440</f>
        <v>5.9999999999998188</v>
      </c>
      <c r="H121" s="9" t="s">
        <v>632</v>
      </c>
      <c r="I121" s="9" t="s">
        <v>633</v>
      </c>
      <c r="J121" s="44">
        <v>1.55</v>
      </c>
      <c r="K121" s="60">
        <v>5.95</v>
      </c>
      <c r="L121" s="56">
        <v>3.87</v>
      </c>
      <c r="M121" s="14">
        <f>K121-L121</f>
        <v>2.08</v>
      </c>
      <c r="N121" s="15">
        <f>IFERROR(M121/K121,0)</f>
        <v>0.34957983193277309</v>
      </c>
      <c r="O121" s="14">
        <f>IFERROR(L121/J121,0)</f>
        <v>2.4967741935483869</v>
      </c>
      <c r="P121" s="14">
        <f>IFERROR(L121/G121,0)</f>
        <v>0.64500000000001945</v>
      </c>
    </row>
    <row r="122" spans="1:18" x14ac:dyDescent="0.3">
      <c r="A122" s="9" t="s">
        <v>342</v>
      </c>
      <c r="B122" s="9" t="s">
        <v>18</v>
      </c>
      <c r="C122" s="9" t="s">
        <v>184</v>
      </c>
      <c r="D122" s="52">
        <v>46093</v>
      </c>
      <c r="E122" s="48">
        <v>0.55347222222222225</v>
      </c>
      <c r="F122" s="48">
        <v>0.57013888888888886</v>
      </c>
      <c r="G122" s="43">
        <f>(F122-E122)*1440</f>
        <v>23.999999999999915</v>
      </c>
      <c r="H122" s="9" t="s">
        <v>637</v>
      </c>
      <c r="I122" s="9" t="s">
        <v>638</v>
      </c>
      <c r="J122" s="44">
        <v>23.68</v>
      </c>
      <c r="K122" s="60">
        <v>12.93</v>
      </c>
      <c r="L122" s="56">
        <v>9.6199999999999992</v>
      </c>
      <c r="M122" s="14">
        <f>K122-L122</f>
        <v>3.3100000000000005</v>
      </c>
      <c r="N122" s="15">
        <f>IFERROR(M122/K122,0)</f>
        <v>0.25599381283836042</v>
      </c>
      <c r="O122" s="14">
        <f>IFERROR(L122/J122,0)</f>
        <v>0.40624999999999994</v>
      </c>
      <c r="P122" s="14">
        <f>IFERROR(L122/G122,0)</f>
        <v>0.40083333333333471</v>
      </c>
    </row>
    <row r="123" spans="1:18" x14ac:dyDescent="0.3">
      <c r="A123" s="9" t="s">
        <v>345</v>
      </c>
      <c r="B123" s="9" t="s">
        <v>18</v>
      </c>
      <c r="C123" s="9" t="s">
        <v>184</v>
      </c>
      <c r="D123" s="52">
        <v>46093</v>
      </c>
      <c r="E123" s="48">
        <v>0.62569444444444444</v>
      </c>
      <c r="F123" s="48">
        <v>0.63472222222222219</v>
      </c>
      <c r="G123" s="43">
        <f>(F123-E123)*1440</f>
        <v>12.999999999999954</v>
      </c>
      <c r="H123" s="9" t="s">
        <v>233</v>
      </c>
      <c r="I123" s="9" t="s">
        <v>641</v>
      </c>
      <c r="J123" s="44">
        <v>9.9600000000000009</v>
      </c>
      <c r="K123" s="60">
        <v>6.94</v>
      </c>
      <c r="L123" s="56">
        <v>4.51</v>
      </c>
      <c r="M123" s="14">
        <f>K123-L123</f>
        <v>2.4300000000000006</v>
      </c>
      <c r="N123" s="15">
        <f>IFERROR(M123/K123,0)</f>
        <v>0.35014409221902026</v>
      </c>
      <c r="O123" s="14">
        <f>IFERROR(L123/J123,0)</f>
        <v>0.45281124497991959</v>
      </c>
      <c r="P123" s="14">
        <f>IFERROR(L123/G123,0)</f>
        <v>0.34692307692307817</v>
      </c>
    </row>
    <row r="124" spans="1:18" x14ac:dyDescent="0.3">
      <c r="A124" s="9" t="s">
        <v>343</v>
      </c>
      <c r="B124" s="9" t="s">
        <v>18</v>
      </c>
      <c r="C124" s="9" t="s">
        <v>184</v>
      </c>
      <c r="D124" s="52">
        <v>46093</v>
      </c>
      <c r="E124" s="48">
        <v>0.58958333333333335</v>
      </c>
      <c r="F124" s="48">
        <v>0.60277777777777775</v>
      </c>
      <c r="G124" s="43">
        <f>(F124-E124)*1440</f>
        <v>18.999999999999932</v>
      </c>
      <c r="H124" s="9" t="s">
        <v>639</v>
      </c>
      <c r="I124" s="9" t="s">
        <v>640</v>
      </c>
      <c r="J124" s="44">
        <v>11.26</v>
      </c>
      <c r="K124" s="60">
        <v>6.96</v>
      </c>
      <c r="L124" s="56">
        <v>5.1100000000000003</v>
      </c>
      <c r="M124" s="14">
        <f>K124-L124</f>
        <v>1.8499999999999996</v>
      </c>
      <c r="N124" s="15">
        <f>IFERROR(M124/K124,0)</f>
        <v>0.26580459770114939</v>
      </c>
      <c r="O124" s="14">
        <f>IFERROR(L124/J124,0)</f>
        <v>0.45381882770870341</v>
      </c>
      <c r="P124" s="14">
        <f>IFERROR(L124/G124,0)</f>
        <v>0.2689473684210536</v>
      </c>
    </row>
    <row r="125" spans="1:18" x14ac:dyDescent="0.3">
      <c r="A125" s="9" t="s">
        <v>348</v>
      </c>
      <c r="B125" s="9" t="s">
        <v>18</v>
      </c>
      <c r="C125" s="9" t="s">
        <v>184</v>
      </c>
      <c r="D125" s="52">
        <v>46093</v>
      </c>
      <c r="E125" s="48">
        <v>0.87986111111111109</v>
      </c>
      <c r="F125" s="48">
        <v>0.88888888888888884</v>
      </c>
      <c r="G125" s="43">
        <f>(F125-E125)*1440</f>
        <v>12.999999999999954</v>
      </c>
      <c r="H125" s="9" t="s">
        <v>646</v>
      </c>
      <c r="I125" s="9" t="s">
        <v>647</v>
      </c>
      <c r="J125" s="44">
        <v>8.3800000000000008</v>
      </c>
      <c r="K125" s="60">
        <v>6.97</v>
      </c>
      <c r="L125" s="56">
        <v>4.5599999999999996</v>
      </c>
      <c r="M125" s="14">
        <f>K125-L125</f>
        <v>2.41</v>
      </c>
      <c r="N125" s="15">
        <f>IFERROR(M125/K125,0)</f>
        <v>0.3457675753228121</v>
      </c>
      <c r="O125" s="14">
        <f>IFERROR(L125/J125,0)</f>
        <v>0.54415274463007146</v>
      </c>
      <c r="P125" s="14">
        <f>IFERROR(L125/G125,0)</f>
        <v>0.350769230769232</v>
      </c>
    </row>
    <row r="126" spans="1:18" x14ac:dyDescent="0.3">
      <c r="A126" s="9" t="s">
        <v>354</v>
      </c>
      <c r="B126" s="9" t="s">
        <v>26</v>
      </c>
      <c r="C126" s="9" t="s">
        <v>26</v>
      </c>
      <c r="D126" s="52">
        <v>46093</v>
      </c>
      <c r="E126" s="48">
        <v>0.76041666666666663</v>
      </c>
      <c r="F126" s="48">
        <v>0.77361111111111114</v>
      </c>
      <c r="G126" s="43">
        <f>(F126-E126)*1440</f>
        <v>19.000000000000092</v>
      </c>
      <c r="H126" s="9" t="s">
        <v>242</v>
      </c>
      <c r="I126" s="9" t="s">
        <v>653</v>
      </c>
      <c r="J126" s="44">
        <v>12.7</v>
      </c>
      <c r="K126" s="60">
        <v>6.68</v>
      </c>
      <c r="L126" s="56">
        <v>7.15</v>
      </c>
      <c r="M126" s="14">
        <f>K126-L126</f>
        <v>-0.47000000000000064</v>
      </c>
      <c r="N126" s="15">
        <f>IFERROR(M126/K126,0)</f>
        <v>-7.0359281437125845E-2</v>
      </c>
      <c r="O126" s="14">
        <f>IFERROR(L126/J126,0)</f>
        <v>0.56299212598425208</v>
      </c>
      <c r="P126" s="14">
        <f>IFERROR(L126/G126,0)</f>
        <v>0.37631578947368238</v>
      </c>
    </row>
    <row r="127" spans="1:18" x14ac:dyDescent="0.3">
      <c r="A127" s="9" t="s">
        <v>344</v>
      </c>
      <c r="B127" s="9" t="s">
        <v>18</v>
      </c>
      <c r="C127" s="9" t="s">
        <v>184</v>
      </c>
      <c r="D127" s="52">
        <v>46093</v>
      </c>
      <c r="E127" s="48">
        <v>0.59791666666666665</v>
      </c>
      <c r="F127" s="48">
        <v>0.60833333333333328</v>
      </c>
      <c r="G127" s="43">
        <f>(F127-E127)*1440</f>
        <v>14.999999999999947</v>
      </c>
      <c r="H127" s="9" t="s">
        <v>225</v>
      </c>
      <c r="I127" s="9" t="s">
        <v>233</v>
      </c>
      <c r="J127" s="44">
        <v>12.89</v>
      </c>
      <c r="K127" s="60">
        <v>8.9499999999999993</v>
      </c>
      <c r="L127" s="56">
        <v>7.29</v>
      </c>
      <c r="M127" s="14">
        <f>K127-L127</f>
        <v>1.6599999999999993</v>
      </c>
      <c r="N127" s="15">
        <f>IFERROR(M127/K127,0)</f>
        <v>0.18547486033519547</v>
      </c>
      <c r="O127" s="14">
        <f>IFERROR(L127/J127,0)</f>
        <v>0.56555469356089993</v>
      </c>
      <c r="P127" s="14">
        <f>IFERROR(L127/G127,0)</f>
        <v>0.48600000000000171</v>
      </c>
    </row>
    <row r="128" spans="1:18" x14ac:dyDescent="0.3">
      <c r="A128" s="9" t="s">
        <v>349</v>
      </c>
      <c r="B128" s="9" t="s">
        <v>26</v>
      </c>
      <c r="C128" s="9" t="s">
        <v>27</v>
      </c>
      <c r="D128" s="52">
        <v>46093</v>
      </c>
      <c r="E128" s="48">
        <v>0.5756944444444444</v>
      </c>
      <c r="F128" s="48">
        <v>0.58958333333333335</v>
      </c>
      <c r="G128" s="43">
        <f>(F128-E128)*1440</f>
        <v>20.000000000000089</v>
      </c>
      <c r="H128" s="9" t="s">
        <v>648</v>
      </c>
      <c r="I128" s="9" t="s">
        <v>649</v>
      </c>
      <c r="J128" s="44">
        <v>12</v>
      </c>
      <c r="K128" s="60">
        <v>9.51</v>
      </c>
      <c r="L128" s="56">
        <v>7.13</v>
      </c>
      <c r="M128" s="14">
        <f>K128-L128</f>
        <v>2.38</v>
      </c>
      <c r="N128" s="15">
        <f>IFERROR(M128/K128,0)</f>
        <v>0.25026288117770767</v>
      </c>
      <c r="O128" s="14">
        <f>IFERROR(L128/J128,0)</f>
        <v>0.59416666666666662</v>
      </c>
      <c r="P128" s="14">
        <f>IFERROR(L128/G128,0)</f>
        <v>0.35649999999999843</v>
      </c>
    </row>
    <row r="129" spans="1:18" x14ac:dyDescent="0.3">
      <c r="A129" s="9" t="s">
        <v>350</v>
      </c>
      <c r="B129" s="9" t="s">
        <v>26</v>
      </c>
      <c r="C129" s="9" t="s">
        <v>27</v>
      </c>
      <c r="D129" s="52">
        <v>46093</v>
      </c>
      <c r="E129" s="48">
        <v>0.69027777777777777</v>
      </c>
      <c r="F129" s="48">
        <v>0.6972222222222223</v>
      </c>
      <c r="G129" s="43">
        <f>(F129-E129)*1440</f>
        <v>10.000000000000124</v>
      </c>
      <c r="H129" s="9" t="s">
        <v>650</v>
      </c>
      <c r="I129" s="9" t="s">
        <v>651</v>
      </c>
      <c r="J129" s="44">
        <v>5.6</v>
      </c>
      <c r="K129" s="60">
        <v>4.62</v>
      </c>
      <c r="L129" s="56">
        <v>3.46</v>
      </c>
      <c r="M129" s="14">
        <f>K129-L129</f>
        <v>1.1600000000000001</v>
      </c>
      <c r="N129" s="15">
        <f>IFERROR(M129/K129,0)</f>
        <v>0.25108225108225113</v>
      </c>
      <c r="O129" s="14">
        <f>IFERROR(L129/J129,0)</f>
        <v>0.61785714285714288</v>
      </c>
      <c r="P129" s="14">
        <f>IFERROR(L129/G129,0)</f>
        <v>0.3459999999999957</v>
      </c>
    </row>
    <row r="130" spans="1:18" x14ac:dyDescent="0.3">
      <c r="A130" s="9" t="s">
        <v>351</v>
      </c>
      <c r="B130" s="9" t="s">
        <v>26</v>
      </c>
      <c r="C130" s="9" t="s">
        <v>26</v>
      </c>
      <c r="D130" s="52">
        <v>46093</v>
      </c>
      <c r="E130" s="48">
        <v>0.71388888888888891</v>
      </c>
      <c r="F130" s="48">
        <v>0.72361111111111109</v>
      </c>
      <c r="G130" s="43">
        <f>(F130-E130)*1440</f>
        <v>13.99999999999995</v>
      </c>
      <c r="H130" s="9" t="s">
        <v>211</v>
      </c>
      <c r="I130" s="9" t="s">
        <v>652</v>
      </c>
      <c r="J130" s="44">
        <v>10.5</v>
      </c>
      <c r="K130" s="60">
        <v>7.2</v>
      </c>
      <c r="L130" s="56">
        <v>6.75</v>
      </c>
      <c r="M130" s="14">
        <f>K130-L130</f>
        <v>0.45000000000000018</v>
      </c>
      <c r="N130" s="15">
        <f>IFERROR(M130/K130,0)</f>
        <v>6.2500000000000028E-2</v>
      </c>
      <c r="O130" s="14">
        <f>IFERROR(L130/J130,0)</f>
        <v>0.6428571428571429</v>
      </c>
      <c r="P130" s="14">
        <f>IFERROR(L130/G130,0)</f>
        <v>0.48214285714285887</v>
      </c>
    </row>
    <row r="131" spans="1:18" x14ac:dyDescent="0.3">
      <c r="A131" s="9" t="s">
        <v>352</v>
      </c>
      <c r="B131" s="9" t="s">
        <v>26</v>
      </c>
      <c r="C131" s="9" t="s">
        <v>27</v>
      </c>
      <c r="D131" s="52">
        <v>46093</v>
      </c>
      <c r="E131" s="48">
        <v>0.7270833333333333</v>
      </c>
      <c r="F131" s="48">
        <v>0.73611111111111116</v>
      </c>
      <c r="G131" s="43">
        <f>(F131-E131)*1440</f>
        <v>13.000000000000114</v>
      </c>
      <c r="H131" s="9" t="s">
        <v>652</v>
      </c>
      <c r="I131" s="9" t="s">
        <v>646</v>
      </c>
      <c r="J131" s="44">
        <v>6.3</v>
      </c>
      <c r="K131" s="60">
        <v>5.72</v>
      </c>
      <c r="L131" s="56">
        <v>4.29</v>
      </c>
      <c r="M131" s="14">
        <f>K131-L131</f>
        <v>1.4299999999999997</v>
      </c>
      <c r="N131" s="15">
        <f>IFERROR(M131/K131,0)</f>
        <v>0.24999999999999997</v>
      </c>
      <c r="O131" s="14">
        <f>IFERROR(L131/J131,0)</f>
        <v>0.68095238095238098</v>
      </c>
      <c r="P131" s="14">
        <f>IFERROR(L131/G131,0)</f>
        <v>0.32999999999999713</v>
      </c>
    </row>
    <row r="132" spans="1:18" x14ac:dyDescent="0.3">
      <c r="A132" s="9" t="s">
        <v>355</v>
      </c>
      <c r="B132" s="9" t="s">
        <v>26</v>
      </c>
      <c r="C132" s="9" t="s">
        <v>27</v>
      </c>
      <c r="D132" s="52">
        <v>46093</v>
      </c>
      <c r="E132" s="48">
        <v>0.78194444444444444</v>
      </c>
      <c r="F132" s="48">
        <v>0.7944444444444444</v>
      </c>
      <c r="G132" s="43">
        <f>(F132-E132)*1440</f>
        <v>17.999999999999936</v>
      </c>
      <c r="H132" s="9" t="s">
        <v>654</v>
      </c>
      <c r="I132" s="9" t="s">
        <v>128</v>
      </c>
      <c r="J132" s="44">
        <v>7.2</v>
      </c>
      <c r="K132" s="60">
        <v>6.73</v>
      </c>
      <c r="L132" s="56">
        <v>5.05</v>
      </c>
      <c r="M132" s="14">
        <f>K132-L132</f>
        <v>1.6800000000000006</v>
      </c>
      <c r="N132" s="15">
        <f>IFERROR(M132/K132,0)</f>
        <v>0.24962852897474005</v>
      </c>
      <c r="O132" s="14">
        <f>IFERROR(L132/J132,0)</f>
        <v>0.70138888888888884</v>
      </c>
      <c r="P132" s="14">
        <f>IFERROR(L132/G132,0)</f>
        <v>0.28055555555555656</v>
      </c>
      <c r="R132" s="57">
        <v>0.62</v>
      </c>
    </row>
    <row r="133" spans="1:18" x14ac:dyDescent="0.3">
      <c r="A133" s="9" t="s">
        <v>346</v>
      </c>
      <c r="B133" s="9" t="s">
        <v>18</v>
      </c>
      <c r="C133" s="9" t="s">
        <v>184</v>
      </c>
      <c r="D133" s="52">
        <v>46093</v>
      </c>
      <c r="E133" s="48">
        <v>0.81944444444444453</v>
      </c>
      <c r="F133" s="48">
        <v>0.82777777777777783</v>
      </c>
      <c r="G133" s="43">
        <f>(F133-E133)*1440</f>
        <v>11.999999999999957</v>
      </c>
      <c r="H133" s="9" t="s">
        <v>642</v>
      </c>
      <c r="I133" s="9" t="s">
        <v>643</v>
      </c>
      <c r="J133" s="44">
        <v>7.31</v>
      </c>
      <c r="K133" s="60">
        <v>7.96</v>
      </c>
      <c r="L133" s="56">
        <v>5.17</v>
      </c>
      <c r="M133" s="14">
        <f>K133-L133</f>
        <v>2.79</v>
      </c>
      <c r="N133" s="15">
        <f>IFERROR(M133/K133,0)</f>
        <v>0.35050251256281406</v>
      </c>
      <c r="O133" s="14">
        <f>IFERROR(L133/J133,0)</f>
        <v>0.707250341997264</v>
      </c>
      <c r="P133" s="14">
        <f>IFERROR(L133/G133,0)</f>
        <v>0.43083333333333484</v>
      </c>
    </row>
    <row r="134" spans="1:18" x14ac:dyDescent="0.3">
      <c r="A134" s="9" t="s">
        <v>356</v>
      </c>
      <c r="B134" s="9" t="s">
        <v>26</v>
      </c>
      <c r="C134" s="9" t="s">
        <v>26</v>
      </c>
      <c r="D134" s="52">
        <v>46093</v>
      </c>
      <c r="E134" s="48">
        <v>0.80069444444444438</v>
      </c>
      <c r="F134" s="48">
        <v>0.80694444444444446</v>
      </c>
      <c r="G134" s="43">
        <f>(F134-E134)*1440</f>
        <v>9.0000000000001279</v>
      </c>
      <c r="H134" s="9" t="s">
        <v>655</v>
      </c>
      <c r="I134" s="9" t="s">
        <v>656</v>
      </c>
      <c r="J134" s="44">
        <v>4.9000000000000004</v>
      </c>
      <c r="K134" s="60">
        <v>3.73</v>
      </c>
      <c r="L134" s="56">
        <v>3.49</v>
      </c>
      <c r="M134" s="14">
        <f>K134-L134</f>
        <v>0.23999999999999977</v>
      </c>
      <c r="N134" s="15">
        <f>IFERROR(M134/K134,0)</f>
        <v>6.4343163538873926E-2</v>
      </c>
      <c r="O134" s="14">
        <f>IFERROR(L134/J134,0)</f>
        <v>0.71224489795918366</v>
      </c>
      <c r="P134" s="14">
        <f>IFERROR(L134/G134,0)</f>
        <v>0.38777777777777228</v>
      </c>
    </row>
    <row r="135" spans="1:18" x14ac:dyDescent="0.3">
      <c r="A135" s="9" t="s">
        <v>347</v>
      </c>
      <c r="B135" s="9" t="s">
        <v>18</v>
      </c>
      <c r="C135" s="9" t="s">
        <v>184</v>
      </c>
      <c r="D135" s="52">
        <v>46093</v>
      </c>
      <c r="E135" s="48">
        <v>0.8520833333333333</v>
      </c>
      <c r="F135" s="48">
        <v>0.85902777777777783</v>
      </c>
      <c r="G135" s="43">
        <f>(F135-E135)*1440</f>
        <v>10.000000000000124</v>
      </c>
      <c r="H135" s="9" t="s">
        <v>644</v>
      </c>
      <c r="I135" s="9" t="s">
        <v>645</v>
      </c>
      <c r="J135" s="44">
        <v>4.37</v>
      </c>
      <c r="K135" s="60">
        <v>3.95</v>
      </c>
      <c r="L135" s="56">
        <v>3.16</v>
      </c>
      <c r="M135" s="14">
        <f>K135-L135</f>
        <v>0.79</v>
      </c>
      <c r="N135" s="15">
        <f>IFERROR(M135/K135,0)</f>
        <v>0.2</v>
      </c>
      <c r="O135" s="14">
        <f>IFERROR(L135/J135,0)</f>
        <v>0.72311212814645309</v>
      </c>
      <c r="P135" s="14">
        <f>IFERROR(L135/G135,0)</f>
        <v>0.31599999999999606</v>
      </c>
    </row>
    <row r="136" spans="1:18" x14ac:dyDescent="0.3">
      <c r="A136" s="9" t="s">
        <v>357</v>
      </c>
      <c r="B136" s="9" t="s">
        <v>26</v>
      </c>
      <c r="C136" s="9" t="s">
        <v>27</v>
      </c>
      <c r="D136" s="52">
        <v>46093</v>
      </c>
      <c r="E136" s="48">
        <v>0.80972222222222223</v>
      </c>
      <c r="F136" s="48">
        <v>0.81597222222222221</v>
      </c>
      <c r="G136" s="43">
        <f>(F136-E136)*1440</f>
        <v>8.999999999999968</v>
      </c>
      <c r="H136" s="9" t="s">
        <v>657</v>
      </c>
      <c r="I136" s="9" t="s">
        <v>658</v>
      </c>
      <c r="J136" s="44">
        <v>5.4</v>
      </c>
      <c r="K136" s="60">
        <v>5.29</v>
      </c>
      <c r="L136" s="56">
        <v>3.97</v>
      </c>
      <c r="M136" s="14">
        <f>K136-L136</f>
        <v>1.3199999999999998</v>
      </c>
      <c r="N136" s="15">
        <f>IFERROR(M136/K136,0)</f>
        <v>0.24952741020793948</v>
      </c>
      <c r="O136" s="14">
        <f>IFERROR(L136/J136,0)</f>
        <v>0.73518518518518516</v>
      </c>
      <c r="P136" s="14">
        <f>IFERROR(L136/G136,0)</f>
        <v>0.44111111111111267</v>
      </c>
    </row>
    <row r="137" spans="1:18" x14ac:dyDescent="0.3">
      <c r="A137" s="9" t="s">
        <v>358</v>
      </c>
      <c r="B137" s="9" t="s">
        <v>26</v>
      </c>
      <c r="C137" s="9" t="s">
        <v>26</v>
      </c>
      <c r="D137" s="52">
        <v>46093</v>
      </c>
      <c r="E137" s="48">
        <v>0.86597222222222225</v>
      </c>
      <c r="F137" s="48">
        <v>0.87361111111111101</v>
      </c>
      <c r="G137" s="43">
        <f>(F137-E137)*1440</f>
        <v>10.999999999999801</v>
      </c>
      <c r="H137" s="9" t="s">
        <v>659</v>
      </c>
      <c r="I137" s="9" t="s">
        <v>660</v>
      </c>
      <c r="J137" s="44">
        <v>4.9000000000000004</v>
      </c>
      <c r="K137" s="60">
        <v>5.3</v>
      </c>
      <c r="L137" s="56">
        <v>4.37</v>
      </c>
      <c r="M137" s="14">
        <f>K137-L137</f>
        <v>0.92999999999999972</v>
      </c>
      <c r="N137" s="15">
        <f>IFERROR(M137/K137,0)</f>
        <v>0.17547169811320751</v>
      </c>
      <c r="O137" s="14">
        <f>IFERROR(L137/J137,0)</f>
        <v>0.89183673469387748</v>
      </c>
      <c r="P137" s="14">
        <f>IFERROR(L137/G137,0)</f>
        <v>0.39727272727273449</v>
      </c>
    </row>
    <row r="138" spans="1:18" x14ac:dyDescent="0.3">
      <c r="A138" s="9" t="s">
        <v>353</v>
      </c>
      <c r="B138" s="9" t="s">
        <v>26</v>
      </c>
      <c r="C138" s="9" t="s">
        <v>26</v>
      </c>
      <c r="D138" s="52">
        <v>46093</v>
      </c>
      <c r="E138" s="48">
        <v>0.74652777777777779</v>
      </c>
      <c r="F138" s="48">
        <v>0.75208333333333333</v>
      </c>
      <c r="G138" s="43">
        <f>(F138-E138)*1440</f>
        <v>7.9999999999999716</v>
      </c>
      <c r="H138" s="9" t="s">
        <v>646</v>
      </c>
      <c r="I138" s="9" t="s">
        <v>629</v>
      </c>
      <c r="J138" s="44">
        <v>4.5999999999999996</v>
      </c>
      <c r="K138" s="60">
        <v>5.27</v>
      </c>
      <c r="L138" s="56">
        <v>4.3899999999999997</v>
      </c>
      <c r="M138" s="14">
        <f>K138-L138</f>
        <v>0.87999999999999989</v>
      </c>
      <c r="N138" s="15">
        <f>IFERROR(M138/K138,0)</f>
        <v>0.1669829222011385</v>
      </c>
      <c r="O138" s="14">
        <f>IFERROR(L138/J138,0)</f>
        <v>0.95434782608695656</v>
      </c>
      <c r="P138" s="14">
        <f>IFERROR(L138/G138,0)</f>
        <v>0.54875000000000196</v>
      </c>
      <c r="R138" s="57">
        <v>0.54</v>
      </c>
    </row>
    <row r="139" spans="1:18" x14ac:dyDescent="0.3">
      <c r="A139" s="9" t="s">
        <v>368</v>
      </c>
      <c r="B139" s="9" t="s">
        <v>26</v>
      </c>
      <c r="C139" s="9" t="s">
        <v>26</v>
      </c>
      <c r="D139" s="52">
        <v>46094</v>
      </c>
      <c r="E139" s="48">
        <v>0.73611111111111116</v>
      </c>
      <c r="F139" s="48">
        <v>0.75624999999999998</v>
      </c>
      <c r="G139" s="43">
        <f>(F139-E139)*1440</f>
        <v>28.999999999999897</v>
      </c>
      <c r="H139" s="9" t="s">
        <v>677</v>
      </c>
      <c r="I139" s="9" t="s">
        <v>247</v>
      </c>
      <c r="J139" s="44">
        <v>26.8</v>
      </c>
      <c r="K139" s="60">
        <v>11.84</v>
      </c>
      <c r="L139" s="56">
        <v>11.54</v>
      </c>
      <c r="M139" s="14">
        <f>K139-L139</f>
        <v>0.30000000000000071</v>
      </c>
      <c r="N139" s="15">
        <f>IFERROR(M139/K139,0)</f>
        <v>2.5337837837837898E-2</v>
      </c>
      <c r="O139" s="14">
        <f>IFERROR(L139/J139,0)</f>
        <v>0.43059701492537311</v>
      </c>
      <c r="P139" s="14">
        <f>IFERROR(L139/G139,0)</f>
        <v>0.39793103448276002</v>
      </c>
      <c r="Q139" s="64">
        <v>1.75</v>
      </c>
    </row>
    <row r="140" spans="1:18" x14ac:dyDescent="0.3">
      <c r="A140" s="9" t="s">
        <v>375</v>
      </c>
      <c r="B140" s="9" t="s">
        <v>18</v>
      </c>
      <c r="C140" s="9" t="s">
        <v>184</v>
      </c>
      <c r="D140" s="52">
        <v>46094</v>
      </c>
      <c r="E140" s="48">
        <v>0.86111111111111116</v>
      </c>
      <c r="F140" s="48">
        <v>0.87430555555555556</v>
      </c>
      <c r="G140" s="43">
        <f>(F140-E140)*1440</f>
        <v>18.999999999999932</v>
      </c>
      <c r="H140" s="9" t="s">
        <v>690</v>
      </c>
      <c r="I140" s="9" t="s">
        <v>691</v>
      </c>
      <c r="J140" s="44">
        <v>21.52</v>
      </c>
      <c r="K140" s="60">
        <v>15.95</v>
      </c>
      <c r="L140" s="56">
        <v>9.91</v>
      </c>
      <c r="M140" s="14">
        <f>K140-L140</f>
        <v>6.0399999999999991</v>
      </c>
      <c r="N140" s="15">
        <f>IFERROR(M140/K140,0)</f>
        <v>0.37868338557993725</v>
      </c>
      <c r="O140" s="14">
        <f>IFERROR(L140/J140,0)</f>
        <v>0.46050185873605948</v>
      </c>
      <c r="P140" s="14">
        <f>IFERROR(L140/G140,0)</f>
        <v>0.52157894736842292</v>
      </c>
      <c r="Q140" s="64">
        <v>0.7</v>
      </c>
    </row>
    <row r="141" spans="1:18" x14ac:dyDescent="0.3">
      <c r="A141" s="9" t="s">
        <v>359</v>
      </c>
      <c r="B141" s="9" t="s">
        <v>26</v>
      </c>
      <c r="C141" s="9" t="s">
        <v>26</v>
      </c>
      <c r="D141" s="52">
        <v>46094</v>
      </c>
      <c r="E141" s="48">
        <v>0.5493055555555556</v>
      </c>
      <c r="F141" s="48">
        <v>0.57013888888888886</v>
      </c>
      <c r="G141" s="43">
        <f>(F141-E141)*1440</f>
        <v>29.999999999999893</v>
      </c>
      <c r="H141" s="9" t="s">
        <v>661</v>
      </c>
      <c r="I141" s="9" t="s">
        <v>662</v>
      </c>
      <c r="J141" s="44">
        <v>23.5</v>
      </c>
      <c r="K141" s="60">
        <v>14.65</v>
      </c>
      <c r="L141" s="56">
        <v>10.99</v>
      </c>
      <c r="M141" s="14">
        <f>K141-L141</f>
        <v>3.66</v>
      </c>
      <c r="N141" s="15">
        <f>IFERROR(M141/K141,0)</f>
        <v>0.24982935153583619</v>
      </c>
      <c r="O141" s="14">
        <f>IFERROR(L141/J141,0)</f>
        <v>0.46765957446808509</v>
      </c>
      <c r="P141" s="14">
        <f>IFERROR(L141/G141,0)</f>
        <v>0.36633333333333462</v>
      </c>
    </row>
    <row r="142" spans="1:18" x14ac:dyDescent="0.3">
      <c r="A142" s="9" t="s">
        <v>364</v>
      </c>
      <c r="B142" s="9" t="s">
        <v>26</v>
      </c>
      <c r="C142" s="9" t="s">
        <v>27</v>
      </c>
      <c r="D142" s="52">
        <v>46094</v>
      </c>
      <c r="E142" s="48">
        <v>0.63611111111111118</v>
      </c>
      <c r="F142" s="48">
        <v>0.64444444444444449</v>
      </c>
      <c r="G142" s="43">
        <f>(F142-E142)*1440</f>
        <v>11.999999999999957</v>
      </c>
      <c r="H142" s="9" t="s">
        <v>671</v>
      </c>
      <c r="I142" s="9" t="s">
        <v>672</v>
      </c>
      <c r="J142" s="44">
        <v>9.1999999999999993</v>
      </c>
      <c r="K142" s="60">
        <v>5.93</v>
      </c>
      <c r="L142" s="56">
        <v>4.45</v>
      </c>
      <c r="M142" s="14">
        <f>K142-L142</f>
        <v>1.4799999999999995</v>
      </c>
      <c r="N142" s="15">
        <f>IFERROR(M142/K142,0)</f>
        <v>0.24957841483979756</v>
      </c>
      <c r="O142" s="14">
        <f>IFERROR(L142/J142,0)</f>
        <v>0.48369565217391308</v>
      </c>
      <c r="P142" s="14">
        <f>IFERROR(L142/G142,0)</f>
        <v>0.37083333333333468</v>
      </c>
    </row>
    <row r="143" spans="1:18" x14ac:dyDescent="0.3">
      <c r="A143" s="9" t="s">
        <v>369</v>
      </c>
      <c r="B143" s="9" t="s">
        <v>26</v>
      </c>
      <c r="C143" s="9" t="s">
        <v>27</v>
      </c>
      <c r="D143" s="52">
        <v>46094</v>
      </c>
      <c r="E143" s="48">
        <v>0.79236111111111107</v>
      </c>
      <c r="F143" s="48">
        <v>0.80763888888888891</v>
      </c>
      <c r="G143" s="43">
        <f>(F143-E143)*1440</f>
        <v>22.000000000000082</v>
      </c>
      <c r="H143" s="9" t="s">
        <v>678</v>
      </c>
      <c r="I143" s="9" t="s">
        <v>679</v>
      </c>
      <c r="J143" s="44">
        <v>14.3</v>
      </c>
      <c r="K143" s="60">
        <v>10.78</v>
      </c>
      <c r="L143" s="56">
        <v>8.08</v>
      </c>
      <c r="M143" s="14">
        <f>K143-L143</f>
        <v>2.6999999999999993</v>
      </c>
      <c r="N143" s="15">
        <f>IFERROR(M143/K143,0)</f>
        <v>0.25046382189239325</v>
      </c>
      <c r="O143" s="14">
        <f>IFERROR(L143/J143,0)</f>
        <v>0.56503496503496498</v>
      </c>
      <c r="P143" s="14">
        <f>IFERROR(L143/G143,0)</f>
        <v>0.36727272727272592</v>
      </c>
    </row>
    <row r="144" spans="1:18" x14ac:dyDescent="0.3">
      <c r="A144" s="9" t="s">
        <v>366</v>
      </c>
      <c r="B144" s="9" t="s">
        <v>26</v>
      </c>
      <c r="C144" s="9" t="s">
        <v>27</v>
      </c>
      <c r="D144" s="52">
        <v>46094</v>
      </c>
      <c r="E144" s="48">
        <v>0.70138888888888884</v>
      </c>
      <c r="F144" s="48">
        <v>0.71111111111111114</v>
      </c>
      <c r="G144" s="43">
        <f>(F144-E144)*1440</f>
        <v>14.00000000000011</v>
      </c>
      <c r="H144" s="9" t="s">
        <v>674</v>
      </c>
      <c r="I144" s="9" t="s">
        <v>675</v>
      </c>
      <c r="J144" s="44">
        <v>7.3</v>
      </c>
      <c r="K144" s="60">
        <v>5.69</v>
      </c>
      <c r="L144" s="56">
        <v>4.2699999999999996</v>
      </c>
      <c r="M144" s="14">
        <f>K144-L144</f>
        <v>1.4200000000000008</v>
      </c>
      <c r="N144" s="15">
        <f>IFERROR(M144/K144,0)</f>
        <v>0.24956063268892806</v>
      </c>
      <c r="O144" s="14">
        <f>IFERROR(L144/J144,0)</f>
        <v>0.58493150684931505</v>
      </c>
      <c r="P144" s="14">
        <f>IFERROR(L144/G144,0)</f>
        <v>0.30499999999999755</v>
      </c>
      <c r="R144" s="57">
        <v>0.53</v>
      </c>
    </row>
    <row r="145" spans="1:18" x14ac:dyDescent="0.3">
      <c r="A145" s="9" t="s">
        <v>362</v>
      </c>
      <c r="B145" s="9" t="s">
        <v>26</v>
      </c>
      <c r="C145" s="9" t="s">
        <v>26</v>
      </c>
      <c r="D145" s="52">
        <v>46094</v>
      </c>
      <c r="E145" s="48">
        <v>0.59513888888888888</v>
      </c>
      <c r="F145" s="48">
        <v>0.60902777777777783</v>
      </c>
      <c r="G145" s="43">
        <f>(F145-E145)*1440</f>
        <v>20.000000000000089</v>
      </c>
      <c r="H145" s="9" t="s">
        <v>667</v>
      </c>
      <c r="I145" s="9" t="s">
        <v>668</v>
      </c>
      <c r="J145" s="44">
        <v>9.9</v>
      </c>
      <c r="K145" s="60">
        <v>8.07</v>
      </c>
      <c r="L145" s="56">
        <v>6.05</v>
      </c>
      <c r="M145" s="14">
        <f>K145-L145</f>
        <v>2.0200000000000005</v>
      </c>
      <c r="N145" s="15">
        <f>IFERROR(M145/K145,0)</f>
        <v>0.25030978934324666</v>
      </c>
      <c r="O145" s="14">
        <f>IFERROR(L145/J145,0)</f>
        <v>0.61111111111111105</v>
      </c>
      <c r="P145" s="14">
        <f>IFERROR(L145/G145,0)</f>
        <v>0.30249999999999866</v>
      </c>
    </row>
    <row r="146" spans="1:18" x14ac:dyDescent="0.3">
      <c r="A146" s="9" t="s">
        <v>365</v>
      </c>
      <c r="B146" s="9" t="s">
        <v>26</v>
      </c>
      <c r="C146" s="9" t="s">
        <v>26</v>
      </c>
      <c r="D146" s="52">
        <v>46094</v>
      </c>
      <c r="E146" s="48">
        <v>0.68055555555555547</v>
      </c>
      <c r="F146" s="48">
        <v>0.69374999999999998</v>
      </c>
      <c r="G146" s="43">
        <f>(F146-E146)*1440</f>
        <v>19.000000000000092</v>
      </c>
      <c r="H146" s="9" t="s">
        <v>214</v>
      </c>
      <c r="I146" s="9" t="s">
        <v>673</v>
      </c>
      <c r="J146" s="44">
        <v>8.1999999999999993</v>
      </c>
      <c r="K146" s="60">
        <v>5.69</v>
      </c>
      <c r="L146" s="56">
        <v>5.33</v>
      </c>
      <c r="M146" s="14">
        <f>K146-L146</f>
        <v>0.36000000000000032</v>
      </c>
      <c r="N146" s="15">
        <f>IFERROR(M146/K146,0)</f>
        <v>6.3268892794376155E-2</v>
      </c>
      <c r="O146" s="14">
        <f>IFERROR(L146/J146,0)</f>
        <v>0.65</v>
      </c>
      <c r="P146" s="14">
        <f>IFERROR(L146/G146,0)</f>
        <v>0.28052631578947235</v>
      </c>
    </row>
    <row r="147" spans="1:18" x14ac:dyDescent="0.3">
      <c r="A147" s="9" t="s">
        <v>377</v>
      </c>
      <c r="B147" s="9" t="s">
        <v>18</v>
      </c>
      <c r="C147" s="9" t="s">
        <v>184</v>
      </c>
      <c r="D147" s="52">
        <v>46094</v>
      </c>
      <c r="E147" s="48">
        <v>0.9194444444444444</v>
      </c>
      <c r="F147" s="48">
        <v>0.92847222222222225</v>
      </c>
      <c r="G147" s="43">
        <f>(F147-E147)*1440</f>
        <v>13.000000000000114</v>
      </c>
      <c r="H147" s="9" t="s">
        <v>694</v>
      </c>
      <c r="I147" s="9" t="s">
        <v>695</v>
      </c>
      <c r="J147" s="44">
        <v>6.66</v>
      </c>
      <c r="K147" s="60">
        <v>5.95</v>
      </c>
      <c r="L147" s="56">
        <v>4.33</v>
      </c>
      <c r="M147" s="14">
        <f>K147-L147</f>
        <v>1.62</v>
      </c>
      <c r="N147" s="15">
        <f>IFERROR(M147/K147,0)</f>
        <v>0.27226890756302524</v>
      </c>
      <c r="O147" s="14">
        <f>IFERROR(L147/J147,0)</f>
        <v>0.6501501501501501</v>
      </c>
      <c r="P147" s="14">
        <f>IFERROR(L147/G147,0)</f>
        <v>0.33307692307692016</v>
      </c>
    </row>
    <row r="148" spans="1:18" x14ac:dyDescent="0.3">
      <c r="A148" s="9" t="s">
        <v>370</v>
      </c>
      <c r="B148" s="9" t="s">
        <v>26</v>
      </c>
      <c r="C148" s="9" t="s">
        <v>27</v>
      </c>
      <c r="D148" s="52">
        <v>46094</v>
      </c>
      <c r="E148" s="48">
        <v>0.8125</v>
      </c>
      <c r="F148" s="48">
        <v>0.82361111111111107</v>
      </c>
      <c r="G148" s="43">
        <f>(F148-E148)*1440</f>
        <v>15.999999999999943</v>
      </c>
      <c r="H148" s="9" t="s">
        <v>680</v>
      </c>
      <c r="I148" s="9" t="s">
        <v>681</v>
      </c>
      <c r="J148" s="44">
        <v>6.4</v>
      </c>
      <c r="K148" s="60">
        <v>5.66</v>
      </c>
      <c r="L148" s="56">
        <v>4.24</v>
      </c>
      <c r="M148" s="14">
        <f>K148-L148</f>
        <v>1.42</v>
      </c>
      <c r="N148" s="15">
        <f>IFERROR(M148/K148,0)</f>
        <v>0.25088339222614842</v>
      </c>
      <c r="O148" s="14">
        <f>IFERROR(L148/J148,0)</f>
        <v>0.66249999999999998</v>
      </c>
      <c r="P148" s="14">
        <f>IFERROR(L148/G148,0)</f>
        <v>0.26500000000000096</v>
      </c>
    </row>
    <row r="149" spans="1:18" x14ac:dyDescent="0.3">
      <c r="A149" s="9" t="s">
        <v>372</v>
      </c>
      <c r="B149" s="9" t="s">
        <v>26</v>
      </c>
      <c r="C149" s="9" t="s">
        <v>27</v>
      </c>
      <c r="D149" s="52">
        <v>46094</v>
      </c>
      <c r="E149" s="48">
        <v>0.83263888888888893</v>
      </c>
      <c r="F149" s="48">
        <v>0.84583333333333333</v>
      </c>
      <c r="G149" s="43">
        <f>(F149-E149)*1440</f>
        <v>18.999999999999932</v>
      </c>
      <c r="H149" s="9" t="s">
        <v>684</v>
      </c>
      <c r="I149" s="9" t="s">
        <v>685</v>
      </c>
      <c r="J149" s="44">
        <v>7.2</v>
      </c>
      <c r="K149" s="60">
        <v>6.6</v>
      </c>
      <c r="L149" s="56">
        <v>4.95</v>
      </c>
      <c r="M149" s="14">
        <f>K149-L149</f>
        <v>1.6499999999999995</v>
      </c>
      <c r="N149" s="15">
        <f>IFERROR(M149/K149,0)</f>
        <v>0.24999999999999994</v>
      </c>
      <c r="O149" s="14">
        <f>IFERROR(L149/J149,0)</f>
        <v>0.6875</v>
      </c>
      <c r="P149" s="14">
        <f>IFERROR(L149/G149,0)</f>
        <v>0.26052631578947461</v>
      </c>
    </row>
    <row r="150" spans="1:18" x14ac:dyDescent="0.3">
      <c r="A150" s="9" t="s">
        <v>361</v>
      </c>
      <c r="B150" s="9" t="s">
        <v>26</v>
      </c>
      <c r="C150" s="9" t="s">
        <v>26</v>
      </c>
      <c r="D150" s="52">
        <v>46094</v>
      </c>
      <c r="E150" s="48">
        <v>0.58472222222222225</v>
      </c>
      <c r="F150" s="48">
        <v>0.59236111111111112</v>
      </c>
      <c r="G150" s="43">
        <f>(F150-E150)*1440</f>
        <v>10.999999999999961</v>
      </c>
      <c r="H150" s="9" t="s">
        <v>665</v>
      </c>
      <c r="I150" s="9" t="s">
        <v>666</v>
      </c>
      <c r="J150" s="44">
        <v>6</v>
      </c>
      <c r="K150" s="60">
        <v>4.47</v>
      </c>
      <c r="L150" s="56">
        <v>4.1900000000000004</v>
      </c>
      <c r="M150" s="14">
        <f>K150-L150</f>
        <v>0.27999999999999936</v>
      </c>
      <c r="N150" s="15">
        <f>IFERROR(M150/K150,0)</f>
        <v>6.2639821029082637E-2</v>
      </c>
      <c r="O150" s="14">
        <f>IFERROR(L150/J150,0)</f>
        <v>0.69833333333333336</v>
      </c>
      <c r="P150" s="14">
        <f>IFERROR(L150/G150,0)</f>
        <v>0.38090909090909231</v>
      </c>
    </row>
    <row r="151" spans="1:18" x14ac:dyDescent="0.3">
      <c r="A151" s="9" t="s">
        <v>367</v>
      </c>
      <c r="B151" s="9" t="s">
        <v>26</v>
      </c>
      <c r="C151" s="9" t="s">
        <v>26</v>
      </c>
      <c r="D151" s="52">
        <v>46094</v>
      </c>
      <c r="E151" s="48">
        <v>0.71736111111111101</v>
      </c>
      <c r="F151" s="48">
        <v>0.73125000000000007</v>
      </c>
      <c r="G151" s="43">
        <f>(F151-E151)*1440</f>
        <v>20.000000000000249</v>
      </c>
      <c r="H151" s="9" t="s">
        <v>207</v>
      </c>
      <c r="I151" s="9" t="s">
        <v>676</v>
      </c>
      <c r="J151" s="44">
        <v>8.4</v>
      </c>
      <c r="K151" s="60">
        <v>6.29</v>
      </c>
      <c r="L151" s="56">
        <v>5.89</v>
      </c>
      <c r="M151" s="14">
        <f>K151-L151</f>
        <v>0.40000000000000036</v>
      </c>
      <c r="N151" s="15">
        <f>IFERROR(M151/K151,0)</f>
        <v>6.3593004769475409E-2</v>
      </c>
      <c r="O151" s="14">
        <f>IFERROR(L151/J151,0)</f>
        <v>0.70119047619047614</v>
      </c>
      <c r="P151" s="14">
        <f>IFERROR(L151/G151,0)</f>
        <v>0.29449999999999632</v>
      </c>
    </row>
    <row r="152" spans="1:18" x14ac:dyDescent="0.3">
      <c r="A152" s="9" t="s">
        <v>374</v>
      </c>
      <c r="B152" s="9" t="s">
        <v>18</v>
      </c>
      <c r="C152" s="9" t="s">
        <v>184</v>
      </c>
      <c r="D152" s="52">
        <v>46094</v>
      </c>
      <c r="E152" s="48">
        <v>0.61736111111111114</v>
      </c>
      <c r="F152" s="48">
        <v>0.62708333333333333</v>
      </c>
      <c r="G152" s="43">
        <f>(F152-E152)*1440</f>
        <v>13.99999999999995</v>
      </c>
      <c r="H152" s="9" t="s">
        <v>688</v>
      </c>
      <c r="I152" s="9" t="s">
        <v>689</v>
      </c>
      <c r="J152" s="44">
        <v>6.6</v>
      </c>
      <c r="K152" s="60">
        <v>5.94</v>
      </c>
      <c r="L152" s="56">
        <v>4.6900000000000004</v>
      </c>
      <c r="M152" s="14">
        <f>K152-L152</f>
        <v>1.25</v>
      </c>
      <c r="N152" s="15">
        <f>IFERROR(M152/K152,0)</f>
        <v>0.21043771043771042</v>
      </c>
      <c r="O152" s="14">
        <f>IFERROR(L152/J152,0)</f>
        <v>0.71060606060606069</v>
      </c>
      <c r="P152" s="14">
        <f>IFERROR(L152/G152,0)</f>
        <v>0.33500000000000124</v>
      </c>
    </row>
    <row r="153" spans="1:18" x14ac:dyDescent="0.3">
      <c r="A153" s="9" t="s">
        <v>360</v>
      </c>
      <c r="B153" s="9" t="s">
        <v>26</v>
      </c>
      <c r="C153" s="9" t="s">
        <v>27</v>
      </c>
      <c r="D153" s="52">
        <v>46094</v>
      </c>
      <c r="E153" s="48">
        <v>0.5708333333333333</v>
      </c>
      <c r="F153" s="48">
        <v>0.58333333333333337</v>
      </c>
      <c r="G153" s="43">
        <f>(F153-E153)*1440</f>
        <v>18.000000000000096</v>
      </c>
      <c r="H153" s="9" t="s">
        <v>663</v>
      </c>
      <c r="I153" s="9" t="s">
        <v>664</v>
      </c>
      <c r="J153" s="44">
        <v>6.1</v>
      </c>
      <c r="K153" s="60">
        <v>6.22</v>
      </c>
      <c r="L153" s="56">
        <v>4.66</v>
      </c>
      <c r="M153" s="14">
        <f>K153-L153</f>
        <v>1.5599999999999996</v>
      </c>
      <c r="N153" s="15">
        <f>IFERROR(M153/K153,0)</f>
        <v>0.25080385852090026</v>
      </c>
      <c r="O153" s="14">
        <f>IFERROR(L153/J153,0)</f>
        <v>0.76393442622950825</v>
      </c>
      <c r="P153" s="14">
        <f>IFERROR(L153/G153,0)</f>
        <v>0.2588888888888875</v>
      </c>
    </row>
    <row r="154" spans="1:18" x14ac:dyDescent="0.3">
      <c r="A154" s="9" t="s">
        <v>373</v>
      </c>
      <c r="B154" s="9" t="s">
        <v>26</v>
      </c>
      <c r="C154" s="9" t="s">
        <v>27</v>
      </c>
      <c r="D154" s="52">
        <v>46094</v>
      </c>
      <c r="E154" s="48">
        <v>0.84930555555555554</v>
      </c>
      <c r="F154" s="48">
        <v>0.86041666666666661</v>
      </c>
      <c r="G154" s="43">
        <f>(F154-E154)*1440</f>
        <v>15.999999999999943</v>
      </c>
      <c r="H154" s="9" t="s">
        <v>686</v>
      </c>
      <c r="I154" s="9" t="s">
        <v>687</v>
      </c>
      <c r="J154" s="44">
        <v>3.9</v>
      </c>
      <c r="K154" s="60">
        <v>4.55</v>
      </c>
      <c r="L154" s="56">
        <v>3.41</v>
      </c>
      <c r="M154" s="14">
        <f>K154-L154</f>
        <v>1.1399999999999997</v>
      </c>
      <c r="N154" s="15">
        <f>IFERROR(M154/K154,0)</f>
        <v>0.25054945054945049</v>
      </c>
      <c r="O154" s="14">
        <f>IFERROR(L154/J154,0)</f>
        <v>0.87435897435897436</v>
      </c>
      <c r="P154" s="14">
        <f>IFERROR(L154/G154,0)</f>
        <v>0.21312500000000076</v>
      </c>
    </row>
    <row r="155" spans="1:18" x14ac:dyDescent="0.3">
      <c r="A155" s="9" t="s">
        <v>376</v>
      </c>
      <c r="B155" s="9" t="s">
        <v>18</v>
      </c>
      <c r="C155" s="9" t="s">
        <v>230</v>
      </c>
      <c r="D155" s="52">
        <v>46094</v>
      </c>
      <c r="E155" s="48">
        <v>0.88888888888888884</v>
      </c>
      <c r="F155" s="48">
        <v>0.91180555555555554</v>
      </c>
      <c r="G155" s="43">
        <f>(F155-E155)*1440</f>
        <v>33.000000000000043</v>
      </c>
      <c r="H155" s="9" t="s">
        <v>692</v>
      </c>
      <c r="I155" s="9" t="s">
        <v>693</v>
      </c>
      <c r="J155" s="44">
        <v>14.73</v>
      </c>
      <c r="K155" s="60">
        <v>19.239999999999998</v>
      </c>
      <c r="L155" s="56">
        <v>13.3</v>
      </c>
      <c r="M155" s="14">
        <f>K155-L155</f>
        <v>5.9399999999999977</v>
      </c>
      <c r="N155" s="15">
        <f>IFERROR(M155/K155,0)</f>
        <v>0.30873180873180867</v>
      </c>
      <c r="O155" s="14">
        <f>IFERROR(L155/J155,0)</f>
        <v>0.90291921249151397</v>
      </c>
      <c r="P155" s="14">
        <f>IFERROR(L155/G155,0)</f>
        <v>0.40303030303030252</v>
      </c>
      <c r="Q155" s="64">
        <v>1.6</v>
      </c>
    </row>
    <row r="156" spans="1:18" x14ac:dyDescent="0.3">
      <c r="A156" s="9" t="s">
        <v>371</v>
      </c>
      <c r="B156" s="9" t="s">
        <v>26</v>
      </c>
      <c r="C156" s="9" t="s">
        <v>26</v>
      </c>
      <c r="D156" s="52">
        <v>46094</v>
      </c>
      <c r="E156" s="48">
        <v>0.82847222222222217</v>
      </c>
      <c r="F156" s="48">
        <v>0.83194444444444438</v>
      </c>
      <c r="G156" s="43">
        <f>(F156-E156)*1440</f>
        <v>4.9999999999999822</v>
      </c>
      <c r="H156" s="9" t="s">
        <v>682</v>
      </c>
      <c r="I156" s="9" t="s">
        <v>683</v>
      </c>
      <c r="J156" s="44">
        <v>2.9</v>
      </c>
      <c r="K156" s="60">
        <v>3.86</v>
      </c>
      <c r="L156" s="56">
        <v>4.13</v>
      </c>
      <c r="M156" s="14">
        <f>K156-L156</f>
        <v>-0.27</v>
      </c>
      <c r="N156" s="15">
        <f>IFERROR(M156/K156,0)</f>
        <v>-6.9948186528497422E-2</v>
      </c>
      <c r="O156" s="14">
        <f>IFERROR(L156/J156,0)</f>
        <v>1.4241379310344828</v>
      </c>
      <c r="P156" s="14">
        <f>IFERROR(L156/G156,0)</f>
        <v>0.82600000000000295</v>
      </c>
      <c r="R156" s="57">
        <v>1.27</v>
      </c>
    </row>
    <row r="157" spans="1:18" x14ac:dyDescent="0.3">
      <c r="A157" s="9" t="s">
        <v>363</v>
      </c>
      <c r="B157" s="9" t="s">
        <v>26</v>
      </c>
      <c r="C157" s="9" t="s">
        <v>26</v>
      </c>
      <c r="D157" s="52">
        <v>46094</v>
      </c>
      <c r="E157" s="48">
        <v>0.60972222222222217</v>
      </c>
      <c r="F157" s="48">
        <v>0.61736111111111114</v>
      </c>
      <c r="G157" s="43">
        <f>(F157-E157)*1440</f>
        <v>11.000000000000121</v>
      </c>
      <c r="H157" s="9" t="s">
        <v>669</v>
      </c>
      <c r="I157" s="9" t="s">
        <v>670</v>
      </c>
      <c r="J157" s="44">
        <v>3</v>
      </c>
      <c r="K157" s="60">
        <v>5.39</v>
      </c>
      <c r="L157" s="56">
        <v>4.49</v>
      </c>
      <c r="M157" s="14">
        <f>K157-L157</f>
        <v>0.89999999999999947</v>
      </c>
      <c r="N157" s="15">
        <f>IFERROR(M157/K157,0)</f>
        <v>0.16697588126159546</v>
      </c>
      <c r="O157" s="14">
        <f>IFERROR(L157/J157,0)</f>
        <v>1.4966666666666668</v>
      </c>
      <c r="P157" s="14">
        <f>IFERROR(L157/G157,0)</f>
        <v>0.4081818181818137</v>
      </c>
      <c r="R157" s="57">
        <v>1.37</v>
      </c>
    </row>
    <row r="158" spans="1:18" x14ac:dyDescent="0.3">
      <c r="A158" s="9" t="s">
        <v>391</v>
      </c>
      <c r="B158" s="9" t="s">
        <v>26</v>
      </c>
      <c r="C158" s="9" t="s">
        <v>27</v>
      </c>
      <c r="D158" s="52">
        <v>46095</v>
      </c>
      <c r="E158" s="48">
        <v>0.84375</v>
      </c>
      <c r="F158" s="48">
        <v>0.86111111111111116</v>
      </c>
      <c r="G158" s="43">
        <f>(F158-E158)*1440</f>
        <v>25.000000000000071</v>
      </c>
      <c r="H158" s="9" t="s">
        <v>720</v>
      </c>
      <c r="I158" s="9" t="s">
        <v>721</v>
      </c>
      <c r="J158" s="44">
        <v>20</v>
      </c>
      <c r="K158" s="60">
        <v>7.88</v>
      </c>
      <c r="L158" s="56">
        <v>7.39</v>
      </c>
      <c r="M158" s="14">
        <f>K158-L158</f>
        <v>0.49000000000000021</v>
      </c>
      <c r="N158" s="15">
        <f>IFERROR(M158/K158,0)</f>
        <v>6.2182741116751296E-2</v>
      </c>
      <c r="O158" s="14">
        <f>IFERROR(L158/J158,0)</f>
        <v>0.3695</v>
      </c>
      <c r="P158" s="14">
        <f>IFERROR(L158/G158,0)</f>
        <v>0.29559999999999914</v>
      </c>
    </row>
    <row r="159" spans="1:18" x14ac:dyDescent="0.3">
      <c r="A159" s="9" t="s">
        <v>384</v>
      </c>
      <c r="B159" s="9" t="s">
        <v>18</v>
      </c>
      <c r="C159" s="9" t="s">
        <v>184</v>
      </c>
      <c r="D159" s="52">
        <v>46095</v>
      </c>
      <c r="E159" s="48">
        <v>0.88263888888888886</v>
      </c>
      <c r="F159" s="48">
        <v>0.8930555555555556</v>
      </c>
      <c r="G159" s="43">
        <f>(F159-E159)*1440</f>
        <v>15.000000000000107</v>
      </c>
      <c r="H159" s="9" t="s">
        <v>707</v>
      </c>
      <c r="I159" s="9" t="s">
        <v>708</v>
      </c>
      <c r="J159" s="44">
        <v>13.76</v>
      </c>
      <c r="K159" s="60">
        <v>8.94</v>
      </c>
      <c r="L159" s="56">
        <v>5.81</v>
      </c>
      <c r="M159" s="14">
        <f>K159-L159</f>
        <v>3.13</v>
      </c>
      <c r="N159" s="15">
        <f>IFERROR(M159/K159,0)</f>
        <v>0.35011185682326623</v>
      </c>
      <c r="O159" s="14">
        <f>IFERROR(L159/J159,0)</f>
        <v>0.42223837209302323</v>
      </c>
      <c r="P159" s="14">
        <f>IFERROR(L159/G159,0)</f>
        <v>0.38733333333333053</v>
      </c>
    </row>
    <row r="160" spans="1:18" x14ac:dyDescent="0.3">
      <c r="A160" s="9" t="s">
        <v>385</v>
      </c>
      <c r="B160" s="9" t="s">
        <v>26</v>
      </c>
      <c r="C160" s="9" t="s">
        <v>26</v>
      </c>
      <c r="D160" s="52">
        <v>46095</v>
      </c>
      <c r="E160" s="48">
        <v>0.53333333333333333</v>
      </c>
      <c r="F160" s="48">
        <v>0.55138888888888882</v>
      </c>
      <c r="G160" s="43">
        <f>(F160-E160)*1440</f>
        <v>25.999999999999908</v>
      </c>
      <c r="H160" s="9" t="s">
        <v>709</v>
      </c>
      <c r="I160" s="9" t="s">
        <v>710</v>
      </c>
      <c r="J160" s="44">
        <v>19.399999999999999</v>
      </c>
      <c r="K160" s="60">
        <v>9.66</v>
      </c>
      <c r="L160" s="56">
        <v>9.0500000000000007</v>
      </c>
      <c r="M160" s="14">
        <f>K160-L160</f>
        <v>0.60999999999999943</v>
      </c>
      <c r="N160" s="15">
        <f>IFERROR(M160/K160,0)</f>
        <v>6.3146997929606569E-2</v>
      </c>
      <c r="O160" s="14">
        <f>IFERROR(L160/J160,0)</f>
        <v>0.46649484536082481</v>
      </c>
      <c r="P160" s="14">
        <f>IFERROR(L160/G160,0)</f>
        <v>0.34807692307692434</v>
      </c>
    </row>
    <row r="161" spans="1:18" x14ac:dyDescent="0.3">
      <c r="A161" s="9" t="s">
        <v>390</v>
      </c>
      <c r="B161" s="9" t="s">
        <v>26</v>
      </c>
      <c r="C161" s="9" t="s">
        <v>27</v>
      </c>
      <c r="D161" s="52">
        <v>46095</v>
      </c>
      <c r="E161" s="48">
        <v>0.72152777777777777</v>
      </c>
      <c r="F161" s="48">
        <v>0.73958333333333337</v>
      </c>
      <c r="G161" s="43">
        <f>(F161-E161)*1440</f>
        <v>26.000000000000068</v>
      </c>
      <c r="H161" s="9" t="s">
        <v>718</v>
      </c>
      <c r="I161" s="9" t="s">
        <v>719</v>
      </c>
      <c r="J161" s="44">
        <v>20.5</v>
      </c>
      <c r="K161" s="60">
        <v>12.67</v>
      </c>
      <c r="L161" s="56">
        <v>10.58</v>
      </c>
      <c r="M161" s="14">
        <f>K161-L161</f>
        <v>2.09</v>
      </c>
      <c r="N161" s="15">
        <f>IFERROR(M161/K161,0)</f>
        <v>0.164956590370955</v>
      </c>
      <c r="O161" s="14">
        <f>IFERROR(L161/J161,0)</f>
        <v>0.51609756097560977</v>
      </c>
      <c r="P161" s="14">
        <f>IFERROR(L161/G161,0)</f>
        <v>0.40692307692307589</v>
      </c>
      <c r="Q161" s="64">
        <v>0.7</v>
      </c>
    </row>
    <row r="162" spans="1:18" x14ac:dyDescent="0.3">
      <c r="A162" s="9" t="s">
        <v>389</v>
      </c>
      <c r="B162" s="9" t="s">
        <v>26</v>
      </c>
      <c r="C162" s="9" t="s">
        <v>26</v>
      </c>
      <c r="D162" s="52">
        <v>46095</v>
      </c>
      <c r="E162" s="48">
        <v>0.6972222222222223</v>
      </c>
      <c r="F162" s="48">
        <v>0.71319444444444446</v>
      </c>
      <c r="G162" s="43">
        <f>(F162-E162)*1440</f>
        <v>22.999999999999918</v>
      </c>
      <c r="H162" s="9" t="s">
        <v>716</v>
      </c>
      <c r="I162" s="9" t="s">
        <v>717</v>
      </c>
      <c r="J162" s="44">
        <v>17.899999999999999</v>
      </c>
      <c r="K162" s="60">
        <v>9.89</v>
      </c>
      <c r="L162" s="56">
        <v>9.44</v>
      </c>
      <c r="M162" s="14">
        <f>K162-L162</f>
        <v>0.45000000000000107</v>
      </c>
      <c r="N162" s="15">
        <f>IFERROR(M162/K162,0)</f>
        <v>4.5500505561173007E-2</v>
      </c>
      <c r="O162" s="14">
        <f>IFERROR(L162/J162,0)</f>
        <v>0.52737430167597765</v>
      </c>
      <c r="P162" s="14">
        <f>IFERROR(L162/G162,0)</f>
        <v>0.41043478260869709</v>
      </c>
      <c r="Q162" s="64">
        <v>0.7</v>
      </c>
    </row>
    <row r="163" spans="1:18" x14ac:dyDescent="0.3">
      <c r="A163" s="9" t="s">
        <v>381</v>
      </c>
      <c r="B163" s="9" t="s">
        <v>18</v>
      </c>
      <c r="C163" s="9" t="s">
        <v>184</v>
      </c>
      <c r="D163" s="52">
        <v>46095</v>
      </c>
      <c r="E163" s="48">
        <v>0.74305555555555547</v>
      </c>
      <c r="F163" s="48">
        <v>0.75763888888888886</v>
      </c>
      <c r="G163" s="43">
        <f>(F163-E163)*1440</f>
        <v>21.000000000000085</v>
      </c>
      <c r="H163" s="9" t="s">
        <v>702</v>
      </c>
      <c r="I163" s="9" t="s">
        <v>703</v>
      </c>
      <c r="J163" s="44">
        <v>11.83</v>
      </c>
      <c r="K163" s="60">
        <v>9.93</v>
      </c>
      <c r="L163" s="56">
        <v>6.96</v>
      </c>
      <c r="M163" s="14">
        <f>K163-L163</f>
        <v>2.9699999999999998</v>
      </c>
      <c r="N163" s="15">
        <f>IFERROR(M163/K163,0)</f>
        <v>0.29909365558912387</v>
      </c>
      <c r="O163" s="14">
        <f>IFERROR(L163/J163,0)</f>
        <v>0.58833474218089599</v>
      </c>
      <c r="P163" s="14">
        <f>IFERROR(L163/G163,0)</f>
        <v>0.33142857142857007</v>
      </c>
    </row>
    <row r="164" spans="1:18" x14ac:dyDescent="0.3">
      <c r="A164" s="9" t="s">
        <v>386</v>
      </c>
      <c r="B164" s="9" t="s">
        <v>26</v>
      </c>
      <c r="C164" s="9" t="s">
        <v>26</v>
      </c>
      <c r="D164" s="52">
        <v>46095</v>
      </c>
      <c r="E164" s="48">
        <v>0.61041666666666672</v>
      </c>
      <c r="F164" s="48">
        <v>0.62638888888888888</v>
      </c>
      <c r="G164" s="43">
        <f>(F164-E164)*1440</f>
        <v>22.999999999999918</v>
      </c>
      <c r="H164" s="9" t="s">
        <v>711</v>
      </c>
      <c r="I164" s="9" t="s">
        <v>712</v>
      </c>
      <c r="J164" s="44">
        <v>10.5</v>
      </c>
      <c r="K164" s="60">
        <v>8.83</v>
      </c>
      <c r="L164" s="56">
        <v>7.36</v>
      </c>
      <c r="M164" s="14">
        <f>K164-L164</f>
        <v>1.4699999999999998</v>
      </c>
      <c r="N164" s="15">
        <f>IFERROR(M164/K164,0)</f>
        <v>0.16647791619479047</v>
      </c>
      <c r="O164" s="14">
        <f>IFERROR(L164/J164,0)</f>
        <v>0.70095238095238099</v>
      </c>
      <c r="P164" s="14">
        <f>IFERROR(L164/G164,0)</f>
        <v>0.32000000000000117</v>
      </c>
    </row>
    <row r="165" spans="1:18" x14ac:dyDescent="0.3">
      <c r="A165" s="9" t="s">
        <v>382</v>
      </c>
      <c r="B165" s="9" t="s">
        <v>18</v>
      </c>
      <c r="C165" s="9" t="s">
        <v>184</v>
      </c>
      <c r="D165" s="52">
        <v>46095</v>
      </c>
      <c r="E165" s="48">
        <v>0.80069444444444438</v>
      </c>
      <c r="F165" s="48">
        <v>0.81666666666666676</v>
      </c>
      <c r="G165" s="43">
        <f>(F165-E165)*1440</f>
        <v>23.000000000000238</v>
      </c>
      <c r="H165" s="9" t="s">
        <v>1120</v>
      </c>
      <c r="I165" s="9" t="s">
        <v>704</v>
      </c>
      <c r="J165" s="44">
        <v>13.13</v>
      </c>
      <c r="K165" s="60">
        <v>14</v>
      </c>
      <c r="L165" s="56">
        <v>9.6199999999999992</v>
      </c>
      <c r="M165" s="14">
        <f>K165-L165</f>
        <v>4.3800000000000008</v>
      </c>
      <c r="N165" s="15">
        <f>IFERROR(M165/K165,0)</f>
        <v>0.31285714285714289</v>
      </c>
      <c r="O165" s="14">
        <f>IFERROR(L165/J165,0)</f>
        <v>0.73267326732673255</v>
      </c>
      <c r="P165" s="14">
        <f>IFERROR(L165/G165,0)</f>
        <v>0.41826086956521302</v>
      </c>
    </row>
    <row r="166" spans="1:18" x14ac:dyDescent="0.3">
      <c r="A166" s="9" t="s">
        <v>383</v>
      </c>
      <c r="B166" s="9" t="s">
        <v>18</v>
      </c>
      <c r="C166" s="9" t="s">
        <v>196</v>
      </c>
      <c r="D166" s="52">
        <v>46095</v>
      </c>
      <c r="E166" s="48">
        <v>0.8256944444444444</v>
      </c>
      <c r="F166" s="48">
        <v>0.83263888888888893</v>
      </c>
      <c r="G166" s="43">
        <f>(F166-E166)*1440</f>
        <v>10.000000000000124</v>
      </c>
      <c r="H166" s="9" t="s">
        <v>705</v>
      </c>
      <c r="I166" s="9" t="s">
        <v>706</v>
      </c>
      <c r="J166" s="44">
        <v>6.27</v>
      </c>
      <c r="K166" s="60">
        <v>6.99</v>
      </c>
      <c r="L166" s="56">
        <v>4.5999999999999996</v>
      </c>
      <c r="M166" s="14">
        <f>K166-L166</f>
        <v>2.3900000000000006</v>
      </c>
      <c r="N166" s="15">
        <f>IFERROR(M166/K166,0)</f>
        <v>0.34191702432045784</v>
      </c>
      <c r="O166" s="14">
        <f>IFERROR(L166/J166,0)</f>
        <v>0.733652312599681</v>
      </c>
      <c r="P166" s="14">
        <f>IFERROR(L166/G166,0)</f>
        <v>0.45999999999999425</v>
      </c>
    </row>
    <row r="167" spans="1:18" x14ac:dyDescent="0.3">
      <c r="A167" s="9" t="s">
        <v>378</v>
      </c>
      <c r="B167" s="9" t="s">
        <v>18</v>
      </c>
      <c r="C167" s="9" t="s">
        <v>184</v>
      </c>
      <c r="D167" s="52">
        <v>46095</v>
      </c>
      <c r="E167" s="48">
        <v>0.59444444444444444</v>
      </c>
      <c r="F167" s="48">
        <v>0.6020833333333333</v>
      </c>
      <c r="G167" s="43">
        <f>(F167-E167)*1440</f>
        <v>10.999999999999961</v>
      </c>
      <c r="H167" s="9" t="s">
        <v>696</v>
      </c>
      <c r="I167" s="9" t="s">
        <v>697</v>
      </c>
      <c r="J167" s="44">
        <v>5.18</v>
      </c>
      <c r="K167" s="60">
        <v>4.96</v>
      </c>
      <c r="L167" s="56">
        <v>4.12</v>
      </c>
      <c r="M167" s="14">
        <f>K167-L167</f>
        <v>0.83999999999999986</v>
      </c>
      <c r="N167" s="15">
        <f>IFERROR(M167/K167,0)</f>
        <v>0.16935483870967738</v>
      </c>
      <c r="O167" s="14">
        <f>IFERROR(L167/J167,0)</f>
        <v>0.79536679536679544</v>
      </c>
      <c r="P167" s="14">
        <f>IFERROR(L167/G167,0)</f>
        <v>0.3745454545454559</v>
      </c>
    </row>
    <row r="168" spans="1:18" x14ac:dyDescent="0.3">
      <c r="A168" s="9" t="s">
        <v>380</v>
      </c>
      <c r="B168" s="9" t="s">
        <v>18</v>
      </c>
      <c r="C168" s="9" t="s">
        <v>184</v>
      </c>
      <c r="D168" s="52">
        <v>46095</v>
      </c>
      <c r="E168" s="48">
        <v>0.67847222222222225</v>
      </c>
      <c r="F168" s="48">
        <v>0.68541666666666667</v>
      </c>
      <c r="G168" s="43">
        <f>(F168-E168)*1440</f>
        <v>9.9999999999999645</v>
      </c>
      <c r="H168" s="9" t="s">
        <v>700</v>
      </c>
      <c r="I168" s="9" t="s">
        <v>701</v>
      </c>
      <c r="J168" s="44">
        <v>4.82</v>
      </c>
      <c r="K168" s="60">
        <v>4.95</v>
      </c>
      <c r="L168" s="56">
        <v>3.87</v>
      </c>
      <c r="M168" s="14">
        <f>K168-L168</f>
        <v>1.08</v>
      </c>
      <c r="N168" s="15">
        <f>IFERROR(M168/K168,0)</f>
        <v>0.2181818181818182</v>
      </c>
      <c r="O168" s="14">
        <f>IFERROR(L168/J168,0)</f>
        <v>0.80290456431535262</v>
      </c>
      <c r="P168" s="14">
        <f>IFERROR(L168/G168,0)</f>
        <v>0.3870000000000014</v>
      </c>
    </row>
    <row r="169" spans="1:18" x14ac:dyDescent="0.3">
      <c r="A169" s="9" t="s">
        <v>388</v>
      </c>
      <c r="B169" s="9" t="s">
        <v>26</v>
      </c>
      <c r="C169" s="9" t="s">
        <v>27</v>
      </c>
      <c r="D169" s="52">
        <v>46095</v>
      </c>
      <c r="E169" s="48">
        <v>0.66249999999999998</v>
      </c>
      <c r="F169" s="48">
        <v>0.67569444444444438</v>
      </c>
      <c r="G169" s="43">
        <f>(F169-E169)*1440</f>
        <v>18.999999999999932</v>
      </c>
      <c r="H169" s="9" t="s">
        <v>714</v>
      </c>
      <c r="I169" s="9" t="s">
        <v>715</v>
      </c>
      <c r="J169" s="44">
        <v>4.2</v>
      </c>
      <c r="K169" s="60">
        <v>5.9</v>
      </c>
      <c r="L169" s="56">
        <v>4.42</v>
      </c>
      <c r="M169" s="14">
        <f>K169-L169</f>
        <v>1.4800000000000004</v>
      </c>
      <c r="N169" s="15">
        <f>IFERROR(M169/K169,0)</f>
        <v>0.25084745762711869</v>
      </c>
      <c r="O169" s="14">
        <f>IFERROR(L169/J169,0)</f>
        <v>1.0523809523809524</v>
      </c>
      <c r="P169" s="14">
        <f>IFERROR(L169/G169,0)</f>
        <v>0.23263157894736924</v>
      </c>
    </row>
    <row r="170" spans="1:18" x14ac:dyDescent="0.3">
      <c r="A170" s="9" t="s">
        <v>379</v>
      </c>
      <c r="B170" s="9" t="s">
        <v>18</v>
      </c>
      <c r="C170" s="9" t="s">
        <v>184</v>
      </c>
      <c r="D170" s="52">
        <v>46095</v>
      </c>
      <c r="E170" s="48">
        <v>0.62986111111111109</v>
      </c>
      <c r="F170" s="48">
        <v>0.63888888888888895</v>
      </c>
      <c r="G170" s="43">
        <f>(F170-E170)*1440</f>
        <v>13.000000000000114</v>
      </c>
      <c r="H170" s="9" t="s">
        <v>698</v>
      </c>
      <c r="I170" s="9" t="s">
        <v>699</v>
      </c>
      <c r="J170" s="44">
        <v>3.37</v>
      </c>
      <c r="K170" s="60">
        <v>4.93</v>
      </c>
      <c r="L170" s="56">
        <v>3.57</v>
      </c>
      <c r="M170" s="14">
        <f>K170-L170</f>
        <v>1.3599999999999999</v>
      </c>
      <c r="N170" s="15">
        <f>IFERROR(M170/K170,0)</f>
        <v>0.27586206896551724</v>
      </c>
      <c r="O170" s="14">
        <f>IFERROR(L170/J170,0)</f>
        <v>1.0593471810089019</v>
      </c>
      <c r="P170" s="14">
        <f>IFERROR(L170/G170,0)</f>
        <v>0.27461538461538221</v>
      </c>
    </row>
    <row r="171" spans="1:18" x14ac:dyDescent="0.3">
      <c r="A171" s="9" t="s">
        <v>387</v>
      </c>
      <c r="B171" s="9" t="s">
        <v>26</v>
      </c>
      <c r="C171" s="9" t="s">
        <v>27</v>
      </c>
      <c r="D171" s="52">
        <v>46095</v>
      </c>
      <c r="E171" s="48">
        <v>0.65069444444444446</v>
      </c>
      <c r="F171" s="48">
        <v>0.66041666666666665</v>
      </c>
      <c r="G171" s="43">
        <f>(F171-E171)*1440</f>
        <v>13.99999999999995</v>
      </c>
      <c r="H171" s="9" t="s">
        <v>713</v>
      </c>
      <c r="I171" s="9" t="s">
        <v>714</v>
      </c>
      <c r="J171" s="44">
        <v>5</v>
      </c>
      <c r="K171" s="60">
        <v>7.47</v>
      </c>
      <c r="L171" s="56">
        <v>5.6</v>
      </c>
      <c r="M171" s="14">
        <f>K171-L171</f>
        <v>1.87</v>
      </c>
      <c r="N171" s="15">
        <f>IFERROR(M171/K171,0)</f>
        <v>0.25033467202141901</v>
      </c>
      <c r="O171" s="14">
        <f>IFERROR(L171/J171,0)</f>
        <v>1.1199999999999999</v>
      </c>
      <c r="P171" s="14">
        <f>IFERROR(L171/G171,0)</f>
        <v>0.40000000000000141</v>
      </c>
      <c r="R171" s="57">
        <v>1.72</v>
      </c>
    </row>
    <row r="172" spans="1:18" x14ac:dyDescent="0.3">
      <c r="A172" s="9" t="s">
        <v>398</v>
      </c>
      <c r="B172" s="9" t="s">
        <v>26</v>
      </c>
      <c r="C172" s="9" t="s">
        <v>26</v>
      </c>
      <c r="D172" s="52">
        <v>46096</v>
      </c>
      <c r="E172" s="48">
        <v>0.67361111111111116</v>
      </c>
      <c r="F172" s="48">
        <v>0.68888888888888899</v>
      </c>
      <c r="G172" s="43">
        <f>(F172-E172)*1440</f>
        <v>22.000000000000082</v>
      </c>
      <c r="H172" s="9" t="s">
        <v>729</v>
      </c>
      <c r="I172" s="9" t="s">
        <v>730</v>
      </c>
      <c r="J172" s="44">
        <v>17.399999999999999</v>
      </c>
      <c r="K172" s="60">
        <v>6.43</v>
      </c>
      <c r="L172" s="56">
        <v>6.88</v>
      </c>
      <c r="M172" s="14">
        <f>K172-L172</f>
        <v>-0.45000000000000018</v>
      </c>
      <c r="N172" s="15">
        <f>IFERROR(M172/K172,0)</f>
        <v>-6.9984447900466595E-2</v>
      </c>
      <c r="O172" s="14">
        <f>IFERROR(L172/J172,0)</f>
        <v>0.39540229885057476</v>
      </c>
      <c r="P172" s="14">
        <f>IFERROR(L172/G172,0)</f>
        <v>0.31272727272727158</v>
      </c>
    </row>
    <row r="173" spans="1:18" x14ac:dyDescent="0.3">
      <c r="A173" s="9" t="s">
        <v>404</v>
      </c>
      <c r="B173" s="9" t="s">
        <v>538</v>
      </c>
      <c r="C173" s="9" t="s">
        <v>184</v>
      </c>
      <c r="D173" s="52">
        <v>46096</v>
      </c>
      <c r="E173" s="48">
        <v>0.62986111111111109</v>
      </c>
      <c r="F173" s="48">
        <v>0.6381944444444444</v>
      </c>
      <c r="G173" s="43">
        <f>(F173-E173)*1440</f>
        <v>11.999999999999957</v>
      </c>
      <c r="H173" s="9" t="s">
        <v>741</v>
      </c>
      <c r="I173" s="9" t="s">
        <v>582</v>
      </c>
      <c r="J173" s="44">
        <v>11.3</v>
      </c>
      <c r="K173" s="60">
        <v>6.95</v>
      </c>
      <c r="L173" s="56">
        <v>4.54</v>
      </c>
      <c r="M173" s="14">
        <f>K173-L173</f>
        <v>2.41</v>
      </c>
      <c r="N173" s="15">
        <f>IFERROR(M173/K173,0)</f>
        <v>0.34676258992805759</v>
      </c>
      <c r="O173" s="14">
        <f>IFERROR(L173/J173,0)</f>
        <v>0.40176991150442476</v>
      </c>
      <c r="P173" s="14">
        <f>IFERROR(L173/G173,0)</f>
        <v>0.37833333333333469</v>
      </c>
    </row>
    <row r="174" spans="1:18" x14ac:dyDescent="0.3">
      <c r="A174" s="9" t="s">
        <v>410</v>
      </c>
      <c r="B174" s="9" t="s">
        <v>18</v>
      </c>
      <c r="C174" s="9" t="s">
        <v>184</v>
      </c>
      <c r="D174" s="52">
        <v>46096</v>
      </c>
      <c r="E174" s="48">
        <v>0.85069444444444453</v>
      </c>
      <c r="F174" s="48">
        <v>0.86875000000000002</v>
      </c>
      <c r="G174" s="43">
        <f>(F174-E174)*1440</f>
        <v>25.999999999999908</v>
      </c>
      <c r="H174" s="9" t="s">
        <v>748</v>
      </c>
      <c r="I174" s="9" t="s">
        <v>749</v>
      </c>
      <c r="J174" s="44">
        <v>29.96</v>
      </c>
      <c r="K174" s="60">
        <v>16.940000000000001</v>
      </c>
      <c r="L174" s="56">
        <v>12.45</v>
      </c>
      <c r="M174" s="14">
        <f>K174-L174</f>
        <v>4.490000000000002</v>
      </c>
      <c r="N174" s="15">
        <f>IFERROR(M174/K174,0)</f>
        <v>0.26505312868949243</v>
      </c>
      <c r="O174" s="14">
        <f>IFERROR(L174/J174,0)</f>
        <v>0.41555407209612816</v>
      </c>
      <c r="P174" s="14">
        <f>IFERROR(L174/G174,0)</f>
        <v>0.47884615384615553</v>
      </c>
    </row>
    <row r="175" spans="1:18" x14ac:dyDescent="0.3">
      <c r="A175" s="9" t="s">
        <v>392</v>
      </c>
      <c r="B175" s="9" t="s">
        <v>26</v>
      </c>
      <c r="C175" s="9" t="s">
        <v>26</v>
      </c>
      <c r="D175" s="52">
        <v>46096</v>
      </c>
      <c r="E175" s="48">
        <v>0.55763888888888891</v>
      </c>
      <c r="F175" s="48">
        <v>0.57361111111111118</v>
      </c>
      <c r="G175" s="43">
        <f>(F175-E175)*1440</f>
        <v>23.000000000000078</v>
      </c>
      <c r="H175" s="9" t="s">
        <v>722</v>
      </c>
      <c r="I175" s="9" t="s">
        <v>723</v>
      </c>
      <c r="J175" s="44">
        <v>22.5</v>
      </c>
      <c r="K175" s="60">
        <v>10.63</v>
      </c>
      <c r="L175" s="56">
        <v>9.9700000000000006</v>
      </c>
      <c r="M175" s="14">
        <f>K175-L175</f>
        <v>0.66000000000000014</v>
      </c>
      <c r="N175" s="15">
        <f>IFERROR(M175/K175,0)</f>
        <v>6.20884289746002E-2</v>
      </c>
      <c r="O175" s="14">
        <f>IFERROR(L175/J175,0)</f>
        <v>0.44311111111111112</v>
      </c>
      <c r="P175" s="14">
        <f>IFERROR(L175/G175,0)</f>
        <v>0.43347826086956376</v>
      </c>
    </row>
    <row r="176" spans="1:18" x14ac:dyDescent="0.3">
      <c r="A176" s="9" t="s">
        <v>409</v>
      </c>
      <c r="B176" s="9" t="s">
        <v>538</v>
      </c>
      <c r="C176" s="9" t="s">
        <v>184</v>
      </c>
      <c r="D176" s="52">
        <v>46096</v>
      </c>
      <c r="E176" s="48">
        <v>0.8354166666666667</v>
      </c>
      <c r="F176" s="48">
        <v>0.84722222222222221</v>
      </c>
      <c r="G176" s="43">
        <f>(F176-E176)*1440</f>
        <v>16.99999999999994</v>
      </c>
      <c r="H176" s="9" t="s">
        <v>1120</v>
      </c>
      <c r="I176" s="9" t="s">
        <v>748</v>
      </c>
      <c r="J176" s="44">
        <v>13.85</v>
      </c>
      <c r="K176" s="60">
        <v>8.9600000000000009</v>
      </c>
      <c r="L176" s="56">
        <v>6.31</v>
      </c>
      <c r="M176" s="14">
        <f>K176-L176</f>
        <v>2.6500000000000012</v>
      </c>
      <c r="N176" s="15">
        <f>IFERROR(M176/K176,0)</f>
        <v>0.29575892857142866</v>
      </c>
      <c r="O176" s="14">
        <f>IFERROR(L176/J176,0)</f>
        <v>0.45559566787003608</v>
      </c>
      <c r="P176" s="14">
        <f>IFERROR(L176/G176,0)</f>
        <v>0.37117647058823661</v>
      </c>
    </row>
    <row r="177" spans="1:18" x14ac:dyDescent="0.3">
      <c r="A177" s="9" t="s">
        <v>406</v>
      </c>
      <c r="B177" s="9" t="s">
        <v>18</v>
      </c>
      <c r="C177" s="9" t="s">
        <v>184</v>
      </c>
      <c r="D177" s="52">
        <v>46096</v>
      </c>
      <c r="E177" s="48">
        <v>0.75555555555555554</v>
      </c>
      <c r="F177" s="48">
        <v>0.76458333333333339</v>
      </c>
      <c r="G177" s="43">
        <f>(F177-E177)*1440</f>
        <v>13.000000000000114</v>
      </c>
      <c r="H177" s="9" t="s">
        <v>743</v>
      </c>
      <c r="I177" s="9" t="s">
        <v>233</v>
      </c>
      <c r="J177" s="44">
        <v>9.6</v>
      </c>
      <c r="K177" s="60">
        <v>7.96</v>
      </c>
      <c r="L177" s="56">
        <v>5.17</v>
      </c>
      <c r="M177" s="14">
        <f>K177-L177</f>
        <v>2.79</v>
      </c>
      <c r="N177" s="15">
        <f>IFERROR(M177/K177,0)</f>
        <v>0.35050251256281406</v>
      </c>
      <c r="O177" s="14">
        <f>IFERROR(L177/J177,0)</f>
        <v>0.5385416666666667</v>
      </c>
      <c r="P177" s="14">
        <f>IFERROR(L177/G177,0)</f>
        <v>0.39769230769230424</v>
      </c>
    </row>
    <row r="178" spans="1:18" x14ac:dyDescent="0.3">
      <c r="A178" s="9" t="s">
        <v>393</v>
      </c>
      <c r="B178" s="9" t="s">
        <v>26</v>
      </c>
      <c r="C178" s="9" t="s">
        <v>27</v>
      </c>
      <c r="D178" s="52">
        <v>46096</v>
      </c>
      <c r="E178" s="48">
        <v>0.58750000000000002</v>
      </c>
      <c r="F178" s="48">
        <v>0.59861111111111109</v>
      </c>
      <c r="G178" s="43">
        <f>(F178-E178)*1440</f>
        <v>15.999999999999943</v>
      </c>
      <c r="H178" s="9" t="s">
        <v>724</v>
      </c>
      <c r="I178" s="9" t="s">
        <v>725</v>
      </c>
      <c r="J178" s="44">
        <v>8</v>
      </c>
      <c r="K178" s="60">
        <v>5.81</v>
      </c>
      <c r="L178" s="56">
        <v>4.3600000000000003</v>
      </c>
      <c r="M178" s="14">
        <f>K178-L178</f>
        <v>1.4499999999999993</v>
      </c>
      <c r="N178" s="15">
        <f>IFERROR(M178/K178,0)</f>
        <v>0.2495697074010326</v>
      </c>
      <c r="O178" s="14">
        <f>IFERROR(L178/J178,0)</f>
        <v>0.54500000000000004</v>
      </c>
      <c r="P178" s="14">
        <f>IFERROR(L178/G178,0)</f>
        <v>0.27250000000000096</v>
      </c>
    </row>
    <row r="179" spans="1:18" x14ac:dyDescent="0.3">
      <c r="A179" s="9" t="s">
        <v>396</v>
      </c>
      <c r="B179" s="9" t="s">
        <v>26</v>
      </c>
      <c r="C179" s="9" t="s">
        <v>27</v>
      </c>
      <c r="D179" s="52">
        <v>46096</v>
      </c>
      <c r="E179" s="48">
        <v>0.65</v>
      </c>
      <c r="F179" s="48">
        <v>0.65972222222222221</v>
      </c>
      <c r="G179" s="43">
        <f>(F179-E179)*1440</f>
        <v>13.99999999999995</v>
      </c>
      <c r="H179" s="9" t="s">
        <v>727</v>
      </c>
      <c r="I179" s="9" t="s">
        <v>728</v>
      </c>
      <c r="J179" s="44">
        <v>7.6</v>
      </c>
      <c r="K179" s="60">
        <v>5.87</v>
      </c>
      <c r="L179" s="56">
        <v>4.4000000000000004</v>
      </c>
      <c r="M179" s="14">
        <f>K179-L179</f>
        <v>1.4699999999999998</v>
      </c>
      <c r="N179" s="15">
        <f>IFERROR(M179/K179,0)</f>
        <v>0.25042589437819418</v>
      </c>
      <c r="O179" s="14">
        <f>IFERROR(L179/J179,0)</f>
        <v>0.57894736842105265</v>
      </c>
      <c r="P179" s="14">
        <f>IFERROR(L179/G179,0)</f>
        <v>0.31428571428571545</v>
      </c>
    </row>
    <row r="180" spans="1:18" x14ac:dyDescent="0.3">
      <c r="A180" s="9" t="s">
        <v>399</v>
      </c>
      <c r="B180" s="9" t="s">
        <v>26</v>
      </c>
      <c r="C180" s="9" t="s">
        <v>27</v>
      </c>
      <c r="D180" s="52">
        <v>46096</v>
      </c>
      <c r="E180" s="48">
        <v>0.71736111111111101</v>
      </c>
      <c r="F180" s="48">
        <v>0.72499999999999998</v>
      </c>
      <c r="G180" s="43">
        <f>(F180-E180)*1440</f>
        <v>11.000000000000121</v>
      </c>
      <c r="H180" s="9" t="s">
        <v>731</v>
      </c>
      <c r="I180" s="9" t="s">
        <v>732</v>
      </c>
      <c r="J180" s="44">
        <v>5.2</v>
      </c>
      <c r="K180" s="60">
        <v>4.43</v>
      </c>
      <c r="L180" s="56">
        <v>3.32</v>
      </c>
      <c r="M180" s="14">
        <f>K180-L180</f>
        <v>1.1099999999999999</v>
      </c>
      <c r="N180" s="15">
        <f>IFERROR(M180/K180,0)</f>
        <v>0.25056433408577877</v>
      </c>
      <c r="O180" s="14">
        <f>IFERROR(L180/J180,0)</f>
        <v>0.63846153846153841</v>
      </c>
      <c r="P180" s="14">
        <f>IFERROR(L180/G180,0)</f>
        <v>0.30181818181817849</v>
      </c>
    </row>
    <row r="181" spans="1:18" x14ac:dyDescent="0.3">
      <c r="A181" s="9" t="s">
        <v>402</v>
      </c>
      <c r="B181" s="9" t="s">
        <v>26</v>
      </c>
      <c r="C181" s="9" t="s">
        <v>27</v>
      </c>
      <c r="D181" s="52">
        <v>46096</v>
      </c>
      <c r="E181" s="48">
        <v>0.78888888888888886</v>
      </c>
      <c r="F181" s="48">
        <v>0.8027777777777777</v>
      </c>
      <c r="G181" s="43">
        <f>(F181-E181)*1440</f>
        <v>19.999999999999929</v>
      </c>
      <c r="H181" s="9" t="s">
        <v>737</v>
      </c>
      <c r="I181" s="9" t="s">
        <v>738</v>
      </c>
      <c r="J181" s="44">
        <v>11.1</v>
      </c>
      <c r="K181" s="60">
        <v>9.56</v>
      </c>
      <c r="L181" s="56">
        <v>7.17</v>
      </c>
      <c r="M181" s="14">
        <f>K181-L181</f>
        <v>2.3900000000000006</v>
      </c>
      <c r="N181" s="15">
        <f>IFERROR(M181/K181,0)</f>
        <v>0.25000000000000006</v>
      </c>
      <c r="O181" s="14">
        <f>IFERROR(L181/J181,0)</f>
        <v>0.64594594594594601</v>
      </c>
      <c r="P181" s="14">
        <f>IFERROR(L181/G181,0)</f>
        <v>0.35850000000000126</v>
      </c>
      <c r="R181" s="57">
        <v>2.2200000000000002</v>
      </c>
    </row>
    <row r="182" spans="1:18" x14ac:dyDescent="0.3">
      <c r="A182" s="9" t="s">
        <v>394</v>
      </c>
      <c r="B182" s="9" t="s">
        <v>26</v>
      </c>
      <c r="C182" s="9" t="s">
        <v>26</v>
      </c>
      <c r="D182" s="52">
        <v>46096</v>
      </c>
      <c r="E182" s="48">
        <v>0.6</v>
      </c>
      <c r="F182" s="48">
        <v>0.60972222222222217</v>
      </c>
      <c r="G182" s="43">
        <f>(F182-E182)*1440</f>
        <v>13.99999999999995</v>
      </c>
      <c r="H182" s="9" t="s">
        <v>214</v>
      </c>
      <c r="I182" s="9" t="s">
        <v>1120</v>
      </c>
      <c r="J182" s="44">
        <v>6.3</v>
      </c>
      <c r="K182" s="60">
        <v>5.52</v>
      </c>
      <c r="L182" s="56">
        <v>4.1399999999999997</v>
      </c>
      <c r="M182" s="14">
        <f>K182-L182</f>
        <v>1.38</v>
      </c>
      <c r="N182" s="15">
        <f>IFERROR(M182/K182,0)</f>
        <v>0.25</v>
      </c>
      <c r="O182" s="14">
        <f>IFERROR(L182/J182,0)</f>
        <v>0.65714285714285714</v>
      </c>
      <c r="P182" s="14">
        <f>IFERROR(L182/G182,0)</f>
        <v>0.29571428571428676</v>
      </c>
    </row>
    <row r="183" spans="1:18" x14ac:dyDescent="0.3">
      <c r="A183" s="9" t="s">
        <v>403</v>
      </c>
      <c r="B183" s="9" t="s">
        <v>26</v>
      </c>
      <c r="C183" s="9" t="s">
        <v>26</v>
      </c>
      <c r="D183" s="52">
        <v>46096</v>
      </c>
      <c r="E183" s="48">
        <v>0.82638888888888884</v>
      </c>
      <c r="F183" s="48">
        <v>0.83472222222222225</v>
      </c>
      <c r="G183" s="43">
        <f>(F183-E183)*1440</f>
        <v>12.000000000000117</v>
      </c>
      <c r="H183" s="9" t="s">
        <v>739</v>
      </c>
      <c r="I183" s="9" t="s">
        <v>740</v>
      </c>
      <c r="J183" s="44">
        <v>7.6</v>
      </c>
      <c r="K183" s="60">
        <v>6.84</v>
      </c>
      <c r="L183" s="56">
        <v>5.13</v>
      </c>
      <c r="M183" s="14">
        <f>K183-L183</f>
        <v>1.71</v>
      </c>
      <c r="N183" s="15">
        <f>IFERROR(M183/K183,0)</f>
        <v>0.25</v>
      </c>
      <c r="O183" s="14">
        <f>IFERROR(L183/J183,0)</f>
        <v>0.67500000000000004</v>
      </c>
      <c r="P183" s="14">
        <f>IFERROR(L183/G183,0)</f>
        <v>0.42749999999999583</v>
      </c>
      <c r="R183" s="57">
        <v>0.63</v>
      </c>
    </row>
    <row r="184" spans="1:18" x14ac:dyDescent="0.3">
      <c r="A184" s="9" t="s">
        <v>408</v>
      </c>
      <c r="B184" s="9" t="s">
        <v>18</v>
      </c>
      <c r="C184" s="9" t="s">
        <v>184</v>
      </c>
      <c r="D184" s="52">
        <v>46096</v>
      </c>
      <c r="E184" s="48">
        <v>0.81180555555555556</v>
      </c>
      <c r="F184" s="48">
        <v>0.81805555555555554</v>
      </c>
      <c r="G184" s="43">
        <f>(F184-E184)*1440</f>
        <v>8.999999999999968</v>
      </c>
      <c r="H184" s="9" t="s">
        <v>746</v>
      </c>
      <c r="I184" s="9" t="s">
        <v>747</v>
      </c>
      <c r="J184" s="44">
        <v>5.92</v>
      </c>
      <c r="K184" s="60">
        <v>4.95</v>
      </c>
      <c r="L184" s="56">
        <v>4.0599999999999996</v>
      </c>
      <c r="M184" s="14">
        <f>K184-L184</f>
        <v>0.89000000000000057</v>
      </c>
      <c r="N184" s="15">
        <f>IFERROR(M184/K184,0)</f>
        <v>0.1797979797979799</v>
      </c>
      <c r="O184" s="14">
        <f>IFERROR(L184/J184,0)</f>
        <v>0.68581081081081074</v>
      </c>
      <c r="P184" s="14">
        <f>IFERROR(L184/G184,0)</f>
        <v>0.45111111111111268</v>
      </c>
    </row>
    <row r="185" spans="1:18" x14ac:dyDescent="0.3">
      <c r="A185" s="9" t="s">
        <v>400</v>
      </c>
      <c r="B185" s="9" t="s">
        <v>26</v>
      </c>
      <c r="C185" s="9" t="s">
        <v>26</v>
      </c>
      <c r="D185" s="52">
        <v>46096</v>
      </c>
      <c r="E185" s="48">
        <v>0.7270833333333333</v>
      </c>
      <c r="F185" s="48">
        <v>0.73472222222222217</v>
      </c>
      <c r="G185" s="43">
        <f>(F185-E185)*1440</f>
        <v>10.999999999999961</v>
      </c>
      <c r="H185" s="9" t="s">
        <v>733</v>
      </c>
      <c r="I185" s="9" t="s">
        <v>734</v>
      </c>
      <c r="J185" s="44">
        <v>5.6</v>
      </c>
      <c r="K185" s="60">
        <v>4.7</v>
      </c>
      <c r="L185" s="56">
        <v>3.91</v>
      </c>
      <c r="M185" s="14">
        <f>K185-L185</f>
        <v>0.79</v>
      </c>
      <c r="N185" s="15">
        <f>IFERROR(M185/K185,0)</f>
        <v>0.16808510638297872</v>
      </c>
      <c r="O185" s="14">
        <f>IFERROR(L185/J185,0)</f>
        <v>0.69821428571428579</v>
      </c>
      <c r="P185" s="14">
        <f>IFERROR(L185/G185,0)</f>
        <v>0.35545454545454674</v>
      </c>
    </row>
    <row r="186" spans="1:18" x14ac:dyDescent="0.3">
      <c r="A186" s="9" t="s">
        <v>407</v>
      </c>
      <c r="B186" s="9" t="s">
        <v>18</v>
      </c>
      <c r="C186" s="9" t="s">
        <v>196</v>
      </c>
      <c r="D186" s="52">
        <v>46096</v>
      </c>
      <c r="E186" s="48">
        <v>0.76527777777777783</v>
      </c>
      <c r="F186" s="48">
        <v>0.77083333333333337</v>
      </c>
      <c r="G186" s="43">
        <f>(F186-E186)*1440</f>
        <v>7.9999999999999716</v>
      </c>
      <c r="H186" s="9" t="s">
        <v>744</v>
      </c>
      <c r="I186" s="9" t="s">
        <v>745</v>
      </c>
      <c r="J186" s="44">
        <v>6.4</v>
      </c>
      <c r="K186" s="60">
        <v>7.05</v>
      </c>
      <c r="L186" s="56">
        <v>4.59</v>
      </c>
      <c r="M186" s="14">
        <f>K186-L186</f>
        <v>2.46</v>
      </c>
      <c r="N186" s="15">
        <f>IFERROR(M186/K186,0)</f>
        <v>0.34893617021276596</v>
      </c>
      <c r="O186" s="14">
        <f>IFERROR(L186/J186,0)</f>
        <v>0.71718749999999998</v>
      </c>
      <c r="P186" s="14">
        <f>IFERROR(L186/G186,0)</f>
        <v>0.57375000000000198</v>
      </c>
    </row>
    <row r="187" spans="1:18" x14ac:dyDescent="0.3">
      <c r="A187" s="9" t="s">
        <v>395</v>
      </c>
      <c r="B187" s="9" t="s">
        <v>26</v>
      </c>
      <c r="C187" s="9" t="s">
        <v>26</v>
      </c>
      <c r="D187" s="52">
        <v>46096</v>
      </c>
      <c r="E187" s="48">
        <v>0.60972222222222217</v>
      </c>
      <c r="F187" s="48">
        <v>0.62013888888888891</v>
      </c>
      <c r="G187" s="43">
        <f>(F187-E187)*1440</f>
        <v>15.000000000000107</v>
      </c>
      <c r="H187" s="9" t="s">
        <v>1120</v>
      </c>
      <c r="I187" s="9" t="s">
        <v>726</v>
      </c>
      <c r="J187" s="44">
        <v>10.3</v>
      </c>
      <c r="K187" s="60">
        <v>10.199999999999999</v>
      </c>
      <c r="L187" s="56">
        <v>7.65</v>
      </c>
      <c r="M187" s="14">
        <f>K187-L187</f>
        <v>2.5499999999999989</v>
      </c>
      <c r="N187" s="15">
        <f>IFERROR(M187/K187,0)</f>
        <v>0.24999999999999992</v>
      </c>
      <c r="O187" s="14">
        <f>IFERROR(L187/J187,0)</f>
        <v>0.74271844660194175</v>
      </c>
      <c r="P187" s="14">
        <f>IFERROR(L187/G187,0)</f>
        <v>0.50999999999999635</v>
      </c>
      <c r="R187" s="57">
        <v>0.93</v>
      </c>
    </row>
    <row r="188" spans="1:18" x14ac:dyDescent="0.3">
      <c r="A188" s="9" t="s">
        <v>397</v>
      </c>
      <c r="B188" s="9" t="s">
        <v>26</v>
      </c>
      <c r="C188" s="9" t="s">
        <v>27</v>
      </c>
      <c r="D188" s="52">
        <v>46096</v>
      </c>
      <c r="E188" s="48">
        <v>0.66041666666666665</v>
      </c>
      <c r="F188" s="48">
        <v>0.67152777777777783</v>
      </c>
      <c r="G188" s="43">
        <f>(F188-E188)*1440</f>
        <v>16.000000000000103</v>
      </c>
      <c r="H188" s="9" t="s">
        <v>698</v>
      </c>
      <c r="I188" s="9" t="s">
        <v>233</v>
      </c>
      <c r="J188" s="44">
        <v>5.2</v>
      </c>
      <c r="K188" s="60">
        <v>5.24</v>
      </c>
      <c r="L188" s="56">
        <v>3.93</v>
      </c>
      <c r="M188" s="14">
        <f>K188-L188</f>
        <v>1.31</v>
      </c>
      <c r="N188" s="15">
        <f>IFERROR(M188/K188,0)</f>
        <v>0.25</v>
      </c>
      <c r="O188" s="14">
        <f>IFERROR(L188/J188,0)</f>
        <v>0.75576923076923075</v>
      </c>
      <c r="P188" s="14">
        <f>IFERROR(L188/G188,0)</f>
        <v>0.24562499999999843</v>
      </c>
    </row>
    <row r="189" spans="1:18" x14ac:dyDescent="0.3">
      <c r="A189" s="9" t="s">
        <v>401</v>
      </c>
      <c r="B189" s="9" t="s">
        <v>26</v>
      </c>
      <c r="C189" s="9" t="s">
        <v>26</v>
      </c>
      <c r="D189" s="52">
        <v>46096</v>
      </c>
      <c r="E189" s="48">
        <v>0.78125</v>
      </c>
      <c r="F189" s="48">
        <v>0.78888888888888886</v>
      </c>
      <c r="G189" s="43">
        <f>(F189-E189)*1440</f>
        <v>10.999999999999961</v>
      </c>
      <c r="H189" s="9" t="s">
        <v>735</v>
      </c>
      <c r="I189" s="9" t="s">
        <v>736</v>
      </c>
      <c r="J189" s="44">
        <v>4.8</v>
      </c>
      <c r="K189" s="60">
        <v>5.37</v>
      </c>
      <c r="L189" s="56">
        <v>4.03</v>
      </c>
      <c r="M189" s="14">
        <f>K189-L189</f>
        <v>1.3399999999999999</v>
      </c>
      <c r="N189" s="15">
        <f>IFERROR(M189/K189,0)</f>
        <v>0.24953445065176905</v>
      </c>
      <c r="O189" s="14">
        <f>IFERROR(L189/J189,0)</f>
        <v>0.83958333333333346</v>
      </c>
      <c r="P189" s="14">
        <f>IFERROR(L189/G189,0)</f>
        <v>0.36636363636363767</v>
      </c>
    </row>
    <row r="190" spans="1:18" x14ac:dyDescent="0.3">
      <c r="A190" s="9" t="s">
        <v>405</v>
      </c>
      <c r="B190" s="9" t="s">
        <v>18</v>
      </c>
      <c r="C190" s="9" t="s">
        <v>184</v>
      </c>
      <c r="D190" s="52">
        <v>46096</v>
      </c>
      <c r="E190" s="48">
        <v>0.74791666666666667</v>
      </c>
      <c r="F190" s="48">
        <v>0.75138888888888899</v>
      </c>
      <c r="G190" s="43">
        <f>(F190-E190)*1440</f>
        <v>5.0000000000001421</v>
      </c>
      <c r="H190" s="9" t="s">
        <v>214</v>
      </c>
      <c r="I190" s="9" t="s">
        <v>742</v>
      </c>
      <c r="J190" s="44">
        <v>1.62</v>
      </c>
      <c r="K190" s="60">
        <v>4.95</v>
      </c>
      <c r="L190" s="56">
        <v>3.38</v>
      </c>
      <c r="M190" s="14">
        <f>K190-L190</f>
        <v>1.5700000000000003</v>
      </c>
      <c r="N190" s="15">
        <f>IFERROR(M190/K190,0)</f>
        <v>0.31717171717171722</v>
      </c>
      <c r="O190" s="14">
        <f>IFERROR(L190/J190,0)</f>
        <v>2.0864197530864197</v>
      </c>
      <c r="P190" s="14">
        <f>IFERROR(L190/G190,0)</f>
        <v>0.67599999999998073</v>
      </c>
    </row>
    <row r="191" spans="1:18" x14ac:dyDescent="0.3">
      <c r="A191" s="9" t="s">
        <v>424</v>
      </c>
      <c r="B191" s="9" t="s">
        <v>26</v>
      </c>
      <c r="C191" s="9" t="s">
        <v>27</v>
      </c>
      <c r="D191" s="52">
        <v>46097</v>
      </c>
      <c r="E191" s="48">
        <v>0.88680555555555562</v>
      </c>
      <c r="F191" s="48">
        <v>0.90486111111111101</v>
      </c>
      <c r="G191" s="43">
        <f>(F191-E191)*1440</f>
        <v>25.999999999999748</v>
      </c>
      <c r="H191" s="9" t="s">
        <v>769</v>
      </c>
      <c r="I191" s="9" t="s">
        <v>770</v>
      </c>
      <c r="J191" s="44">
        <v>24.4</v>
      </c>
      <c r="K191" s="60">
        <v>12.87</v>
      </c>
      <c r="L191" s="56">
        <v>9.65</v>
      </c>
      <c r="M191" s="14">
        <f>K191-L191</f>
        <v>3.2199999999999989</v>
      </c>
      <c r="N191" s="15">
        <f>IFERROR(M191/K191,0)</f>
        <v>0.25019425019425012</v>
      </c>
      <c r="O191" s="14">
        <f>IFERROR(L191/J191,0)</f>
        <v>0.39549180327868855</v>
      </c>
      <c r="P191" s="14">
        <f>IFERROR(L191/G191,0)</f>
        <v>0.37115384615384978</v>
      </c>
    </row>
    <row r="192" spans="1:18" x14ac:dyDescent="0.3">
      <c r="A192" s="9" t="s">
        <v>416</v>
      </c>
      <c r="B192" s="9" t="s">
        <v>18</v>
      </c>
      <c r="C192" s="9" t="s">
        <v>184</v>
      </c>
      <c r="D192" s="52">
        <v>46097</v>
      </c>
      <c r="E192" s="48">
        <v>0.83680555555555547</v>
      </c>
      <c r="F192" s="48">
        <v>0.84861111111111109</v>
      </c>
      <c r="G192" s="43">
        <f>(F192-E192)*1440</f>
        <v>17.000000000000099</v>
      </c>
      <c r="H192" s="9" t="s">
        <v>758</v>
      </c>
      <c r="I192" s="9" t="s">
        <v>193</v>
      </c>
      <c r="J192" s="44">
        <v>17.8</v>
      </c>
      <c r="K192" s="60">
        <v>12.16</v>
      </c>
      <c r="L192" s="56">
        <v>7.47</v>
      </c>
      <c r="M192" s="14">
        <f>K192-L192</f>
        <v>4.6900000000000004</v>
      </c>
      <c r="N192" s="15">
        <f>IFERROR(M192/K192,0)</f>
        <v>0.38569078947368424</v>
      </c>
      <c r="O192" s="14">
        <f>IFERROR(L192/J192,0)</f>
        <v>0.41966292134831457</v>
      </c>
      <c r="P192" s="14">
        <f>IFERROR(L192/G192,0)</f>
        <v>0.43941176470587978</v>
      </c>
      <c r="Q192" s="64">
        <v>0.7</v>
      </c>
    </row>
    <row r="193" spans="1:19" x14ac:dyDescent="0.3">
      <c r="A193" s="9" t="s">
        <v>418</v>
      </c>
      <c r="B193" s="9" t="s">
        <v>26</v>
      </c>
      <c r="C193" s="9" t="s">
        <v>27</v>
      </c>
      <c r="D193" s="52">
        <v>46097</v>
      </c>
      <c r="E193" s="48">
        <v>0.55972222222222223</v>
      </c>
      <c r="F193" s="48">
        <v>0.57361111111111118</v>
      </c>
      <c r="G193" s="43">
        <f>(F193-E193)*1440</f>
        <v>20.000000000000089</v>
      </c>
      <c r="H193" s="9" t="s">
        <v>761</v>
      </c>
      <c r="I193" s="9" t="s">
        <v>1120</v>
      </c>
      <c r="J193" s="44">
        <v>18.7</v>
      </c>
      <c r="K193" s="60">
        <v>10.64</v>
      </c>
      <c r="L193" s="56">
        <v>7.98</v>
      </c>
      <c r="M193" s="14">
        <f>K193-L193</f>
        <v>2.66</v>
      </c>
      <c r="N193" s="15">
        <f>IFERROR(M193/K193,0)</f>
        <v>0.25</v>
      </c>
      <c r="O193" s="14">
        <f>IFERROR(L193/J193,0)</f>
        <v>0.42673796791443852</v>
      </c>
      <c r="P193" s="14">
        <f>IFERROR(L193/G193,0)</f>
        <v>0.39899999999999824</v>
      </c>
    </row>
    <row r="194" spans="1:19" x14ac:dyDescent="0.3">
      <c r="A194" s="9" t="s">
        <v>420</v>
      </c>
      <c r="B194" s="9" t="s">
        <v>26</v>
      </c>
      <c r="C194" s="9" t="s">
        <v>27</v>
      </c>
      <c r="D194" s="52">
        <v>46097</v>
      </c>
      <c r="E194" s="48">
        <v>0.58958333333333335</v>
      </c>
      <c r="F194" s="48">
        <v>0.60347222222222219</v>
      </c>
      <c r="G194" s="43">
        <f>(F194-E194)*1440</f>
        <v>19.999999999999929</v>
      </c>
      <c r="H194" s="9" t="s">
        <v>763</v>
      </c>
      <c r="I194" s="9" t="s">
        <v>266</v>
      </c>
      <c r="J194" s="44">
        <v>9.4</v>
      </c>
      <c r="K194" s="60">
        <v>6.24</v>
      </c>
      <c r="L194" s="56">
        <v>4.68</v>
      </c>
      <c r="M194" s="14">
        <f>K194-L194</f>
        <v>1.5600000000000005</v>
      </c>
      <c r="N194" s="15">
        <f>IFERROR(M194/K194,0)</f>
        <v>0.25000000000000006</v>
      </c>
      <c r="O194" s="14">
        <f>IFERROR(L194/J194,0)</f>
        <v>0.49787234042553186</v>
      </c>
      <c r="P194" s="14">
        <f>IFERROR(L194/G194,0)</f>
        <v>0.23400000000000082</v>
      </c>
    </row>
    <row r="195" spans="1:19" x14ac:dyDescent="0.3">
      <c r="A195" s="9" t="s">
        <v>419</v>
      </c>
      <c r="B195" s="9" t="s">
        <v>26</v>
      </c>
      <c r="C195" s="9" t="s">
        <v>26</v>
      </c>
      <c r="D195" s="52">
        <v>46097</v>
      </c>
      <c r="E195" s="48">
        <v>0.57361111111111118</v>
      </c>
      <c r="F195" s="48">
        <v>0.58611111111111114</v>
      </c>
      <c r="G195" s="43">
        <f>(F195-E195)*1440</f>
        <v>17.999999999999936</v>
      </c>
      <c r="H195" s="9" t="s">
        <v>1120</v>
      </c>
      <c r="I195" s="9" t="s">
        <v>762</v>
      </c>
      <c r="J195" s="44">
        <v>14.6</v>
      </c>
      <c r="K195" s="60">
        <v>8.1300000000000008</v>
      </c>
      <c r="L195" s="56">
        <v>8.7100000000000009</v>
      </c>
      <c r="M195" s="14">
        <f>K195-L195</f>
        <v>-0.58000000000000007</v>
      </c>
      <c r="N195" s="15">
        <f>IFERROR(M195/K195,0)</f>
        <v>-7.1340713407134076E-2</v>
      </c>
      <c r="O195" s="14">
        <f>IFERROR(L195/J195,0)</f>
        <v>0.5965753424657535</v>
      </c>
      <c r="P195" s="14">
        <f>IFERROR(L195/G195,0)</f>
        <v>0.48388888888889064</v>
      </c>
    </row>
    <row r="196" spans="1:19" x14ac:dyDescent="0.3">
      <c r="A196" s="9" t="s">
        <v>422</v>
      </c>
      <c r="B196" s="9" t="s">
        <v>26</v>
      </c>
      <c r="C196" s="9" t="s">
        <v>26</v>
      </c>
      <c r="D196" s="52">
        <v>46097</v>
      </c>
      <c r="E196" s="48">
        <v>0.67986111111111114</v>
      </c>
      <c r="F196" s="48">
        <v>0.69513888888888886</v>
      </c>
      <c r="G196" s="43">
        <f>(F196-E196)*1440</f>
        <v>21.999999999999922</v>
      </c>
      <c r="H196" s="9" t="s">
        <v>765</v>
      </c>
      <c r="I196" s="9" t="s">
        <v>766</v>
      </c>
      <c r="J196" s="44">
        <v>12</v>
      </c>
      <c r="K196" s="60">
        <v>8.0399999999999991</v>
      </c>
      <c r="L196" s="56">
        <v>7.54</v>
      </c>
      <c r="M196" s="14">
        <f>K196-L196</f>
        <v>0.49999999999999911</v>
      </c>
      <c r="N196" s="15">
        <f>IFERROR(M196/K196,0)</f>
        <v>6.2189054726368057E-2</v>
      </c>
      <c r="O196" s="14">
        <f>IFERROR(L196/J196,0)</f>
        <v>0.6283333333333333</v>
      </c>
      <c r="P196" s="14">
        <f>IFERROR(L196/G196,0)</f>
        <v>0.34272727272727393</v>
      </c>
    </row>
    <row r="197" spans="1:19" x14ac:dyDescent="0.3">
      <c r="A197" s="9" t="s">
        <v>421</v>
      </c>
      <c r="B197" s="9" t="s">
        <v>26</v>
      </c>
      <c r="C197" s="9" t="s">
        <v>27</v>
      </c>
      <c r="D197" s="52">
        <v>46097</v>
      </c>
      <c r="E197" s="48">
        <v>0.61597222222222225</v>
      </c>
      <c r="F197" s="48">
        <v>0.62847222222222221</v>
      </c>
      <c r="G197" s="43">
        <f>(F197-E197)*1440</f>
        <v>17.999999999999936</v>
      </c>
      <c r="H197" s="9" t="s">
        <v>214</v>
      </c>
      <c r="I197" s="9" t="s">
        <v>764</v>
      </c>
      <c r="J197" s="44">
        <v>6.7</v>
      </c>
      <c r="K197" s="60">
        <v>5.36</v>
      </c>
      <c r="L197" s="56">
        <v>4.47</v>
      </c>
      <c r="M197" s="14">
        <f>K197-L197</f>
        <v>0.89000000000000057</v>
      </c>
      <c r="N197" s="15">
        <f>IFERROR(M197/K197,0)</f>
        <v>0.16604477611940308</v>
      </c>
      <c r="O197" s="14">
        <f>IFERROR(L197/J197,0)</f>
        <v>0.66716417910447756</v>
      </c>
      <c r="P197" s="14">
        <f>IFERROR(L197/G197,0)</f>
        <v>0.24833333333333421</v>
      </c>
    </row>
    <row r="198" spans="1:19" x14ac:dyDescent="0.3">
      <c r="A198" s="9" t="s">
        <v>423</v>
      </c>
      <c r="B198" s="9" t="s">
        <v>26</v>
      </c>
      <c r="C198" s="9" t="s">
        <v>27</v>
      </c>
      <c r="D198" s="52">
        <v>46097</v>
      </c>
      <c r="E198" s="48">
        <v>0.69930555555555562</v>
      </c>
      <c r="F198" s="48">
        <v>0.7090277777777777</v>
      </c>
      <c r="G198" s="43">
        <f>(F198-E198)*1440</f>
        <v>13.99999999999979</v>
      </c>
      <c r="H198" s="9" t="s">
        <v>767</v>
      </c>
      <c r="I198" s="9" t="s">
        <v>768</v>
      </c>
      <c r="J198" s="44">
        <v>6.3</v>
      </c>
      <c r="K198" s="60">
        <v>5.23</v>
      </c>
      <c r="L198" s="56">
        <v>4.3099999999999996</v>
      </c>
      <c r="M198" s="14">
        <f>K198-L198</f>
        <v>0.92000000000000082</v>
      </c>
      <c r="N198" s="15">
        <f>IFERROR(M198/K198,0)</f>
        <v>0.17590822179732327</v>
      </c>
      <c r="O198" s="14">
        <f>IFERROR(L198/J198,0)</f>
        <v>0.68412698412698414</v>
      </c>
      <c r="P198" s="14">
        <f>IFERROR(L198/G198,0)</f>
        <v>0.30785714285714744</v>
      </c>
    </row>
    <row r="199" spans="1:19" x14ac:dyDescent="0.3">
      <c r="A199" s="9" t="s">
        <v>413</v>
      </c>
      <c r="B199" s="9" t="s">
        <v>18</v>
      </c>
      <c r="C199" s="9" t="s">
        <v>184</v>
      </c>
      <c r="D199" s="52">
        <v>46097</v>
      </c>
      <c r="E199" s="48">
        <v>0.6645833333333333</v>
      </c>
      <c r="F199" s="48">
        <v>0.67222222222222217</v>
      </c>
      <c r="G199" s="43">
        <f>(F199-E199)*1440</f>
        <v>10.999999999999961</v>
      </c>
      <c r="H199" s="9" t="s">
        <v>754</v>
      </c>
      <c r="I199" s="9" t="s">
        <v>233</v>
      </c>
      <c r="J199" s="44">
        <v>4.9400000000000004</v>
      </c>
      <c r="K199" s="60">
        <v>4.95</v>
      </c>
      <c r="L199" s="56">
        <v>3.57</v>
      </c>
      <c r="M199" s="14">
        <f>K199-L199</f>
        <v>1.3800000000000003</v>
      </c>
      <c r="N199" s="15">
        <f>IFERROR(M199/K199,0)</f>
        <v>0.27878787878787886</v>
      </c>
      <c r="O199" s="14">
        <f>IFERROR(L199/J199,0)</f>
        <v>0.72267206477732782</v>
      </c>
      <c r="P199" s="14">
        <f>IFERROR(L199/G199,0)</f>
        <v>0.32454545454545569</v>
      </c>
      <c r="S199" s="61">
        <v>0.5</v>
      </c>
    </row>
    <row r="200" spans="1:19" x14ac:dyDescent="0.3">
      <c r="A200" s="9" t="s">
        <v>417</v>
      </c>
      <c r="B200" s="9" t="s">
        <v>18</v>
      </c>
      <c r="C200" s="9" t="s">
        <v>184</v>
      </c>
      <c r="D200" s="52">
        <v>46097</v>
      </c>
      <c r="E200" s="48">
        <v>0.85486111111111107</v>
      </c>
      <c r="F200" s="48">
        <v>0.8618055555555556</v>
      </c>
      <c r="G200" s="43">
        <f>(F200-E200)*1440</f>
        <v>10.000000000000124</v>
      </c>
      <c r="H200" s="9" t="s">
        <v>759</v>
      </c>
      <c r="I200" s="9" t="s">
        <v>760</v>
      </c>
      <c r="J200" s="44">
        <v>5.65</v>
      </c>
      <c r="K200" s="60">
        <v>4.93</v>
      </c>
      <c r="L200" s="56">
        <v>4.2300000000000004</v>
      </c>
      <c r="M200" s="14">
        <f>K200-L200</f>
        <v>0.69999999999999929</v>
      </c>
      <c r="N200" s="15">
        <f>IFERROR(M200/K200,0)</f>
        <v>0.14198782961460432</v>
      </c>
      <c r="O200" s="14">
        <f>IFERROR(L200/J200,0)</f>
        <v>0.74867256637168145</v>
      </c>
      <c r="P200" s="14">
        <f>IFERROR(L200/G200,0)</f>
        <v>0.42299999999999477</v>
      </c>
    </row>
    <row r="201" spans="1:19" x14ac:dyDescent="0.3">
      <c r="A201" s="9" t="s">
        <v>415</v>
      </c>
      <c r="B201" s="9" t="s">
        <v>18</v>
      </c>
      <c r="C201" s="9" t="s">
        <v>230</v>
      </c>
      <c r="D201" s="52">
        <v>46097</v>
      </c>
      <c r="E201" s="48">
        <v>0.78194444444444444</v>
      </c>
      <c r="F201" s="48">
        <v>0.8208333333333333</v>
      </c>
      <c r="G201" s="43">
        <f>(F201-E201)*1440</f>
        <v>55.999999999999957</v>
      </c>
      <c r="H201" s="9" t="s">
        <v>756</v>
      </c>
      <c r="I201" s="9" t="s">
        <v>757</v>
      </c>
      <c r="J201" s="44">
        <v>24.47</v>
      </c>
      <c r="K201" s="60">
        <v>21.88</v>
      </c>
      <c r="L201" s="56">
        <v>19.850000000000001</v>
      </c>
      <c r="M201" s="14">
        <f>K201-L201</f>
        <v>2.0299999999999976</v>
      </c>
      <c r="N201" s="15">
        <f>IFERROR(M201/K201,0)</f>
        <v>9.277879341864706E-2</v>
      </c>
      <c r="O201" s="14">
        <f>IFERROR(L201/J201,0)</f>
        <v>0.81119738455251333</v>
      </c>
      <c r="P201" s="14">
        <f>IFERROR(L201/G201,0)</f>
        <v>0.35446428571428601</v>
      </c>
      <c r="Q201" s="64">
        <v>1.05</v>
      </c>
    </row>
    <row r="202" spans="1:19" x14ac:dyDescent="0.3">
      <c r="A202" s="9" t="s">
        <v>411</v>
      </c>
      <c r="B202" s="9" t="s">
        <v>538</v>
      </c>
      <c r="C202" s="9" t="s">
        <v>196</v>
      </c>
      <c r="D202" s="52">
        <v>46097</v>
      </c>
      <c r="E202" s="48">
        <v>0.60277777777777775</v>
      </c>
      <c r="F202" s="48">
        <v>0.6069444444444444</v>
      </c>
      <c r="G202" s="43">
        <f>(F202-E202)*1440</f>
        <v>5.9999999999999787</v>
      </c>
      <c r="H202" s="9" t="s">
        <v>750</v>
      </c>
      <c r="I202" s="9" t="s">
        <v>234</v>
      </c>
      <c r="J202" s="44">
        <v>4.16</v>
      </c>
      <c r="K202" s="60">
        <v>4.97</v>
      </c>
      <c r="L202" s="56">
        <v>3.94</v>
      </c>
      <c r="M202" s="14">
        <f>K202-L202</f>
        <v>1.0299999999999998</v>
      </c>
      <c r="N202" s="15">
        <f>IFERROR(M202/K202,0)</f>
        <v>0.20724346076458749</v>
      </c>
      <c r="O202" s="14">
        <f>IFERROR(L202/J202,0)</f>
        <v>0.94711538461538458</v>
      </c>
      <c r="P202" s="14">
        <f>IFERROR(L202/G202,0)</f>
        <v>0.65666666666666895</v>
      </c>
      <c r="S202" s="61">
        <v>2</v>
      </c>
    </row>
    <row r="203" spans="1:19" x14ac:dyDescent="0.3">
      <c r="A203" s="9" t="s">
        <v>412</v>
      </c>
      <c r="B203" s="9" t="s">
        <v>538</v>
      </c>
      <c r="C203" s="9" t="s">
        <v>184</v>
      </c>
      <c r="D203" s="52">
        <v>46097</v>
      </c>
      <c r="E203" s="48">
        <v>0.64861111111111114</v>
      </c>
      <c r="F203" s="48">
        <v>0.66180555555555554</v>
      </c>
      <c r="G203" s="43">
        <f>(F203-E203)*1440</f>
        <v>18.999999999999932</v>
      </c>
      <c r="H203" s="9" t="s">
        <v>752</v>
      </c>
      <c r="I203" s="9" t="s">
        <v>753</v>
      </c>
      <c r="J203" s="44">
        <v>3.94</v>
      </c>
      <c r="K203" s="60">
        <v>4.93</v>
      </c>
      <c r="L203" s="56">
        <v>3.88</v>
      </c>
      <c r="M203" s="14">
        <f>K203-L203</f>
        <v>1.0499999999999998</v>
      </c>
      <c r="N203" s="15">
        <f>IFERROR(M203/K203,0)</f>
        <v>0.21298174442190668</v>
      </c>
      <c r="O203" s="14">
        <f>IFERROR(L203/J203,0)</f>
        <v>0.98477157360406087</v>
      </c>
      <c r="P203" s="14">
        <f>IFERROR(L203/G203,0)</f>
        <v>0.2042105263157902</v>
      </c>
    </row>
    <row r="204" spans="1:19" x14ac:dyDescent="0.3">
      <c r="A204" s="9" t="s">
        <v>414</v>
      </c>
      <c r="B204" s="9" t="s">
        <v>18</v>
      </c>
      <c r="C204" s="9" t="s">
        <v>230</v>
      </c>
      <c r="D204" s="52">
        <v>46097</v>
      </c>
      <c r="E204" s="48">
        <v>0.70972222222222225</v>
      </c>
      <c r="F204" s="48">
        <v>0.7597222222222223</v>
      </c>
      <c r="G204" s="43">
        <f>(F204-E204)*1440</f>
        <v>72.000000000000057</v>
      </c>
      <c r="H204" s="9" t="s">
        <v>755</v>
      </c>
      <c r="I204" s="9" t="s">
        <v>234</v>
      </c>
      <c r="J204" s="44">
        <v>16.350000000000001</v>
      </c>
      <c r="K204" s="60">
        <v>30.98</v>
      </c>
      <c r="L204" s="56">
        <v>23.75</v>
      </c>
      <c r="M204" s="14">
        <f>K204-L204</f>
        <v>7.23</v>
      </c>
      <c r="N204" s="15">
        <f>IFERROR(M204/K204,0)</f>
        <v>0.23337637185280827</v>
      </c>
      <c r="O204" s="14">
        <f>IFERROR(L204/J204,0)</f>
        <v>1.4525993883792048</v>
      </c>
      <c r="P204" s="14">
        <f>IFERROR(L204/G204,0)</f>
        <v>0.32986111111111083</v>
      </c>
      <c r="Q204" s="64">
        <v>0.9</v>
      </c>
    </row>
    <row r="205" spans="1:19" x14ac:dyDescent="0.3">
      <c r="A205" s="9" t="s">
        <v>425</v>
      </c>
      <c r="B205" s="9" t="s">
        <v>26</v>
      </c>
      <c r="C205" s="9" t="s">
        <v>27</v>
      </c>
      <c r="D205" s="52">
        <v>46098</v>
      </c>
      <c r="E205" s="48">
        <v>0.5805555555555556</v>
      </c>
      <c r="F205" s="48">
        <v>0.59305555555555556</v>
      </c>
      <c r="G205" s="43">
        <f>(F205-E205)*1440</f>
        <v>17.999999999999936</v>
      </c>
      <c r="H205" s="9" t="s">
        <v>771</v>
      </c>
      <c r="I205" s="9" t="s">
        <v>1120</v>
      </c>
      <c r="J205" s="44">
        <v>17.399999999999999</v>
      </c>
      <c r="K205" s="60">
        <v>9.89</v>
      </c>
      <c r="L205" s="56">
        <v>7.42</v>
      </c>
      <c r="M205" s="14">
        <f>K205-L205</f>
        <v>2.4700000000000006</v>
      </c>
      <c r="N205" s="15">
        <f>IFERROR(M205/K205,0)</f>
        <v>0.24974721941354908</v>
      </c>
      <c r="O205" s="14">
        <f>IFERROR(L205/J205,0)</f>
        <v>0.42643678160919546</v>
      </c>
      <c r="P205" s="14">
        <f>IFERROR(L205/G205,0)</f>
        <v>0.41222222222222366</v>
      </c>
    </row>
    <row r="206" spans="1:19" x14ac:dyDescent="0.3">
      <c r="A206" s="9" t="s">
        <v>442</v>
      </c>
      <c r="B206" s="9" t="s">
        <v>18</v>
      </c>
      <c r="C206" s="9" t="s">
        <v>184</v>
      </c>
      <c r="D206" s="52">
        <v>46098</v>
      </c>
      <c r="E206" s="48">
        <v>0.88263888888888886</v>
      </c>
      <c r="F206" s="48">
        <v>0.89513888888888893</v>
      </c>
      <c r="G206" s="43">
        <f>(F206-E206)*1440</f>
        <v>18.000000000000096</v>
      </c>
      <c r="H206" s="9" t="s">
        <v>796</v>
      </c>
      <c r="I206" s="9" t="s">
        <v>797</v>
      </c>
      <c r="J206" s="44">
        <v>15.29</v>
      </c>
      <c r="K206" s="60">
        <v>8.94</v>
      </c>
      <c r="L206" s="56">
        <v>6.98</v>
      </c>
      <c r="M206" s="14">
        <f>K206-L206</f>
        <v>1.9599999999999991</v>
      </c>
      <c r="N206" s="15">
        <f>IFERROR(M206/K206,0)</f>
        <v>0.21923937360178961</v>
      </c>
      <c r="O206" s="14">
        <f>IFERROR(L206/J206,0)</f>
        <v>0.45650752125572275</v>
      </c>
      <c r="P206" s="14">
        <f>IFERROR(L206/G206,0)</f>
        <v>0.38777777777777572</v>
      </c>
    </row>
    <row r="207" spans="1:19" x14ac:dyDescent="0.3">
      <c r="A207" s="9" t="s">
        <v>428</v>
      </c>
      <c r="B207" s="9" t="s">
        <v>26</v>
      </c>
      <c r="C207" s="9" t="s">
        <v>27</v>
      </c>
      <c r="D207" s="52">
        <v>46098</v>
      </c>
      <c r="E207" s="48">
        <v>0.65625</v>
      </c>
      <c r="F207" s="48">
        <v>0.6694444444444444</v>
      </c>
      <c r="G207" s="43">
        <f>(F207-E207)*1440</f>
        <v>18.999999999999932</v>
      </c>
      <c r="H207" s="9" t="s">
        <v>775</v>
      </c>
      <c r="I207" s="9" t="s">
        <v>776</v>
      </c>
      <c r="J207" s="44">
        <v>8.8000000000000007</v>
      </c>
      <c r="K207" s="60">
        <v>6.2</v>
      </c>
      <c r="L207" s="56">
        <v>4.6500000000000004</v>
      </c>
      <c r="M207" s="14">
        <f>K207-L207</f>
        <v>1.5499999999999998</v>
      </c>
      <c r="N207" s="15">
        <f>IFERROR(M207/K207,0)</f>
        <v>0.24999999999999997</v>
      </c>
      <c r="O207" s="14">
        <f>IFERROR(L207/J207,0)</f>
        <v>0.52840909090909094</v>
      </c>
      <c r="P207" s="14">
        <f>IFERROR(L207/G207,0)</f>
        <v>0.24473684210526406</v>
      </c>
    </row>
    <row r="208" spans="1:19" x14ac:dyDescent="0.3">
      <c r="A208" s="9" t="s">
        <v>440</v>
      </c>
      <c r="B208" s="9" t="s">
        <v>18</v>
      </c>
      <c r="C208" s="9" t="s">
        <v>184</v>
      </c>
      <c r="D208" s="52">
        <v>46098</v>
      </c>
      <c r="E208" s="48">
        <v>0.84166666666666667</v>
      </c>
      <c r="F208" s="48">
        <v>0.8520833333333333</v>
      </c>
      <c r="G208" s="43">
        <f>(F208-E208)*1440</f>
        <v>14.999999999999947</v>
      </c>
      <c r="H208" s="9" t="s">
        <v>793</v>
      </c>
      <c r="I208" s="9" t="s">
        <v>794</v>
      </c>
      <c r="J208" s="44">
        <v>7.67</v>
      </c>
      <c r="K208" s="60">
        <v>5.96</v>
      </c>
      <c r="L208" s="56">
        <v>4.1900000000000004</v>
      </c>
      <c r="M208" s="14">
        <f>K208-L208</f>
        <v>1.7699999999999996</v>
      </c>
      <c r="N208" s="15">
        <f>IFERROR(M208/K208,0)</f>
        <v>0.29697986577181201</v>
      </c>
      <c r="O208" s="14">
        <f>IFERROR(L208/J208,0)</f>
        <v>0.54628422425032597</v>
      </c>
      <c r="P208" s="14">
        <f>IFERROR(L208/G208,0)</f>
        <v>0.27933333333333438</v>
      </c>
    </row>
    <row r="209" spans="1:18" x14ac:dyDescent="0.3">
      <c r="A209" s="9" t="s">
        <v>441</v>
      </c>
      <c r="B209" s="9" t="s">
        <v>18</v>
      </c>
      <c r="C209" s="9" t="s">
        <v>184</v>
      </c>
      <c r="D209" s="52">
        <v>46098</v>
      </c>
      <c r="E209" s="48">
        <v>0.86319444444444438</v>
      </c>
      <c r="F209" s="48">
        <v>0.87847222222222221</v>
      </c>
      <c r="G209" s="43">
        <f>(F209-E209)*1440</f>
        <v>22.000000000000082</v>
      </c>
      <c r="H209" s="9" t="s">
        <v>214</v>
      </c>
      <c r="I209" s="9" t="s">
        <v>795</v>
      </c>
      <c r="J209" s="44">
        <v>13.28</v>
      </c>
      <c r="K209" s="60">
        <v>8.93</v>
      </c>
      <c r="L209" s="56">
        <v>7.51</v>
      </c>
      <c r="M209" s="14">
        <f>K209-L209</f>
        <v>1.42</v>
      </c>
      <c r="N209" s="15">
        <f>IFERROR(M209/K209,0)</f>
        <v>0.15901455767077266</v>
      </c>
      <c r="O209" s="14">
        <f>IFERROR(L209/J209,0)</f>
        <v>0.56551204819277112</v>
      </c>
      <c r="P209" s="14">
        <f>IFERROR(L209/G209,0)</f>
        <v>0.34136363636363509</v>
      </c>
    </row>
    <row r="210" spans="1:18" x14ac:dyDescent="0.3">
      <c r="A210" s="9" t="s">
        <v>427</v>
      </c>
      <c r="B210" s="9" t="s">
        <v>26</v>
      </c>
      <c r="C210" s="9" t="s">
        <v>27</v>
      </c>
      <c r="D210" s="52">
        <v>46098</v>
      </c>
      <c r="E210" s="48">
        <v>0.62777777777777777</v>
      </c>
      <c r="F210" s="48">
        <v>0.64166666666666672</v>
      </c>
      <c r="G210" s="43">
        <f>(F210-E210)*1440</f>
        <v>20.000000000000089</v>
      </c>
      <c r="H210" s="9" t="s">
        <v>773</v>
      </c>
      <c r="I210" s="9" t="s">
        <v>774</v>
      </c>
      <c r="J210" s="44">
        <v>7.6</v>
      </c>
      <c r="K210" s="60">
        <v>5.93</v>
      </c>
      <c r="L210" s="56">
        <v>4.45</v>
      </c>
      <c r="M210" s="14">
        <f>K210-L210</f>
        <v>1.4799999999999995</v>
      </c>
      <c r="N210" s="15">
        <f>IFERROR(M210/K210,0)</f>
        <v>0.24957841483979756</v>
      </c>
      <c r="O210" s="14">
        <f>IFERROR(L210/J210,0)</f>
        <v>0.58552631578947378</v>
      </c>
      <c r="P210" s="14">
        <f>IFERROR(L210/G210,0)</f>
        <v>0.22249999999999903</v>
      </c>
    </row>
    <row r="211" spans="1:18" x14ac:dyDescent="0.3">
      <c r="A211" s="9" t="s">
        <v>429</v>
      </c>
      <c r="B211" s="9" t="s">
        <v>26</v>
      </c>
      <c r="C211" s="9" t="s">
        <v>26</v>
      </c>
      <c r="D211" s="52">
        <v>46098</v>
      </c>
      <c r="E211" s="48">
        <v>0.67986111111111114</v>
      </c>
      <c r="F211" s="48">
        <v>0.68819444444444444</v>
      </c>
      <c r="G211" s="43">
        <f>(F211-E211)*1440</f>
        <v>11.999999999999957</v>
      </c>
      <c r="H211" s="9" t="s">
        <v>777</v>
      </c>
      <c r="I211" s="9" t="s">
        <v>778</v>
      </c>
      <c r="J211" s="44">
        <v>8.9</v>
      </c>
      <c r="K211" s="60">
        <v>4.4400000000000004</v>
      </c>
      <c r="L211" s="56">
        <v>5.23</v>
      </c>
      <c r="M211" s="14">
        <f>K211-L211</f>
        <v>-0.79</v>
      </c>
      <c r="N211" s="15">
        <f>IFERROR(M211/K211,0)</f>
        <v>-0.17792792792792791</v>
      </c>
      <c r="O211" s="14">
        <f>IFERROR(L211/J211,0)</f>
        <v>0.58764044943820226</v>
      </c>
      <c r="P211" s="14">
        <f>IFERROR(L211/G211,0)</f>
        <v>0.4358333333333349</v>
      </c>
    </row>
    <row r="212" spans="1:18" x14ac:dyDescent="0.3">
      <c r="A212" s="9" t="s">
        <v>435</v>
      </c>
      <c r="B212" s="9" t="s">
        <v>26</v>
      </c>
      <c r="C212" s="9" t="s">
        <v>27</v>
      </c>
      <c r="D212" s="52">
        <v>46098</v>
      </c>
      <c r="E212" s="48">
        <v>0.82777777777777783</v>
      </c>
      <c r="F212" s="48">
        <v>0.84027777777777779</v>
      </c>
      <c r="G212" s="43">
        <f>(F212-E212)*1440</f>
        <v>17.999999999999936</v>
      </c>
      <c r="H212" s="9" t="s">
        <v>207</v>
      </c>
      <c r="I212" s="9" t="s">
        <v>785</v>
      </c>
      <c r="J212" s="44">
        <v>12.8</v>
      </c>
      <c r="K212" s="60">
        <v>11.43</v>
      </c>
      <c r="L212" s="56">
        <v>8.57</v>
      </c>
      <c r="M212" s="14">
        <f>K212-L212</f>
        <v>2.8599999999999994</v>
      </c>
      <c r="N212" s="15">
        <f>IFERROR(M212/K212,0)</f>
        <v>0.25021872265966749</v>
      </c>
      <c r="O212" s="14">
        <f>IFERROR(L212/J212,0)</f>
        <v>0.66953125000000002</v>
      </c>
      <c r="P212" s="14">
        <f>IFERROR(L212/G212,0)</f>
        <v>0.47611111111111282</v>
      </c>
      <c r="R212" s="57">
        <v>2.73</v>
      </c>
    </row>
    <row r="213" spans="1:18" x14ac:dyDescent="0.3">
      <c r="A213" s="9" t="s">
        <v>431</v>
      </c>
      <c r="B213" s="9" t="s">
        <v>26</v>
      </c>
      <c r="C213" s="9" t="s">
        <v>27</v>
      </c>
      <c r="D213" s="52">
        <v>46098</v>
      </c>
      <c r="E213" s="48">
        <v>0.72222222222222221</v>
      </c>
      <c r="F213" s="48">
        <v>0.73402777777777783</v>
      </c>
      <c r="G213" s="43">
        <f>(F213-E213)*1440</f>
        <v>17.000000000000099</v>
      </c>
      <c r="H213" s="9" t="s">
        <v>650</v>
      </c>
      <c r="I213" s="9" t="s">
        <v>779</v>
      </c>
      <c r="J213" s="44">
        <v>8</v>
      </c>
      <c r="K213" s="60">
        <v>8.36</v>
      </c>
      <c r="L213" s="56">
        <v>6.27</v>
      </c>
      <c r="M213" s="14">
        <f>K213-L213</f>
        <v>2.09</v>
      </c>
      <c r="N213" s="15">
        <f>IFERROR(M213/K213,0)</f>
        <v>0.25</v>
      </c>
      <c r="O213" s="14">
        <f>IFERROR(L213/J213,0)</f>
        <v>0.78374999999999995</v>
      </c>
      <c r="P213" s="14">
        <f>IFERROR(L213/G213,0)</f>
        <v>0.3688235294117625</v>
      </c>
    </row>
    <row r="214" spans="1:18" x14ac:dyDescent="0.3">
      <c r="A214" s="9" t="s">
        <v>432</v>
      </c>
      <c r="B214" s="9" t="s">
        <v>26</v>
      </c>
      <c r="C214" s="9" t="s">
        <v>26</v>
      </c>
      <c r="D214" s="52">
        <v>46098</v>
      </c>
      <c r="E214" s="48">
        <v>0.73541666666666661</v>
      </c>
      <c r="F214" s="48">
        <v>0.74444444444444446</v>
      </c>
      <c r="G214" s="43">
        <f>(F214-E214)*1440</f>
        <v>13.000000000000114</v>
      </c>
      <c r="H214" s="9" t="s">
        <v>780</v>
      </c>
      <c r="I214" s="9" t="s">
        <v>781</v>
      </c>
      <c r="J214" s="44">
        <v>6.7</v>
      </c>
      <c r="K214" s="60">
        <v>6.09</v>
      </c>
      <c r="L214" s="56">
        <v>6.52</v>
      </c>
      <c r="M214" s="14">
        <f>K214-L214</f>
        <v>-0.42999999999999972</v>
      </c>
      <c r="N214" s="15">
        <f>IFERROR(M214/K214,0)</f>
        <v>-7.0607553366174011E-2</v>
      </c>
      <c r="O214" s="14">
        <f>IFERROR(L214/J214,0)</f>
        <v>0.9731343283582089</v>
      </c>
      <c r="P214" s="14">
        <f>IFERROR(L214/G214,0)</f>
        <v>0.50153846153845716</v>
      </c>
      <c r="R214" s="57">
        <v>2.0299999999999998</v>
      </c>
    </row>
    <row r="215" spans="1:18" x14ac:dyDescent="0.3">
      <c r="A215" s="9" t="s">
        <v>426</v>
      </c>
      <c r="B215" s="9" t="s">
        <v>26</v>
      </c>
      <c r="C215" s="9" t="s">
        <v>26</v>
      </c>
      <c r="D215" s="52">
        <v>46098</v>
      </c>
      <c r="E215" s="48">
        <v>0.59861111111111109</v>
      </c>
      <c r="F215" s="48">
        <v>0.61736111111111114</v>
      </c>
      <c r="G215" s="43">
        <f>(F215-E215)*1440</f>
        <v>27.000000000000064</v>
      </c>
      <c r="H215" s="9" t="s">
        <v>1120</v>
      </c>
      <c r="I215" s="9" t="s">
        <v>772</v>
      </c>
      <c r="J215" s="44">
        <v>7.8</v>
      </c>
      <c r="K215" s="60">
        <v>9.4</v>
      </c>
      <c r="L215" s="56">
        <v>7.6</v>
      </c>
      <c r="M215" s="14">
        <f>K215-L215</f>
        <v>1.8000000000000007</v>
      </c>
      <c r="N215" s="15">
        <f>IFERROR(M215/K215,0)</f>
        <v>0.19148936170212774</v>
      </c>
      <c r="O215" s="14">
        <f>IFERROR(L215/J215,0)</f>
        <v>0.97435897435897434</v>
      </c>
      <c r="P215" s="14">
        <f>IFERROR(L215/G215,0)</f>
        <v>0.28148148148148078</v>
      </c>
    </row>
    <row r="216" spans="1:18" x14ac:dyDescent="0.3">
      <c r="A216" s="9" t="s">
        <v>439</v>
      </c>
      <c r="B216" s="9" t="s">
        <v>18</v>
      </c>
      <c r="C216" s="9" t="s">
        <v>184</v>
      </c>
      <c r="D216" s="52">
        <v>46098</v>
      </c>
      <c r="E216" s="48">
        <v>0.7944444444444444</v>
      </c>
      <c r="F216" s="48">
        <v>0.8041666666666667</v>
      </c>
      <c r="G216" s="43">
        <f>(F216-E216)*1440</f>
        <v>14.00000000000011</v>
      </c>
      <c r="H216" s="9" t="s">
        <v>791</v>
      </c>
      <c r="I216" s="9" t="s">
        <v>792</v>
      </c>
      <c r="J216" s="44">
        <v>7.79</v>
      </c>
      <c r="K216" s="60">
        <v>7.97</v>
      </c>
      <c r="L216" s="56">
        <v>7.73</v>
      </c>
      <c r="M216" s="14">
        <f>K216-L216</f>
        <v>0.23999999999999932</v>
      </c>
      <c r="N216" s="15">
        <f>IFERROR(M216/K216,0)</f>
        <v>3.0112923462986114E-2</v>
      </c>
      <c r="O216" s="14">
        <f>IFERROR(L216/J216,0)</f>
        <v>0.99229781771501935</v>
      </c>
      <c r="P216" s="14">
        <f>IFERROR(L216/G216,0)</f>
        <v>0.55214285714285283</v>
      </c>
    </row>
    <row r="217" spans="1:18" x14ac:dyDescent="0.3">
      <c r="A217" s="9" t="s">
        <v>430</v>
      </c>
      <c r="B217" s="9" t="s">
        <v>26</v>
      </c>
      <c r="C217" s="9" t="s">
        <v>26</v>
      </c>
      <c r="D217" s="52">
        <v>46098</v>
      </c>
      <c r="E217" s="48">
        <v>0.7090277777777777</v>
      </c>
      <c r="F217" s="48">
        <v>0.71805555555555556</v>
      </c>
      <c r="G217" s="43">
        <f>(F217-E217)*1440</f>
        <v>13.000000000000114</v>
      </c>
      <c r="H217" s="9" t="s">
        <v>588</v>
      </c>
      <c r="I217" s="9" t="s">
        <v>650</v>
      </c>
      <c r="J217" s="44">
        <v>5.8</v>
      </c>
      <c r="K217" s="60">
        <v>8.83</v>
      </c>
      <c r="L217" s="56">
        <v>7.36</v>
      </c>
      <c r="M217" s="14">
        <f>K217-L217</f>
        <v>1.4699999999999998</v>
      </c>
      <c r="N217" s="15">
        <f>IFERROR(M217/K217,0)</f>
        <v>0.16647791619479047</v>
      </c>
      <c r="O217" s="14">
        <f>IFERROR(L217/J217,0)</f>
        <v>1.2689655172413794</v>
      </c>
      <c r="P217" s="14">
        <f>IFERROR(L217/G217,0)</f>
        <v>0.56615384615384123</v>
      </c>
    </row>
    <row r="218" spans="1:18" x14ac:dyDescent="0.3">
      <c r="A218" s="9" t="s">
        <v>433</v>
      </c>
      <c r="B218" s="9" t="s">
        <v>26</v>
      </c>
      <c r="C218" s="9" t="s">
        <v>26</v>
      </c>
      <c r="D218" s="52">
        <v>46098</v>
      </c>
      <c r="E218" s="48">
        <v>0.74791666666666667</v>
      </c>
      <c r="F218" s="48">
        <v>0.7583333333333333</v>
      </c>
      <c r="G218" s="43">
        <f>(F218-E218)*1440</f>
        <v>14.999999999999947</v>
      </c>
      <c r="H218" s="9" t="s">
        <v>782</v>
      </c>
      <c r="I218" s="9" t="s">
        <v>783</v>
      </c>
      <c r="J218" s="44">
        <v>4.9000000000000004</v>
      </c>
      <c r="K218" s="60">
        <v>9.02</v>
      </c>
      <c r="L218" s="56">
        <v>6.76</v>
      </c>
      <c r="M218" s="14">
        <f>K218-L218</f>
        <v>2.2599999999999998</v>
      </c>
      <c r="N218" s="15">
        <f>IFERROR(M218/K218,0)</f>
        <v>0.25055432372505543</v>
      </c>
      <c r="O218" s="14">
        <f>IFERROR(L218/J218,0)</f>
        <v>1.3795918367346938</v>
      </c>
      <c r="P218" s="14">
        <f>IFERROR(L218/G218,0)</f>
        <v>0.45066666666666827</v>
      </c>
      <c r="R218" s="57">
        <v>3.37</v>
      </c>
    </row>
    <row r="219" spans="1:18" x14ac:dyDescent="0.3">
      <c r="A219" s="9" t="s">
        <v>437</v>
      </c>
      <c r="B219" s="9" t="s">
        <v>538</v>
      </c>
      <c r="C219" s="9" t="s">
        <v>196</v>
      </c>
      <c r="D219" s="52">
        <v>46098</v>
      </c>
      <c r="E219" s="48">
        <v>0.68819444444444444</v>
      </c>
      <c r="F219" s="48">
        <v>0.69513888888888886</v>
      </c>
      <c r="G219" s="43">
        <f>(F219-E219)*1440</f>
        <v>9.9999999999999645</v>
      </c>
      <c r="H219" s="9" t="s">
        <v>787</v>
      </c>
      <c r="I219" s="9" t="s">
        <v>788</v>
      </c>
      <c r="J219" s="44">
        <v>4.59</v>
      </c>
      <c r="K219" s="60">
        <v>7.99</v>
      </c>
      <c r="L219" s="56">
        <v>6.35</v>
      </c>
      <c r="M219" s="14">
        <f>K219-L219</f>
        <v>1.6400000000000006</v>
      </c>
      <c r="N219" s="15">
        <f>IFERROR(M219/K219,0)</f>
        <v>0.20525657071339182</v>
      </c>
      <c r="O219" s="14">
        <f>IFERROR(L219/J219,0)</f>
        <v>1.383442265795207</v>
      </c>
      <c r="P219" s="14">
        <f>IFERROR(L219/G219,0)</f>
        <v>0.63500000000000223</v>
      </c>
    </row>
    <row r="220" spans="1:18" x14ac:dyDescent="0.3">
      <c r="A220" s="9" t="s">
        <v>434</v>
      </c>
      <c r="B220" s="9" t="s">
        <v>26</v>
      </c>
      <c r="C220" s="9" t="s">
        <v>26</v>
      </c>
      <c r="D220" s="52">
        <v>46098</v>
      </c>
      <c r="E220" s="48">
        <v>0.81458333333333333</v>
      </c>
      <c r="F220" s="48">
        <v>0.8222222222222223</v>
      </c>
      <c r="G220" s="43">
        <f>(F220-E220)*1440</f>
        <v>11.000000000000121</v>
      </c>
      <c r="H220" s="9" t="s">
        <v>784</v>
      </c>
      <c r="I220" s="9" t="s">
        <v>521</v>
      </c>
      <c r="J220" s="44">
        <v>3.7</v>
      </c>
      <c r="K220" s="60">
        <v>5.2</v>
      </c>
      <c r="L220" s="56">
        <v>5.36</v>
      </c>
      <c r="M220" s="14">
        <f>K220-L220</f>
        <v>-0.16000000000000014</v>
      </c>
      <c r="N220" s="15">
        <f>IFERROR(M220/K220,0)</f>
        <v>-3.0769230769230795E-2</v>
      </c>
      <c r="O220" s="14">
        <f>IFERROR(L220/J220,0)</f>
        <v>1.4486486486486487</v>
      </c>
      <c r="P220" s="14">
        <f>IFERROR(L220/G220,0)</f>
        <v>0.48727272727272197</v>
      </c>
      <c r="R220" s="57">
        <v>2.17</v>
      </c>
    </row>
    <row r="221" spans="1:18" x14ac:dyDescent="0.3">
      <c r="A221" s="9" t="s">
        <v>438</v>
      </c>
      <c r="B221" s="9" t="s">
        <v>18</v>
      </c>
      <c r="C221" s="9" t="s">
        <v>184</v>
      </c>
      <c r="D221" s="52">
        <v>46098</v>
      </c>
      <c r="E221" s="48">
        <v>0.78333333333333333</v>
      </c>
      <c r="F221" s="48">
        <v>0.7909722222222223</v>
      </c>
      <c r="G221" s="43">
        <f>(F221-E221)*1440</f>
        <v>11.000000000000121</v>
      </c>
      <c r="H221" s="9" t="s">
        <v>789</v>
      </c>
      <c r="I221" s="9" t="s">
        <v>790</v>
      </c>
      <c r="J221" s="44">
        <v>5.5</v>
      </c>
      <c r="K221" s="60">
        <v>9.9499999999999993</v>
      </c>
      <c r="L221" s="56">
        <v>8.1999999999999993</v>
      </c>
      <c r="M221" s="14">
        <f>K221-L221</f>
        <v>1.75</v>
      </c>
      <c r="N221" s="15">
        <f>IFERROR(M221/K221,0)</f>
        <v>0.17587939698492464</v>
      </c>
      <c r="O221" s="14">
        <f>IFERROR(L221/J221,0)</f>
        <v>1.4909090909090907</v>
      </c>
      <c r="P221" s="14">
        <f>IFERROR(L221/G221,0)</f>
        <v>0.74545454545453715</v>
      </c>
    </row>
    <row r="222" spans="1:18" x14ac:dyDescent="0.3">
      <c r="A222" s="9" t="s">
        <v>436</v>
      </c>
      <c r="B222" s="9" t="s">
        <v>18</v>
      </c>
      <c r="C222" s="9" t="s">
        <v>184</v>
      </c>
      <c r="D222" s="52">
        <v>46098</v>
      </c>
      <c r="E222" s="48">
        <v>0.64166666666666672</v>
      </c>
      <c r="F222" s="48">
        <v>0.64513888888888882</v>
      </c>
      <c r="G222" s="43">
        <f>(F222-E222)*1440</f>
        <v>4.9999999999998224</v>
      </c>
      <c r="H222" s="9" t="s">
        <v>558</v>
      </c>
      <c r="I222" s="9" t="s">
        <v>786</v>
      </c>
      <c r="J222" s="44">
        <v>1.96</v>
      </c>
      <c r="K222" s="60">
        <v>4.97</v>
      </c>
      <c r="L222" s="56">
        <v>3.67</v>
      </c>
      <c r="M222" s="14">
        <f>K222-L222</f>
        <v>1.2999999999999998</v>
      </c>
      <c r="N222" s="15">
        <f>IFERROR(M222/K222,0)</f>
        <v>0.26156941649899396</v>
      </c>
      <c r="O222" s="14">
        <f>IFERROR(L222/J222,0)</f>
        <v>1.8724489795918366</v>
      </c>
      <c r="P222" s="14">
        <f>IFERROR(L222/G222,0)</f>
        <v>0.73400000000002608</v>
      </c>
    </row>
    <row r="223" spans="1:18" x14ac:dyDescent="0.3">
      <c r="A223" s="9" t="s">
        <v>460</v>
      </c>
      <c r="B223" s="9" t="s">
        <v>18</v>
      </c>
      <c r="C223" s="9" t="s">
        <v>824</v>
      </c>
      <c r="D223" s="52">
        <v>46099</v>
      </c>
      <c r="E223" s="48">
        <v>0.87222222222222223</v>
      </c>
      <c r="F223" s="48">
        <v>0.88263888888888886</v>
      </c>
      <c r="G223" s="43">
        <f>(F223-E223)*1440</f>
        <v>14.999999999999947</v>
      </c>
      <c r="H223" s="9" t="s">
        <v>825</v>
      </c>
      <c r="I223" s="9" t="s">
        <v>826</v>
      </c>
      <c r="J223" s="44">
        <v>12.4</v>
      </c>
      <c r="K223" s="60">
        <v>5.93</v>
      </c>
      <c r="L223" s="56">
        <v>4.91</v>
      </c>
      <c r="M223" s="14">
        <f>K223-L223</f>
        <v>1.0199999999999996</v>
      </c>
      <c r="N223" s="15">
        <f>IFERROR(M223/K223,0)</f>
        <v>0.17200674536256316</v>
      </c>
      <c r="O223" s="14">
        <f>IFERROR(L223/J223,0)</f>
        <v>0.3959677419354839</v>
      </c>
      <c r="P223" s="14">
        <f>IFERROR(L223/G223,0)</f>
        <v>0.32733333333333453</v>
      </c>
    </row>
    <row r="224" spans="1:18" x14ac:dyDescent="0.3">
      <c r="A224" s="9" t="s">
        <v>452</v>
      </c>
      <c r="B224" s="9" t="s">
        <v>18</v>
      </c>
      <c r="C224" s="9" t="s">
        <v>184</v>
      </c>
      <c r="D224" s="52">
        <v>46099</v>
      </c>
      <c r="E224" s="48">
        <v>0.57986111111111105</v>
      </c>
      <c r="F224" s="48">
        <v>0.58819444444444446</v>
      </c>
      <c r="G224" s="43">
        <f>(F224-E224)*1440</f>
        <v>12.000000000000117</v>
      </c>
      <c r="H224" s="9" t="s">
        <v>812</v>
      </c>
      <c r="I224" s="9" t="s">
        <v>1120</v>
      </c>
      <c r="J224" s="44">
        <v>11.37</v>
      </c>
      <c r="K224" s="60">
        <v>6.95</v>
      </c>
      <c r="L224" s="56">
        <v>4.5199999999999996</v>
      </c>
      <c r="M224" s="14">
        <f>K224-L224</f>
        <v>2.4300000000000006</v>
      </c>
      <c r="N224" s="15">
        <f>IFERROR(M224/K224,0)</f>
        <v>0.34964028776978423</v>
      </c>
      <c r="O224" s="14">
        <f>IFERROR(L224/J224,0)</f>
        <v>0.39753737906772207</v>
      </c>
      <c r="P224" s="14">
        <f>IFERROR(L224/G224,0)</f>
        <v>0.37666666666666293</v>
      </c>
    </row>
    <row r="225" spans="1:17" x14ac:dyDescent="0.3">
      <c r="A225" s="9" t="s">
        <v>454</v>
      </c>
      <c r="B225" s="9" t="s">
        <v>18</v>
      </c>
      <c r="C225" s="9" t="s">
        <v>184</v>
      </c>
      <c r="D225" s="52">
        <v>46099</v>
      </c>
      <c r="E225" s="48">
        <v>0.66249999999999998</v>
      </c>
      <c r="F225" s="48">
        <v>0.67083333333333339</v>
      </c>
      <c r="G225" s="43">
        <f>(F225-E225)*1440</f>
        <v>12.000000000000117</v>
      </c>
      <c r="H225" s="9" t="s">
        <v>815</v>
      </c>
      <c r="I225" s="9" t="s">
        <v>816</v>
      </c>
      <c r="J225" s="44">
        <v>8.89</v>
      </c>
      <c r="K225" s="60">
        <v>5.94</v>
      </c>
      <c r="L225" s="56">
        <v>3.66</v>
      </c>
      <c r="M225" s="14">
        <f>K225-L225</f>
        <v>2.2800000000000002</v>
      </c>
      <c r="N225" s="15">
        <f>IFERROR(M225/K225,0)</f>
        <v>0.38383838383838387</v>
      </c>
      <c r="O225" s="14">
        <f>IFERROR(L225/J225,0)</f>
        <v>0.41169853768278963</v>
      </c>
      <c r="P225" s="14">
        <f>IFERROR(L225/G225,0)</f>
        <v>0.30499999999999705</v>
      </c>
      <c r="Q225" s="64">
        <v>0.4</v>
      </c>
    </row>
    <row r="226" spans="1:17" x14ac:dyDescent="0.3">
      <c r="A226" s="9" t="s">
        <v>444</v>
      </c>
      <c r="B226" s="9" t="s">
        <v>26</v>
      </c>
      <c r="C226" s="9" t="s">
        <v>27</v>
      </c>
      <c r="D226" s="52">
        <v>46099</v>
      </c>
      <c r="E226" s="48">
        <v>0.56874999999999998</v>
      </c>
      <c r="F226" s="48">
        <v>0.57986111111111105</v>
      </c>
      <c r="G226" s="43">
        <f>(F226-E226)*1440</f>
        <v>15.999999999999943</v>
      </c>
      <c r="H226" s="9" t="s">
        <v>800</v>
      </c>
      <c r="I226" s="9" t="s">
        <v>710</v>
      </c>
      <c r="J226" s="44">
        <v>15.8</v>
      </c>
      <c r="K226" s="60">
        <v>9.56</v>
      </c>
      <c r="L226" s="56">
        <v>7.17</v>
      </c>
      <c r="M226" s="14">
        <f>K226-L226</f>
        <v>2.3900000000000006</v>
      </c>
      <c r="N226" s="15">
        <f>IFERROR(M226/K226,0)</f>
        <v>0.25000000000000006</v>
      </c>
      <c r="O226" s="14">
        <f>IFERROR(L226/J226,0)</f>
        <v>0.45379746835443036</v>
      </c>
      <c r="P226" s="14">
        <f>IFERROR(L226/G226,0)</f>
        <v>0.44812500000000161</v>
      </c>
    </row>
    <row r="227" spans="1:17" x14ac:dyDescent="0.3">
      <c r="A227" s="9" t="s">
        <v>457</v>
      </c>
      <c r="B227" s="9" t="s">
        <v>18</v>
      </c>
      <c r="C227" s="9" t="s">
        <v>184</v>
      </c>
      <c r="D227" s="52">
        <v>46099</v>
      </c>
      <c r="E227" s="48">
        <v>0.79791666666666661</v>
      </c>
      <c r="F227" s="48">
        <v>0.81111111111111101</v>
      </c>
      <c r="G227" s="43">
        <f>(F227-E227)*1440</f>
        <v>18.999999999999932</v>
      </c>
      <c r="H227" s="9" t="s">
        <v>820</v>
      </c>
      <c r="I227" s="9" t="s">
        <v>821</v>
      </c>
      <c r="J227" s="44">
        <v>18.05</v>
      </c>
      <c r="K227" s="60">
        <v>11.95</v>
      </c>
      <c r="L227" s="56">
        <v>8.52</v>
      </c>
      <c r="M227" s="14">
        <f>K227-L227</f>
        <v>3.4299999999999997</v>
      </c>
      <c r="N227" s="15">
        <f>IFERROR(M227/K227,0)</f>
        <v>0.28702928870292888</v>
      </c>
      <c r="O227" s="14">
        <f>IFERROR(L227/J227,0)</f>
        <v>0.47202216066481989</v>
      </c>
      <c r="P227" s="14">
        <f>IFERROR(L227/G227,0)</f>
        <v>0.4484210526315805</v>
      </c>
      <c r="Q227" s="64">
        <v>0.7</v>
      </c>
    </row>
    <row r="228" spans="1:17" x14ac:dyDescent="0.3">
      <c r="A228" s="9" t="s">
        <v>443</v>
      </c>
      <c r="B228" s="9" t="s">
        <v>26</v>
      </c>
      <c r="C228" s="9" t="s">
        <v>27</v>
      </c>
      <c r="D228" s="52">
        <v>46099</v>
      </c>
      <c r="E228" s="48">
        <v>0.55902777777777779</v>
      </c>
      <c r="F228" s="48">
        <v>0.56805555555555554</v>
      </c>
      <c r="G228" s="43">
        <f>(F228-E228)*1440</f>
        <v>12.999999999999954</v>
      </c>
      <c r="H228" s="9" t="s">
        <v>798</v>
      </c>
      <c r="I228" s="9" t="s">
        <v>799</v>
      </c>
      <c r="J228" s="44">
        <v>9.4</v>
      </c>
      <c r="K228" s="60">
        <v>6.16</v>
      </c>
      <c r="L228" s="56">
        <v>4.62</v>
      </c>
      <c r="M228" s="14">
        <f>K228-L228</f>
        <v>1.54</v>
      </c>
      <c r="N228" s="15">
        <f>IFERROR(M228/K228,0)</f>
        <v>0.25</v>
      </c>
      <c r="O228" s="14">
        <f>IFERROR(L228/J228,0)</f>
        <v>0.49148936170212765</v>
      </c>
      <c r="P228" s="14">
        <f>IFERROR(L228/G228,0)</f>
        <v>0.35538461538461663</v>
      </c>
    </row>
    <row r="229" spans="1:17" x14ac:dyDescent="0.3">
      <c r="A229" s="9" t="s">
        <v>459</v>
      </c>
      <c r="B229" s="9" t="s">
        <v>538</v>
      </c>
      <c r="C229" s="9" t="s">
        <v>184</v>
      </c>
      <c r="D229" s="52">
        <v>46099</v>
      </c>
      <c r="E229" s="48">
        <v>0.84652777777777777</v>
      </c>
      <c r="F229" s="48">
        <v>0.86041666666666661</v>
      </c>
      <c r="G229" s="43">
        <f>(F229-E229)*1440</f>
        <v>19.999999999999929</v>
      </c>
      <c r="H229" s="9" t="s">
        <v>584</v>
      </c>
      <c r="I229" s="9" t="s">
        <v>823</v>
      </c>
      <c r="J229" s="44">
        <v>17.46</v>
      </c>
      <c r="K229" s="60">
        <v>11.96</v>
      </c>
      <c r="L229" s="56">
        <v>8.77</v>
      </c>
      <c r="M229" s="14">
        <f>K229-L229</f>
        <v>3.1900000000000013</v>
      </c>
      <c r="N229" s="15">
        <f>IFERROR(M229/K229,0)</f>
        <v>0.26672240802675595</v>
      </c>
      <c r="O229" s="14">
        <f>IFERROR(L229/J229,0)</f>
        <v>0.50229095074455898</v>
      </c>
      <c r="P229" s="14">
        <f>IFERROR(L229/G229,0)</f>
        <v>0.43850000000000156</v>
      </c>
    </row>
    <row r="230" spans="1:17" x14ac:dyDescent="0.3">
      <c r="A230" s="9" t="s">
        <v>453</v>
      </c>
      <c r="B230" s="9" t="s">
        <v>18</v>
      </c>
      <c r="C230" s="9" t="s">
        <v>184</v>
      </c>
      <c r="D230" s="52">
        <v>46099</v>
      </c>
      <c r="E230" s="48">
        <v>0.60833333333333328</v>
      </c>
      <c r="F230" s="48">
        <v>0.61875000000000002</v>
      </c>
      <c r="G230" s="43">
        <f>(F230-E230)*1440</f>
        <v>15.000000000000107</v>
      </c>
      <c r="H230" s="9" t="s">
        <v>813</v>
      </c>
      <c r="I230" s="9" t="s">
        <v>814</v>
      </c>
      <c r="J230" s="44">
        <v>10.08</v>
      </c>
      <c r="K230" s="60">
        <v>7.94</v>
      </c>
      <c r="L230" s="56">
        <v>5.16</v>
      </c>
      <c r="M230" s="14">
        <f>K230-L230</f>
        <v>2.7800000000000002</v>
      </c>
      <c r="N230" s="15">
        <f>IFERROR(M230/K230,0)</f>
        <v>0.3501259445843829</v>
      </c>
      <c r="O230" s="14">
        <f>IFERROR(L230/J230,0)</f>
        <v>0.51190476190476186</v>
      </c>
      <c r="P230" s="14">
        <f>IFERROR(L230/G230,0)</f>
        <v>0.34399999999999759</v>
      </c>
    </row>
    <row r="231" spans="1:17" x14ac:dyDescent="0.3">
      <c r="A231" s="9" t="s">
        <v>445</v>
      </c>
      <c r="B231" s="9" t="s">
        <v>26</v>
      </c>
      <c r="C231" s="9" t="s">
        <v>26</v>
      </c>
      <c r="D231" s="52">
        <v>46099</v>
      </c>
      <c r="E231" s="48">
        <v>0.62569444444444444</v>
      </c>
      <c r="F231" s="48">
        <v>0.63472222222222219</v>
      </c>
      <c r="G231" s="43">
        <f>(F231-E231)*1440</f>
        <v>12.999999999999954</v>
      </c>
      <c r="H231" s="9" t="s">
        <v>682</v>
      </c>
      <c r="I231" s="9" t="s">
        <v>801</v>
      </c>
      <c r="J231" s="44">
        <v>13.1</v>
      </c>
      <c r="K231" s="60">
        <v>7.38</v>
      </c>
      <c r="L231" s="56">
        <v>7.02</v>
      </c>
      <c r="M231" s="14">
        <f>K231-L231</f>
        <v>0.36000000000000032</v>
      </c>
      <c r="N231" s="15">
        <f>IFERROR(M231/K231,0)</f>
        <v>4.8780487804878092E-2</v>
      </c>
      <c r="O231" s="14">
        <f>IFERROR(L231/J231,0)</f>
        <v>0.53587786259541981</v>
      </c>
      <c r="P231" s="14">
        <f>IFERROR(L231/G231,0)</f>
        <v>0.54000000000000192</v>
      </c>
      <c r="Q231" s="64">
        <v>0.4</v>
      </c>
    </row>
    <row r="232" spans="1:17" x14ac:dyDescent="0.3">
      <c r="A232" s="9" t="s">
        <v>447</v>
      </c>
      <c r="B232" s="9" t="s">
        <v>26</v>
      </c>
      <c r="C232" s="9" t="s">
        <v>26</v>
      </c>
      <c r="D232" s="52">
        <v>46099</v>
      </c>
      <c r="E232" s="48">
        <v>0.67708333333333337</v>
      </c>
      <c r="F232" s="48">
        <v>0.68958333333333333</v>
      </c>
      <c r="G232" s="43">
        <f>(F232-E232)*1440</f>
        <v>17.999999999999936</v>
      </c>
      <c r="H232" s="9" t="s">
        <v>803</v>
      </c>
      <c r="I232" s="9" t="s">
        <v>804</v>
      </c>
      <c r="J232" s="44">
        <v>15.6</v>
      </c>
      <c r="K232" s="60">
        <v>8.61</v>
      </c>
      <c r="L232" s="56">
        <v>8.9499999999999993</v>
      </c>
      <c r="M232" s="14">
        <f>K232-L232</f>
        <v>-0.33999999999999986</v>
      </c>
      <c r="N232" s="15">
        <f>IFERROR(M232/K232,0)</f>
        <v>-3.9488966318234599E-2</v>
      </c>
      <c r="O232" s="14">
        <f>IFERROR(L232/J232,0)</f>
        <v>0.57371794871794868</v>
      </c>
      <c r="P232" s="14">
        <f>IFERROR(L232/G232,0)</f>
        <v>0.49722222222222395</v>
      </c>
      <c r="Q232" s="64">
        <v>0.4</v>
      </c>
    </row>
    <row r="233" spans="1:17" x14ac:dyDescent="0.3">
      <c r="A233" s="9" t="s">
        <v>446</v>
      </c>
      <c r="B233" s="9" t="s">
        <v>26</v>
      </c>
      <c r="C233" s="9" t="s">
        <v>26</v>
      </c>
      <c r="D233" s="52">
        <v>46099</v>
      </c>
      <c r="E233" s="48">
        <v>0.63680555555555551</v>
      </c>
      <c r="F233" s="48">
        <v>0.64861111111111114</v>
      </c>
      <c r="G233" s="43">
        <f>(F233-E233)*1440</f>
        <v>17.000000000000099</v>
      </c>
      <c r="H233" s="9" t="s">
        <v>802</v>
      </c>
      <c r="I233" s="9" t="s">
        <v>671</v>
      </c>
      <c r="J233" s="44">
        <v>10.9</v>
      </c>
      <c r="K233" s="60">
        <v>6.58</v>
      </c>
      <c r="L233" s="56">
        <v>6.27</v>
      </c>
      <c r="M233" s="14">
        <f>K233-L233</f>
        <v>0.3100000000000005</v>
      </c>
      <c r="N233" s="15">
        <f>IFERROR(M233/K233,0)</f>
        <v>4.7112462006079103E-2</v>
      </c>
      <c r="O233" s="14">
        <f>IFERROR(L233/J233,0)</f>
        <v>0.57522935779816509</v>
      </c>
      <c r="P233" s="14">
        <f>IFERROR(L233/G233,0)</f>
        <v>0.3688235294117625</v>
      </c>
      <c r="Q233" s="64">
        <v>0.4</v>
      </c>
    </row>
    <row r="234" spans="1:17" x14ac:dyDescent="0.3">
      <c r="A234" s="9" t="s">
        <v>461</v>
      </c>
      <c r="B234" s="9" t="s">
        <v>18</v>
      </c>
      <c r="C234" s="9" t="s">
        <v>196</v>
      </c>
      <c r="D234" s="52">
        <v>46099</v>
      </c>
      <c r="E234" s="48">
        <v>0.8930555555555556</v>
      </c>
      <c r="F234" s="48">
        <v>0.90069444444444446</v>
      </c>
      <c r="G234" s="43">
        <f>(F234-E234)*1440</f>
        <v>10.999999999999961</v>
      </c>
      <c r="H234" s="9" t="s">
        <v>827</v>
      </c>
      <c r="I234" s="9" t="s">
        <v>828</v>
      </c>
      <c r="J234" s="44">
        <v>8.25</v>
      </c>
      <c r="K234" s="60">
        <v>5.98</v>
      </c>
      <c r="L234" s="56">
        <v>4.79</v>
      </c>
      <c r="M234" s="14">
        <f>K234-L234</f>
        <v>1.1900000000000004</v>
      </c>
      <c r="N234" s="15">
        <f>IFERROR(M234/K234,0)</f>
        <v>0.19899665551839471</v>
      </c>
      <c r="O234" s="14">
        <f>IFERROR(L234/J234,0)</f>
        <v>0.58060606060606057</v>
      </c>
      <c r="P234" s="14">
        <f>IFERROR(L234/G234,0)</f>
        <v>0.43545454545454698</v>
      </c>
    </row>
    <row r="235" spans="1:17" x14ac:dyDescent="0.3">
      <c r="A235" s="9" t="s">
        <v>455</v>
      </c>
      <c r="B235" s="9" t="s">
        <v>538</v>
      </c>
      <c r="C235" s="9" t="s">
        <v>184</v>
      </c>
      <c r="D235" s="52">
        <v>46099</v>
      </c>
      <c r="E235" s="48">
        <v>0.7055555555555556</v>
      </c>
      <c r="F235" s="48">
        <v>0.71666666666666667</v>
      </c>
      <c r="G235" s="43">
        <f>(F235-E235)*1440</f>
        <v>15.999999999999943</v>
      </c>
      <c r="H235" s="9" t="s">
        <v>817</v>
      </c>
      <c r="I235" s="9" t="s">
        <v>225</v>
      </c>
      <c r="J235" s="44">
        <v>12.26</v>
      </c>
      <c r="K235" s="60">
        <v>10.95</v>
      </c>
      <c r="L235" s="56">
        <v>7.45</v>
      </c>
      <c r="M235" s="14">
        <f>K235-L235</f>
        <v>3.4999999999999991</v>
      </c>
      <c r="N235" s="15">
        <f>IFERROR(M235/K235,0)</f>
        <v>0.31963470319634696</v>
      </c>
      <c r="O235" s="14">
        <f>IFERROR(L235/J235,0)</f>
        <v>0.6076672104404568</v>
      </c>
      <c r="P235" s="14">
        <f>IFERROR(L235/G235,0)</f>
        <v>0.46562500000000168</v>
      </c>
    </row>
    <row r="236" spans="1:17" x14ac:dyDescent="0.3">
      <c r="A236" s="9" t="s">
        <v>458</v>
      </c>
      <c r="B236" s="9" t="s">
        <v>538</v>
      </c>
      <c r="C236" s="9" t="s">
        <v>184</v>
      </c>
      <c r="D236" s="52">
        <v>46099</v>
      </c>
      <c r="E236" s="48">
        <v>0.82708333333333339</v>
      </c>
      <c r="F236" s="48">
        <v>0.84027777777777779</v>
      </c>
      <c r="G236" s="43">
        <f>(F236-E236)*1440</f>
        <v>18.999999999999932</v>
      </c>
      <c r="H236" s="9" t="s">
        <v>822</v>
      </c>
      <c r="I236" s="9" t="s">
        <v>531</v>
      </c>
      <c r="J236" s="44">
        <v>11.39</v>
      </c>
      <c r="K236" s="60">
        <v>10.94</v>
      </c>
      <c r="L236" s="56">
        <v>7.11</v>
      </c>
      <c r="M236" s="14">
        <f>K236-L236</f>
        <v>3.8299999999999992</v>
      </c>
      <c r="N236" s="15">
        <f>IFERROR(M236/K236,0)</f>
        <v>0.35009140767824493</v>
      </c>
      <c r="O236" s="14">
        <f>IFERROR(L236/J236,0)</f>
        <v>0.62423178226514486</v>
      </c>
      <c r="P236" s="14">
        <f>IFERROR(L236/G236,0)</f>
        <v>0.37421052631579083</v>
      </c>
    </row>
    <row r="237" spans="1:17" x14ac:dyDescent="0.3">
      <c r="A237" s="9" t="s">
        <v>448</v>
      </c>
      <c r="B237" s="9" t="s">
        <v>26</v>
      </c>
      <c r="C237" s="9" t="s">
        <v>26</v>
      </c>
      <c r="D237" s="52">
        <v>46099</v>
      </c>
      <c r="E237" s="48">
        <v>0.69236111111111109</v>
      </c>
      <c r="F237" s="48">
        <v>0.7055555555555556</v>
      </c>
      <c r="G237" s="43">
        <f>(F237-E237)*1440</f>
        <v>19.000000000000092</v>
      </c>
      <c r="H237" s="9" t="s">
        <v>805</v>
      </c>
      <c r="I237" s="9" t="s">
        <v>806</v>
      </c>
      <c r="J237" s="44">
        <v>10.1</v>
      </c>
      <c r="K237" s="60">
        <v>8.14</v>
      </c>
      <c r="L237" s="56">
        <v>6.78</v>
      </c>
      <c r="M237" s="14">
        <f>K237-L237</f>
        <v>1.3600000000000003</v>
      </c>
      <c r="N237" s="15">
        <f>IFERROR(M237/K237,0)</f>
        <v>0.1670761670761671</v>
      </c>
      <c r="O237" s="14">
        <f>IFERROR(L237/J237,0)</f>
        <v>0.67128712871287133</v>
      </c>
      <c r="P237" s="14">
        <f>IFERROR(L237/G237,0)</f>
        <v>0.35684210526315618</v>
      </c>
    </row>
    <row r="238" spans="1:17" x14ac:dyDescent="0.3">
      <c r="A238" s="9" t="s">
        <v>450</v>
      </c>
      <c r="B238" s="9" t="s">
        <v>26</v>
      </c>
      <c r="C238" s="9" t="s">
        <v>26</v>
      </c>
      <c r="D238" s="52">
        <v>46099</v>
      </c>
      <c r="E238" s="48">
        <v>0.78055555555555556</v>
      </c>
      <c r="F238" s="48">
        <v>0.79583333333333339</v>
      </c>
      <c r="G238" s="43">
        <f>(F238-E238)*1440</f>
        <v>22.000000000000082</v>
      </c>
      <c r="H238" s="9" t="s">
        <v>808</v>
      </c>
      <c r="I238" s="9" t="s">
        <v>809</v>
      </c>
      <c r="J238" s="44">
        <v>13.3</v>
      </c>
      <c r="K238" s="60">
        <v>9.34</v>
      </c>
      <c r="L238" s="56">
        <v>8.93</v>
      </c>
      <c r="M238" s="14">
        <f>K238-L238</f>
        <v>0.41000000000000014</v>
      </c>
      <c r="N238" s="15">
        <f>IFERROR(M238/K238,0)</f>
        <v>4.3897216274089955E-2</v>
      </c>
      <c r="O238" s="14">
        <f>IFERROR(L238/J238,0)</f>
        <v>0.67142857142857137</v>
      </c>
      <c r="P238" s="14">
        <f>IFERROR(L238/G238,0)</f>
        <v>0.40590909090908939</v>
      </c>
      <c r="Q238" s="64">
        <v>0.7</v>
      </c>
    </row>
    <row r="239" spans="1:17" x14ac:dyDescent="0.3">
      <c r="A239" s="9" t="s">
        <v>449</v>
      </c>
      <c r="B239" s="9" t="s">
        <v>26</v>
      </c>
      <c r="C239" s="9" t="s">
        <v>26</v>
      </c>
      <c r="D239" s="52">
        <v>46099</v>
      </c>
      <c r="E239" s="48">
        <v>0.72430555555555554</v>
      </c>
      <c r="F239" s="48">
        <v>0.7402777777777777</v>
      </c>
      <c r="G239" s="43">
        <f>(F239-E239)*1440</f>
        <v>22.999999999999918</v>
      </c>
      <c r="H239" s="9" t="s">
        <v>225</v>
      </c>
      <c r="I239" s="9" t="s">
        <v>807</v>
      </c>
      <c r="J239" s="44">
        <v>7.3</v>
      </c>
      <c r="K239" s="60">
        <v>5.08</v>
      </c>
      <c r="L239" s="56">
        <v>5.44</v>
      </c>
      <c r="M239" s="14">
        <f>K239-L239</f>
        <v>-0.36000000000000032</v>
      </c>
      <c r="N239" s="15">
        <f>IFERROR(M239/K239,0)</f>
        <v>-7.0866141732283533E-2</v>
      </c>
      <c r="O239" s="14">
        <f>IFERROR(L239/J239,0)</f>
        <v>0.74520547945205484</v>
      </c>
      <c r="P239" s="14">
        <f>IFERROR(L239/G239,0)</f>
        <v>0.23652173913043564</v>
      </c>
    </row>
    <row r="240" spans="1:17" x14ac:dyDescent="0.3">
      <c r="A240" s="9" t="s">
        <v>456</v>
      </c>
      <c r="B240" s="9" t="s">
        <v>18</v>
      </c>
      <c r="C240" s="9" t="s">
        <v>184</v>
      </c>
      <c r="D240" s="52">
        <v>46099</v>
      </c>
      <c r="E240" s="48">
        <v>0.76666666666666661</v>
      </c>
      <c r="F240" s="48">
        <v>0.77430555555555547</v>
      </c>
      <c r="G240" s="43">
        <f>(F240-E240)*1440</f>
        <v>10.999999999999961</v>
      </c>
      <c r="H240" s="9" t="s">
        <v>818</v>
      </c>
      <c r="I240" s="9" t="s">
        <v>819</v>
      </c>
      <c r="J240" s="44">
        <v>5.65</v>
      </c>
      <c r="K240" s="60">
        <v>5.55</v>
      </c>
      <c r="L240" s="56">
        <v>5.4</v>
      </c>
      <c r="M240" s="14">
        <f>K240-L240</f>
        <v>0.14999999999999947</v>
      </c>
      <c r="N240" s="15">
        <f>IFERROR(M240/K240,0)</f>
        <v>2.7027027027026931E-2</v>
      </c>
      <c r="O240" s="14">
        <f>IFERROR(L240/J240,0)</f>
        <v>0.95575221238938057</v>
      </c>
      <c r="P240" s="14">
        <f>IFERROR(L240/G240,0)</f>
        <v>0.49090909090909268</v>
      </c>
    </row>
    <row r="241" spans="1:19" x14ac:dyDescent="0.3">
      <c r="A241" s="9" t="s">
        <v>451</v>
      </c>
      <c r="B241" s="67" t="s">
        <v>26</v>
      </c>
      <c r="C241" s="9" t="s">
        <v>26</v>
      </c>
      <c r="D241" s="52">
        <v>46099</v>
      </c>
      <c r="E241" s="48">
        <v>0.81944444444444453</v>
      </c>
      <c r="F241" s="48">
        <v>0.82638888888888884</v>
      </c>
      <c r="G241" s="43">
        <f>(F241-E241)*1440</f>
        <v>9.9999999999998046</v>
      </c>
      <c r="H241" s="9" t="s">
        <v>810</v>
      </c>
      <c r="I241" s="9" t="s">
        <v>811</v>
      </c>
      <c r="J241" s="44">
        <v>4.7</v>
      </c>
      <c r="K241" s="60">
        <v>6.87</v>
      </c>
      <c r="L241" s="56">
        <v>5.15</v>
      </c>
      <c r="M241" s="14">
        <f>K241-L241</f>
        <v>1.7199999999999998</v>
      </c>
      <c r="N241" s="15">
        <f>IFERROR(M241/K241,0)</f>
        <v>0.25036390101892281</v>
      </c>
      <c r="O241" s="14">
        <f>IFERROR(L241/J241,0)</f>
        <v>1.0957446808510638</v>
      </c>
      <c r="P241" s="14">
        <f>IFERROR(L241/G241,0)</f>
        <v>0.51500000000001012</v>
      </c>
      <c r="R241" s="57">
        <v>1.96</v>
      </c>
    </row>
    <row r="242" spans="1:19" x14ac:dyDescent="0.3">
      <c r="A242" s="9" t="s">
        <v>470</v>
      </c>
      <c r="B242" s="9" t="s">
        <v>26</v>
      </c>
      <c r="C242" s="9" t="s">
        <v>26</v>
      </c>
      <c r="D242" s="52">
        <v>46100</v>
      </c>
      <c r="E242" s="48">
        <v>0.6479166666666667</v>
      </c>
      <c r="F242" s="48">
        <v>0.66319444444444442</v>
      </c>
      <c r="G242" s="43">
        <f>(F242-E242)*1440</f>
        <v>21.999999999999922</v>
      </c>
      <c r="H242" s="9" t="s">
        <v>608</v>
      </c>
      <c r="I242" s="9" t="s">
        <v>839</v>
      </c>
      <c r="J242" s="44">
        <v>17.7</v>
      </c>
      <c r="K242" s="60">
        <v>9.5</v>
      </c>
      <c r="L242" s="56">
        <v>7.91</v>
      </c>
      <c r="M242" s="14">
        <f>K242-L242</f>
        <v>1.5899999999999999</v>
      </c>
      <c r="N242" s="15">
        <f>IFERROR(M242/K242,0)</f>
        <v>0.16736842105263156</v>
      </c>
      <c r="O242" s="14">
        <f>IFERROR(L242/J242,0)</f>
        <v>0.44689265536723166</v>
      </c>
      <c r="P242" s="14">
        <f>IFERROR(L242/G242,0)</f>
        <v>0.35954545454545583</v>
      </c>
    </row>
    <row r="243" spans="1:19" x14ac:dyDescent="0.3">
      <c r="A243" s="9" t="s">
        <v>465</v>
      </c>
      <c r="B243" s="9" t="s">
        <v>18</v>
      </c>
      <c r="C243" s="9" t="s">
        <v>824</v>
      </c>
      <c r="D243" s="52">
        <v>46100</v>
      </c>
      <c r="E243" s="48">
        <v>0.67986111111111114</v>
      </c>
      <c r="F243" s="48">
        <v>0.69513888888888886</v>
      </c>
      <c r="G243" s="43">
        <f>(F243-E243)*1440</f>
        <v>21.999999999999922</v>
      </c>
      <c r="H243" s="9" t="s">
        <v>233</v>
      </c>
      <c r="I243" s="9" t="s">
        <v>833</v>
      </c>
      <c r="J243" s="44">
        <v>13.89</v>
      </c>
      <c r="K243" s="60">
        <v>10.93</v>
      </c>
      <c r="L243" s="56">
        <v>7.1</v>
      </c>
      <c r="M243" s="14">
        <f>K243-L243</f>
        <v>3.83</v>
      </c>
      <c r="N243" s="15">
        <f>IFERROR(M243/K243,0)</f>
        <v>0.3504117108874657</v>
      </c>
      <c r="O243" s="14">
        <f>IFERROR(L243/J243,0)</f>
        <v>0.51115910727141822</v>
      </c>
      <c r="P243" s="14">
        <f>IFERROR(L243/G243,0)</f>
        <v>0.32272727272727386</v>
      </c>
    </row>
    <row r="244" spans="1:19" x14ac:dyDescent="0.3">
      <c r="A244" s="9" t="s">
        <v>462</v>
      </c>
      <c r="B244" s="9" t="s">
        <v>18</v>
      </c>
      <c r="C244" s="9" t="s">
        <v>184</v>
      </c>
      <c r="D244" s="52">
        <v>46100</v>
      </c>
      <c r="E244" s="48">
        <v>0.58402777777777781</v>
      </c>
      <c r="F244" s="48">
        <v>0.60416666666666663</v>
      </c>
      <c r="G244" s="43">
        <f>(F244-E244)*1440</f>
        <v>28.999999999999897</v>
      </c>
      <c r="H244" s="9" t="s">
        <v>829</v>
      </c>
      <c r="I244" s="9" t="s">
        <v>830</v>
      </c>
      <c r="J244" s="44">
        <v>15.27</v>
      </c>
      <c r="K244" s="60">
        <v>10.95</v>
      </c>
      <c r="L244" s="56">
        <v>8.07</v>
      </c>
      <c r="M244" s="14">
        <f>K244-L244</f>
        <v>2.879999999999999</v>
      </c>
      <c r="N244" s="15">
        <f>IFERROR(M244/K244,0)</f>
        <v>0.26301369863013691</v>
      </c>
      <c r="O244" s="14">
        <f>IFERROR(L244/J244,0)</f>
        <v>0.52848722986247543</v>
      </c>
      <c r="P244" s="14">
        <f>IFERROR(L244/G244,0)</f>
        <v>0.27827586206896654</v>
      </c>
    </row>
    <row r="245" spans="1:19" x14ac:dyDescent="0.3">
      <c r="A245" s="9" t="s">
        <v>468</v>
      </c>
      <c r="B245" s="9" t="s">
        <v>18</v>
      </c>
      <c r="C245" s="9" t="s">
        <v>184</v>
      </c>
      <c r="D245" s="52">
        <v>46100</v>
      </c>
      <c r="E245" s="48">
        <v>0.85</v>
      </c>
      <c r="F245" s="48">
        <v>0.85763888888888884</v>
      </c>
      <c r="G245" s="43">
        <f>(F245-E245)*1440</f>
        <v>10.999999999999961</v>
      </c>
      <c r="H245" s="9" t="s">
        <v>743</v>
      </c>
      <c r="I245" s="9" t="s">
        <v>837</v>
      </c>
      <c r="J245" s="44">
        <v>8.2100000000000009</v>
      </c>
      <c r="K245" s="60">
        <v>5.95</v>
      </c>
      <c r="L245" s="56">
        <v>5.28</v>
      </c>
      <c r="M245" s="14">
        <f>K245-L245</f>
        <v>0.66999999999999993</v>
      </c>
      <c r="N245" s="15">
        <f>IFERROR(M245/K245,0)</f>
        <v>0.11260504201680671</v>
      </c>
      <c r="O245" s="14">
        <f>IFERROR(L245/J245,0)</f>
        <v>0.64311814859926919</v>
      </c>
      <c r="P245" s="14">
        <f>IFERROR(L245/G245,0)</f>
        <v>0.4800000000000017</v>
      </c>
    </row>
    <row r="246" spans="1:19" x14ac:dyDescent="0.3">
      <c r="A246" s="9" t="s">
        <v>469</v>
      </c>
      <c r="B246" s="9" t="s">
        <v>18</v>
      </c>
      <c r="C246" s="9" t="s">
        <v>196</v>
      </c>
      <c r="D246" s="52">
        <v>46100</v>
      </c>
      <c r="E246" s="48">
        <v>0.86597222222222225</v>
      </c>
      <c r="F246" s="48">
        <v>0.87222222222222223</v>
      </c>
      <c r="G246" s="43">
        <f>(F246-E246)*1440</f>
        <v>8.999999999999968</v>
      </c>
      <c r="H246" s="9" t="s">
        <v>584</v>
      </c>
      <c r="I246" s="9" t="s">
        <v>838</v>
      </c>
      <c r="J246" s="44">
        <v>5.21</v>
      </c>
      <c r="K246" s="60">
        <v>4.99</v>
      </c>
      <c r="L246" s="56">
        <v>3.93</v>
      </c>
      <c r="M246" s="14">
        <f>K246-L246</f>
        <v>1.06</v>
      </c>
      <c r="N246" s="15">
        <f>IFERROR(M246/K246,0)</f>
        <v>0.21242484969939879</v>
      </c>
      <c r="O246" s="14">
        <f>IFERROR(L246/J246,0)</f>
        <v>0.75431861804222655</v>
      </c>
      <c r="P246" s="14">
        <f>IFERROR(L246/G246,0)</f>
        <v>0.43666666666666826</v>
      </c>
    </row>
    <row r="247" spans="1:19" x14ac:dyDescent="0.3">
      <c r="A247" s="9" t="s">
        <v>467</v>
      </c>
      <c r="B247" s="9" t="s">
        <v>18</v>
      </c>
      <c r="C247" s="9" t="s">
        <v>196</v>
      </c>
      <c r="D247" s="52">
        <v>46100</v>
      </c>
      <c r="E247" s="48">
        <v>0.83611111111111114</v>
      </c>
      <c r="F247" s="48">
        <v>0.84652777777777777</v>
      </c>
      <c r="G247" s="43">
        <f>(F247-E247)*1440</f>
        <v>14.999999999999947</v>
      </c>
      <c r="H247" s="9" t="s">
        <v>836</v>
      </c>
      <c r="I247" s="9" t="s">
        <v>214</v>
      </c>
      <c r="J247" s="44">
        <v>8.6</v>
      </c>
      <c r="K247" s="60">
        <v>6.99</v>
      </c>
      <c r="L247" s="56">
        <v>6.55</v>
      </c>
      <c r="M247" s="14">
        <f>K247-L247</f>
        <v>0.44000000000000039</v>
      </c>
      <c r="N247" s="15">
        <f>IFERROR(M247/K247,0)</f>
        <v>6.2947067238912788E-2</v>
      </c>
      <c r="O247" s="14">
        <f>IFERROR(L247/J247,0)</f>
        <v>0.76162790697674421</v>
      </c>
      <c r="P247" s="14">
        <f>IFERROR(L247/G247,0)</f>
        <v>0.4366666666666682</v>
      </c>
    </row>
    <row r="248" spans="1:19" x14ac:dyDescent="0.3">
      <c r="A248" s="9" t="s">
        <v>464</v>
      </c>
      <c r="B248" s="9" t="s">
        <v>18</v>
      </c>
      <c r="C248" s="9" t="s">
        <v>184</v>
      </c>
      <c r="D248" s="52">
        <v>46100</v>
      </c>
      <c r="E248" s="48">
        <v>0.67291666666666661</v>
      </c>
      <c r="F248" s="48">
        <v>0.6777777777777777</v>
      </c>
      <c r="G248" s="43">
        <f>(F248-E248)*1440</f>
        <v>6.9999999999999751</v>
      </c>
      <c r="H248" s="9" t="s">
        <v>832</v>
      </c>
      <c r="I248" s="9" t="s">
        <v>233</v>
      </c>
      <c r="J248" s="44">
        <v>5.01</v>
      </c>
      <c r="K248" s="60">
        <v>4.9400000000000004</v>
      </c>
      <c r="L248" s="56">
        <v>3.83</v>
      </c>
      <c r="M248" s="14">
        <f>K248-L248</f>
        <v>1.1100000000000003</v>
      </c>
      <c r="N248" s="15">
        <f>IFERROR(M248/K248,0)</f>
        <v>0.22469635627530368</v>
      </c>
      <c r="O248" s="14">
        <f>IFERROR(L248/J248,0)</f>
        <v>0.76447105788423153</v>
      </c>
      <c r="P248" s="14">
        <f>IFERROR(L248/G248,0)</f>
        <v>0.54714285714285915</v>
      </c>
    </row>
    <row r="249" spans="1:19" x14ac:dyDescent="0.3">
      <c r="A249" s="9" t="s">
        <v>472</v>
      </c>
      <c r="B249" s="9" t="s">
        <v>26</v>
      </c>
      <c r="C249" s="9" t="s">
        <v>26</v>
      </c>
      <c r="D249" s="52">
        <v>46100</v>
      </c>
      <c r="E249" s="48">
        <v>0.72638888888888886</v>
      </c>
      <c r="F249" s="48">
        <v>0.74097222222222225</v>
      </c>
      <c r="G249" s="43">
        <f>(F249-E249)*1440</f>
        <v>21.000000000000085</v>
      </c>
      <c r="H249" s="9" t="s">
        <v>842</v>
      </c>
      <c r="I249" s="9" t="s">
        <v>843</v>
      </c>
      <c r="J249" s="44">
        <v>11.5</v>
      </c>
      <c r="K249" s="60">
        <v>10.210000000000001</v>
      </c>
      <c r="L249" s="56">
        <v>9.57</v>
      </c>
      <c r="M249" s="14">
        <f>K249-L249</f>
        <v>0.64000000000000057</v>
      </c>
      <c r="N249" s="15">
        <f>IFERROR(M249/K249,0)</f>
        <v>6.2683643486777713E-2</v>
      </c>
      <c r="O249" s="14">
        <f>IFERROR(L249/J249,0)</f>
        <v>0.83217391304347832</v>
      </c>
      <c r="P249" s="14">
        <f>IFERROR(L249/G249,0)</f>
        <v>0.45571428571428385</v>
      </c>
      <c r="R249" s="57">
        <v>3.17</v>
      </c>
    </row>
    <row r="250" spans="1:19" x14ac:dyDescent="0.3">
      <c r="A250" s="9" t="s">
        <v>471</v>
      </c>
      <c r="B250" s="9" t="s">
        <v>26</v>
      </c>
      <c r="C250" s="9" t="s">
        <v>26</v>
      </c>
      <c r="D250" s="52">
        <v>46100</v>
      </c>
      <c r="E250" s="48">
        <v>0.70486111111111116</v>
      </c>
      <c r="F250" s="48">
        <v>0.72013888888888899</v>
      </c>
      <c r="G250" s="43">
        <f>(F250-E250)*1440</f>
        <v>22.000000000000082</v>
      </c>
      <c r="H250" s="9" t="s">
        <v>840</v>
      </c>
      <c r="I250" s="9" t="s">
        <v>841</v>
      </c>
      <c r="J250" s="44">
        <v>10.9</v>
      </c>
      <c r="K250" s="60">
        <v>13.85</v>
      </c>
      <c r="L250" s="56">
        <v>10.64</v>
      </c>
      <c r="M250" s="14">
        <f>K250-L250</f>
        <v>3.2099999999999991</v>
      </c>
      <c r="N250" s="15">
        <f>IFERROR(M250/K250,0)</f>
        <v>0.23176895306859199</v>
      </c>
      <c r="O250" s="14">
        <f>IFERROR(L250/J250,0)</f>
        <v>0.97614678899082574</v>
      </c>
      <c r="P250" s="14">
        <f>IFERROR(L250/G250,0)</f>
        <v>0.48363636363636187</v>
      </c>
      <c r="R250" s="57">
        <v>3.01</v>
      </c>
      <c r="S250" s="61">
        <v>1</v>
      </c>
    </row>
    <row r="251" spans="1:19" x14ac:dyDescent="0.3">
      <c r="A251" s="9" t="s">
        <v>463</v>
      </c>
      <c r="B251" s="9" t="s">
        <v>18</v>
      </c>
      <c r="C251" s="9" t="s">
        <v>196</v>
      </c>
      <c r="D251" s="52">
        <v>46100</v>
      </c>
      <c r="E251" s="48">
        <v>0.66736111111111107</v>
      </c>
      <c r="F251" s="48">
        <v>0.67222222222222217</v>
      </c>
      <c r="G251" s="43">
        <f>(F251-E251)*1440</f>
        <v>6.9999999999999751</v>
      </c>
      <c r="H251" s="9" t="s">
        <v>591</v>
      </c>
      <c r="I251" s="9" t="s">
        <v>831</v>
      </c>
      <c r="J251" s="44">
        <v>4.0999999999999996</v>
      </c>
      <c r="K251" s="60">
        <v>5.98</v>
      </c>
      <c r="L251" s="56">
        <v>4.2300000000000004</v>
      </c>
      <c r="M251" s="14">
        <f>K251-L251</f>
        <v>1.75</v>
      </c>
      <c r="N251" s="15">
        <f>IFERROR(M251/K251,0)</f>
        <v>0.2926421404682274</v>
      </c>
      <c r="O251" s="14">
        <f>IFERROR(L251/J251,0)</f>
        <v>1.031707317073171</v>
      </c>
      <c r="P251" s="14">
        <f>IFERROR(L251/G251,0)</f>
        <v>0.60428571428571654</v>
      </c>
    </row>
    <row r="252" spans="1:19" x14ac:dyDescent="0.3">
      <c r="A252" s="9" t="s">
        <v>473</v>
      </c>
      <c r="B252" s="9" t="s">
        <v>26</v>
      </c>
      <c r="C252" s="9" t="s">
        <v>27</v>
      </c>
      <c r="D252" s="52">
        <v>46100</v>
      </c>
      <c r="E252" s="48">
        <v>0.80694444444444446</v>
      </c>
      <c r="F252" s="48">
        <v>0.82430555555555562</v>
      </c>
      <c r="G252" s="43">
        <f>(F252-E252)*1440</f>
        <v>25.000000000000071</v>
      </c>
      <c r="H252" s="9" t="s">
        <v>844</v>
      </c>
      <c r="I252" s="9" t="s">
        <v>845</v>
      </c>
      <c r="J252" s="44">
        <v>8.9</v>
      </c>
      <c r="K252" s="60">
        <v>13.08</v>
      </c>
      <c r="L252" s="56">
        <v>10.79</v>
      </c>
      <c r="M252" s="14">
        <f>K252-L252</f>
        <v>2.2900000000000009</v>
      </c>
      <c r="N252" s="15">
        <f>IFERROR(M252/K252,0)</f>
        <v>0.17507645259938845</v>
      </c>
      <c r="O252" s="14">
        <f>IFERROR(L252/J252,0)</f>
        <v>1.2123595505617977</v>
      </c>
      <c r="P252" s="14">
        <f>IFERROR(L252/G252,0)</f>
        <v>0.43159999999999876</v>
      </c>
      <c r="R252" s="57">
        <v>4.63</v>
      </c>
    </row>
    <row r="253" spans="1:19" x14ac:dyDescent="0.3">
      <c r="A253" s="9" t="s">
        <v>475</v>
      </c>
      <c r="B253" s="9" t="s">
        <v>26</v>
      </c>
      <c r="C253" s="9" t="s">
        <v>26</v>
      </c>
      <c r="D253" s="52">
        <v>46100</v>
      </c>
      <c r="E253" s="48">
        <v>0.87986111111111109</v>
      </c>
      <c r="F253" s="48">
        <v>0.89097222222222217</v>
      </c>
      <c r="G253" s="43">
        <f>(F253-E253)*1440</f>
        <v>15.999999999999943</v>
      </c>
      <c r="H253" s="9" t="s">
        <v>1120</v>
      </c>
      <c r="I253" s="9" t="s">
        <v>848</v>
      </c>
      <c r="J253" s="44">
        <v>7</v>
      </c>
      <c r="K253" s="60">
        <v>8</v>
      </c>
      <c r="L253" s="56">
        <v>9.43</v>
      </c>
      <c r="M253" s="14">
        <f>K253-L253</f>
        <v>-1.4299999999999997</v>
      </c>
      <c r="N253" s="15">
        <f>IFERROR(M253/K253,0)</f>
        <v>-0.17874999999999996</v>
      </c>
      <c r="O253" s="14">
        <f>IFERROR(L253/J253,0)</f>
        <v>1.3471428571428572</v>
      </c>
      <c r="P253" s="14">
        <f>IFERROR(L253/G253,0)</f>
        <v>0.58937500000000209</v>
      </c>
      <c r="R253" s="57">
        <v>3.81</v>
      </c>
    </row>
    <row r="254" spans="1:19" x14ac:dyDescent="0.3">
      <c r="A254" s="9" t="s">
        <v>474</v>
      </c>
      <c r="B254" s="9" t="s">
        <v>26</v>
      </c>
      <c r="C254" s="9" t="s">
        <v>26</v>
      </c>
      <c r="D254" s="52">
        <v>46100</v>
      </c>
      <c r="E254" s="48">
        <v>0.82708333333333339</v>
      </c>
      <c r="F254" s="48">
        <v>0.83263888888888893</v>
      </c>
      <c r="G254" s="43">
        <f>(F254-E254)*1440</f>
        <v>7.9999999999999716</v>
      </c>
      <c r="H254" s="9" t="s">
        <v>846</v>
      </c>
      <c r="I254" s="9" t="s">
        <v>847</v>
      </c>
      <c r="J254" s="44">
        <v>2.8</v>
      </c>
      <c r="K254" s="60">
        <v>5.18</v>
      </c>
      <c r="L254" s="56">
        <v>4.8600000000000003</v>
      </c>
      <c r="M254" s="14">
        <f>K254-L254</f>
        <v>0.3199999999999994</v>
      </c>
      <c r="N254" s="15">
        <f>IFERROR(M254/K254,0)</f>
        <v>6.177606177606166E-2</v>
      </c>
      <c r="O254" s="14">
        <f>IFERROR(L254/J254,0)</f>
        <v>1.735714285714286</v>
      </c>
      <c r="P254" s="14">
        <f>IFERROR(L254/G254,0)</f>
        <v>0.60750000000000215</v>
      </c>
      <c r="R254" s="57">
        <v>2.4300000000000002</v>
      </c>
    </row>
    <row r="255" spans="1:19" x14ac:dyDescent="0.3">
      <c r="A255" s="9" t="s">
        <v>466</v>
      </c>
      <c r="B255" s="9" t="s">
        <v>18</v>
      </c>
      <c r="C255" s="9" t="s">
        <v>184</v>
      </c>
      <c r="D255" s="52">
        <v>46100</v>
      </c>
      <c r="E255" s="48">
        <v>0.74236111111111114</v>
      </c>
      <c r="F255" s="48">
        <v>0.74791666666666667</v>
      </c>
      <c r="G255" s="43">
        <f>(F255-E255)*1440</f>
        <v>7.9999999999999716</v>
      </c>
      <c r="H255" s="9" t="s">
        <v>834</v>
      </c>
      <c r="I255" s="9" t="s">
        <v>835</v>
      </c>
      <c r="J255" s="44">
        <v>1.24</v>
      </c>
      <c r="K255" s="60">
        <v>9.94</v>
      </c>
      <c r="L255" s="56">
        <v>6.79</v>
      </c>
      <c r="M255" s="14">
        <f>K255-L255</f>
        <v>3.1499999999999995</v>
      </c>
      <c r="N255" s="15">
        <f>IFERROR(M255/K255,0)</f>
        <v>0.31690140845070419</v>
      </c>
      <c r="O255" s="14">
        <f>IFERROR(L255/J255,0)</f>
        <v>5.475806451612903</v>
      </c>
      <c r="P255" s="14">
        <f>IFERROR(L255/G255,0)</f>
        <v>0.848750000000003</v>
      </c>
    </row>
    <row r="256" spans="1:19" x14ac:dyDescent="0.3">
      <c r="A256" s="9" t="s">
        <v>477</v>
      </c>
      <c r="B256" s="9" t="s">
        <v>26</v>
      </c>
      <c r="C256" s="9" t="s">
        <v>27</v>
      </c>
      <c r="D256" s="52">
        <v>46101</v>
      </c>
      <c r="E256" s="48">
        <v>0.57430555555555551</v>
      </c>
      <c r="F256" s="48">
        <v>0.59375</v>
      </c>
      <c r="G256" s="43">
        <f>(F256-E256)*1440</f>
        <v>28.00000000000006</v>
      </c>
      <c r="H256" s="9" t="s">
        <v>850</v>
      </c>
      <c r="I256" s="9" t="s">
        <v>851</v>
      </c>
      <c r="J256" s="44">
        <v>18.7</v>
      </c>
      <c r="K256" s="60">
        <v>11.4</v>
      </c>
      <c r="L256" s="56">
        <v>8.5500000000000007</v>
      </c>
      <c r="M256" s="14">
        <f>K256-L256</f>
        <v>2.8499999999999996</v>
      </c>
      <c r="N256" s="15">
        <f>IFERROR(M256/K256,0)</f>
        <v>0.24999999999999997</v>
      </c>
      <c r="O256" s="14">
        <f>IFERROR(L256/J256,0)</f>
        <v>0.45721925133689845</v>
      </c>
      <c r="P256" s="14">
        <f>IFERROR(L256/G256,0)</f>
        <v>0.30535714285714222</v>
      </c>
    </row>
    <row r="257" spans="1:18" x14ac:dyDescent="0.3">
      <c r="A257" s="9" t="s">
        <v>482</v>
      </c>
      <c r="B257" s="9" t="s">
        <v>26</v>
      </c>
      <c r="C257" s="9" t="s">
        <v>27</v>
      </c>
      <c r="D257" s="52">
        <v>46101</v>
      </c>
      <c r="E257" s="48">
        <v>0.7715277777777777</v>
      </c>
      <c r="F257" s="48">
        <v>0.78888888888888886</v>
      </c>
      <c r="G257" s="43">
        <f>(F257-E257)*1440</f>
        <v>25.000000000000071</v>
      </c>
      <c r="H257" s="9" t="s">
        <v>859</v>
      </c>
      <c r="I257" s="9" t="s">
        <v>860</v>
      </c>
      <c r="J257" s="44">
        <v>14.6</v>
      </c>
      <c r="K257" s="60">
        <v>10.19</v>
      </c>
      <c r="L257" s="56">
        <v>7.64</v>
      </c>
      <c r="M257" s="14">
        <f>K257-L257</f>
        <v>2.5499999999999998</v>
      </c>
      <c r="N257" s="15">
        <f>IFERROR(M257/K257,0)</f>
        <v>0.25024533856722275</v>
      </c>
      <c r="O257" s="14">
        <f>IFERROR(L257/J257,0)</f>
        <v>0.52328767123287667</v>
      </c>
      <c r="P257" s="14">
        <f>IFERROR(L257/G257,0)</f>
        <v>0.30559999999999909</v>
      </c>
    </row>
    <row r="258" spans="1:18" x14ac:dyDescent="0.3">
      <c r="A258" s="9" t="s">
        <v>491</v>
      </c>
      <c r="B258" s="9" t="s">
        <v>18</v>
      </c>
      <c r="C258" s="9" t="s">
        <v>230</v>
      </c>
      <c r="D258" s="52">
        <v>46101</v>
      </c>
      <c r="E258" s="48">
        <v>0.86944444444444446</v>
      </c>
      <c r="F258" s="48">
        <v>0.88402777777777775</v>
      </c>
      <c r="G258" s="43">
        <f>(F258-E258)*1440</f>
        <v>20.999999999999925</v>
      </c>
      <c r="H258" s="9" t="s">
        <v>874</v>
      </c>
      <c r="I258" s="9" t="s">
        <v>875</v>
      </c>
      <c r="J258" s="44">
        <v>13.66</v>
      </c>
      <c r="K258" s="60">
        <v>7.9</v>
      </c>
      <c r="L258" s="56">
        <v>7.64</v>
      </c>
      <c r="M258" s="14">
        <f>K258-L258</f>
        <v>0.26000000000000068</v>
      </c>
      <c r="N258" s="15">
        <f>IFERROR(M258/K258,0)</f>
        <v>3.2911392405063376E-2</v>
      </c>
      <c r="O258" s="14">
        <f>IFERROR(L258/J258,0)</f>
        <v>0.55929721815519762</v>
      </c>
      <c r="P258" s="14">
        <f>IFERROR(L258/G258,0)</f>
        <v>0.36380952380952508</v>
      </c>
    </row>
    <row r="259" spans="1:18" x14ac:dyDescent="0.3">
      <c r="A259" s="9" t="s">
        <v>485</v>
      </c>
      <c r="B259" s="9" t="s">
        <v>26</v>
      </c>
      <c r="C259" s="9" t="s">
        <v>27</v>
      </c>
      <c r="D259" s="52">
        <v>46101</v>
      </c>
      <c r="E259" s="48">
        <v>0.8652777777777777</v>
      </c>
      <c r="F259" s="48">
        <v>0.87222222222222223</v>
      </c>
      <c r="G259" s="43">
        <f>(F259-E259)*1440</f>
        <v>10.000000000000124</v>
      </c>
      <c r="H259" s="9" t="s">
        <v>865</v>
      </c>
      <c r="I259" s="9" t="s">
        <v>866</v>
      </c>
      <c r="J259" s="44">
        <v>8.1999999999999993</v>
      </c>
      <c r="K259" s="60">
        <v>6.62</v>
      </c>
      <c r="L259" s="56">
        <v>4.96</v>
      </c>
      <c r="M259" s="14">
        <f>K259-L259</f>
        <v>1.6600000000000001</v>
      </c>
      <c r="N259" s="15">
        <f>IFERROR(M259/K259,0)</f>
        <v>0.25075528700906347</v>
      </c>
      <c r="O259" s="14">
        <f>IFERROR(L259/J259,0)</f>
        <v>0.6048780487804879</v>
      </c>
      <c r="P259" s="14">
        <f>IFERROR(L259/G259,0)</f>
        <v>0.49599999999999383</v>
      </c>
    </row>
    <row r="260" spans="1:18" x14ac:dyDescent="0.3">
      <c r="A260" s="9" t="s">
        <v>487</v>
      </c>
      <c r="B260" s="9" t="s">
        <v>18</v>
      </c>
      <c r="C260" s="9" t="s">
        <v>184</v>
      </c>
      <c r="D260" s="52">
        <v>46101</v>
      </c>
      <c r="E260" s="48">
        <v>0.63472222222222219</v>
      </c>
      <c r="F260" s="48">
        <v>0.65208333333333335</v>
      </c>
      <c r="G260" s="43">
        <f>(F260-E260)*1440</f>
        <v>25.000000000000071</v>
      </c>
      <c r="H260" s="9" t="s">
        <v>615</v>
      </c>
      <c r="I260" s="9" t="s">
        <v>868</v>
      </c>
      <c r="J260" s="44">
        <v>11.37</v>
      </c>
      <c r="K260" s="60">
        <v>7.1</v>
      </c>
      <c r="L260" s="56">
        <v>6.89</v>
      </c>
      <c r="M260" s="14">
        <f>K260-L260</f>
        <v>0.20999999999999996</v>
      </c>
      <c r="N260" s="15">
        <f>IFERROR(M260/K260,0)</f>
        <v>2.957746478873239E-2</v>
      </c>
      <c r="O260" s="14">
        <f>IFERROR(L260/J260,0)</f>
        <v>0.6059806508355321</v>
      </c>
      <c r="P260" s="14">
        <f>IFERROR(L260/G260,0)</f>
        <v>0.27559999999999918</v>
      </c>
    </row>
    <row r="261" spans="1:18" x14ac:dyDescent="0.3">
      <c r="A261" s="9" t="s">
        <v>486</v>
      </c>
      <c r="B261" s="9" t="s">
        <v>26</v>
      </c>
      <c r="C261" s="9" t="s">
        <v>27</v>
      </c>
      <c r="D261" s="52">
        <v>46101</v>
      </c>
      <c r="E261" s="48">
        <v>0.8965277777777777</v>
      </c>
      <c r="F261" s="48">
        <v>0.91388888888888886</v>
      </c>
      <c r="G261" s="43">
        <f>(F261-E261)*1440</f>
        <v>25.000000000000071</v>
      </c>
      <c r="H261" s="9" t="s">
        <v>530</v>
      </c>
      <c r="I261" s="9" t="s">
        <v>867</v>
      </c>
      <c r="J261" s="44">
        <v>11.6</v>
      </c>
      <c r="K261" s="60">
        <v>9.64</v>
      </c>
      <c r="L261" s="56">
        <v>7.23</v>
      </c>
      <c r="M261" s="14">
        <f>K261-L261</f>
        <v>2.41</v>
      </c>
      <c r="N261" s="15">
        <f>IFERROR(M261/K261,0)</f>
        <v>0.25</v>
      </c>
      <c r="O261" s="14">
        <f>IFERROR(L261/J261,0)</f>
        <v>0.62327586206896557</v>
      </c>
      <c r="P261" s="14">
        <f>IFERROR(L261/G261,0)</f>
        <v>0.28919999999999918</v>
      </c>
    </row>
    <row r="262" spans="1:18" x14ac:dyDescent="0.3">
      <c r="A262" s="9" t="s">
        <v>476</v>
      </c>
      <c r="B262" s="9" t="s">
        <v>26</v>
      </c>
      <c r="C262" s="9" t="s">
        <v>27</v>
      </c>
      <c r="D262" s="52">
        <v>46101</v>
      </c>
      <c r="E262" s="48">
        <v>0.60138888888888886</v>
      </c>
      <c r="F262" s="48">
        <v>0.6166666666666667</v>
      </c>
      <c r="G262" s="43">
        <f>(F262-E262)*1440</f>
        <v>22.000000000000082</v>
      </c>
      <c r="H262" s="9" t="s">
        <v>849</v>
      </c>
      <c r="I262" s="9" t="s">
        <v>632</v>
      </c>
      <c r="J262" s="44">
        <v>11</v>
      </c>
      <c r="K262" s="60">
        <v>9.34</v>
      </c>
      <c r="L262" s="56">
        <v>7</v>
      </c>
      <c r="M262" s="14">
        <f>K262-L262</f>
        <v>2.34</v>
      </c>
      <c r="N262" s="15">
        <f>IFERROR(M262/K262,0)</f>
        <v>0.25053533190578159</v>
      </c>
      <c r="O262" s="14">
        <f>IFERROR(L262/J262,0)</f>
        <v>0.63636363636363635</v>
      </c>
      <c r="P262" s="14">
        <f>IFERROR(L262/G262,0)</f>
        <v>0.31818181818181701</v>
      </c>
      <c r="R262" s="57">
        <v>1.58</v>
      </c>
    </row>
    <row r="263" spans="1:18" x14ac:dyDescent="0.3">
      <c r="A263" s="9" t="s">
        <v>478</v>
      </c>
      <c r="B263" s="9" t="s">
        <v>26</v>
      </c>
      <c r="C263" s="9" t="s">
        <v>26</v>
      </c>
      <c r="D263" s="52">
        <v>46101</v>
      </c>
      <c r="E263" s="48">
        <v>0.6166666666666667</v>
      </c>
      <c r="F263" s="48">
        <v>0.63263888888888886</v>
      </c>
      <c r="G263" s="43">
        <f>(F263-E263)*1440</f>
        <v>22.999999999999918</v>
      </c>
      <c r="H263" s="9" t="s">
        <v>852</v>
      </c>
      <c r="I263" s="9" t="s">
        <v>648</v>
      </c>
      <c r="J263" s="44">
        <v>9.1999999999999993</v>
      </c>
      <c r="K263" s="60">
        <v>8.81</v>
      </c>
      <c r="L263" s="56">
        <v>6.61</v>
      </c>
      <c r="M263" s="14">
        <f>K263-L263</f>
        <v>2.2000000000000002</v>
      </c>
      <c r="N263" s="15">
        <f>IFERROR(M263/K263,0)</f>
        <v>0.24971623155505107</v>
      </c>
      <c r="O263" s="14">
        <f>IFERROR(L263/J263,0)</f>
        <v>0.71847826086956534</v>
      </c>
      <c r="P263" s="14">
        <f>IFERROR(L263/G263,0)</f>
        <v>0.28739130434782711</v>
      </c>
      <c r="R263" s="57">
        <v>0.8</v>
      </c>
    </row>
    <row r="264" spans="1:18" x14ac:dyDescent="0.3">
      <c r="A264" s="9" t="s">
        <v>483</v>
      </c>
      <c r="B264" s="9" t="s">
        <v>26</v>
      </c>
      <c r="C264" s="9" t="s">
        <v>27</v>
      </c>
      <c r="D264" s="52">
        <v>46101</v>
      </c>
      <c r="E264" s="48">
        <v>0.80902777777777779</v>
      </c>
      <c r="F264" s="48">
        <v>0.81736111111111109</v>
      </c>
      <c r="G264" s="43">
        <f>(F264-E264)*1440</f>
        <v>11.999999999999957</v>
      </c>
      <c r="H264" s="9" t="s">
        <v>861</v>
      </c>
      <c r="I264" s="9" t="s">
        <v>862</v>
      </c>
      <c r="J264" s="44">
        <v>9.6</v>
      </c>
      <c r="K264" s="60">
        <v>9.19</v>
      </c>
      <c r="L264" s="56">
        <v>7.07</v>
      </c>
      <c r="M264" s="14">
        <f>K264-L264</f>
        <v>2.1199999999999992</v>
      </c>
      <c r="N264" s="15">
        <f>IFERROR(M264/K264,0)</f>
        <v>0.23068552774755161</v>
      </c>
      <c r="O264" s="14">
        <f>IFERROR(L264/J264,0)</f>
        <v>0.73645833333333344</v>
      </c>
      <c r="P264" s="14">
        <f>IFERROR(L264/G264,0)</f>
        <v>0.58916666666666884</v>
      </c>
      <c r="R264" s="57">
        <v>1.45</v>
      </c>
    </row>
    <row r="265" spans="1:18" x14ac:dyDescent="0.3">
      <c r="A265" s="9" t="s">
        <v>484</v>
      </c>
      <c r="B265" s="9" t="s">
        <v>26</v>
      </c>
      <c r="C265" s="9" t="s">
        <v>26</v>
      </c>
      <c r="D265" s="52">
        <v>46101</v>
      </c>
      <c r="E265" s="48">
        <v>0.82777777777777783</v>
      </c>
      <c r="F265" s="48">
        <v>0.84861111111111109</v>
      </c>
      <c r="G265" s="43">
        <f>(F265-E265)*1440</f>
        <v>29.999999999999893</v>
      </c>
      <c r="H265" s="9" t="s">
        <v>863</v>
      </c>
      <c r="I265" s="9" t="s">
        <v>864</v>
      </c>
      <c r="J265" s="44">
        <v>20.7</v>
      </c>
      <c r="K265" s="60">
        <v>17.82</v>
      </c>
      <c r="L265" s="56">
        <v>16.88</v>
      </c>
      <c r="M265" s="14">
        <f>K265-L265</f>
        <v>0.94000000000000128</v>
      </c>
      <c r="N265" s="15">
        <f>IFERROR(M265/K265,0)</f>
        <v>5.2749719416386155E-2</v>
      </c>
      <c r="O265" s="14">
        <f>IFERROR(L265/J265,0)</f>
        <v>0.81545893719806761</v>
      </c>
      <c r="P265" s="14">
        <f>IFERROR(L265/G265,0)</f>
        <v>0.56266666666666865</v>
      </c>
      <c r="R265" s="57">
        <v>6.4</v>
      </c>
    </row>
    <row r="266" spans="1:18" x14ac:dyDescent="0.3">
      <c r="A266" s="9" t="s">
        <v>481</v>
      </c>
      <c r="B266" s="9" t="s">
        <v>26</v>
      </c>
      <c r="C266" s="9" t="s">
        <v>26</v>
      </c>
      <c r="D266" s="52">
        <v>46101</v>
      </c>
      <c r="E266" s="48">
        <v>0.72361111111111109</v>
      </c>
      <c r="F266" s="48">
        <v>0.74791666666666667</v>
      </c>
      <c r="G266" s="43">
        <f>(F266-E266)*1440</f>
        <v>35.000000000000036</v>
      </c>
      <c r="H266" s="9" t="s">
        <v>857</v>
      </c>
      <c r="I266" s="9" t="s">
        <v>858</v>
      </c>
      <c r="J266" s="44">
        <v>19.100000000000001</v>
      </c>
      <c r="K266" s="60">
        <v>16.559999999999999</v>
      </c>
      <c r="L266" s="56">
        <v>15.7</v>
      </c>
      <c r="M266" s="14">
        <f>K266-L266</f>
        <v>0.85999999999999943</v>
      </c>
      <c r="N266" s="15">
        <f>IFERROR(M266/K266,0)</f>
        <v>5.1932367149758421E-2</v>
      </c>
      <c r="O266" s="14">
        <f>IFERROR(L266/J266,0)</f>
        <v>0.82198952879581144</v>
      </c>
      <c r="P266" s="14">
        <f>IFERROR(L266/G266,0)</f>
        <v>0.44857142857142812</v>
      </c>
      <c r="R266" s="57">
        <v>5.92</v>
      </c>
    </row>
    <row r="267" spans="1:18" x14ac:dyDescent="0.3">
      <c r="A267" s="9" t="s">
        <v>490</v>
      </c>
      <c r="B267" s="9" t="s">
        <v>18</v>
      </c>
      <c r="C267" s="9" t="s">
        <v>196</v>
      </c>
      <c r="D267" s="52">
        <v>46101</v>
      </c>
      <c r="E267" s="48">
        <v>0.79375000000000007</v>
      </c>
      <c r="F267" s="48">
        <v>0.80138888888888893</v>
      </c>
      <c r="G267" s="43">
        <f>(F267-E267)*1440</f>
        <v>10.999999999999961</v>
      </c>
      <c r="H267" s="9" t="s">
        <v>872</v>
      </c>
      <c r="I267" s="9" t="s">
        <v>873</v>
      </c>
      <c r="J267" s="44">
        <v>6.02</v>
      </c>
      <c r="K267" s="60">
        <v>5.99</v>
      </c>
      <c r="L267" s="56">
        <v>5.31</v>
      </c>
      <c r="M267" s="14">
        <f>K267-L267</f>
        <v>0.6800000000000006</v>
      </c>
      <c r="N267" s="15">
        <f>IFERROR(M267/K267,0)</f>
        <v>0.11352253756260444</v>
      </c>
      <c r="O267" s="14">
        <f>IFERROR(L267/J267,0)</f>
        <v>0.88205980066445178</v>
      </c>
      <c r="P267" s="14">
        <f>IFERROR(L267/G267,0)</f>
        <v>0.48272727272727439</v>
      </c>
    </row>
    <row r="268" spans="1:18" x14ac:dyDescent="0.3">
      <c r="A268" s="9" t="s">
        <v>480</v>
      </c>
      <c r="B268" s="9" t="s">
        <v>26</v>
      </c>
      <c r="C268" s="9" t="s">
        <v>27</v>
      </c>
      <c r="D268" s="52">
        <v>46101</v>
      </c>
      <c r="E268" s="48">
        <v>0.68333333333333324</v>
      </c>
      <c r="F268" s="48">
        <v>0.69513888888888886</v>
      </c>
      <c r="G268" s="43">
        <f>(F268-E268)*1440</f>
        <v>17.000000000000099</v>
      </c>
      <c r="H268" s="9" t="s">
        <v>856</v>
      </c>
      <c r="I268" s="9" t="s">
        <v>855</v>
      </c>
      <c r="J268" s="44">
        <v>7</v>
      </c>
      <c r="K268" s="60">
        <v>10.61</v>
      </c>
      <c r="L268" s="56">
        <v>7.96</v>
      </c>
      <c r="M268" s="14">
        <f>K268-L268</f>
        <v>2.6499999999999995</v>
      </c>
      <c r="N268" s="15">
        <f>IFERROR(M268/K268,0)</f>
        <v>0.24976437323279921</v>
      </c>
      <c r="O268" s="14">
        <f>IFERROR(L268/J268,0)</f>
        <v>1.1371428571428572</v>
      </c>
      <c r="P268" s="14">
        <f>IFERROR(L268/G268,0)</f>
        <v>0.46823529411764431</v>
      </c>
      <c r="R268" s="57">
        <v>5.33</v>
      </c>
    </row>
    <row r="269" spans="1:18" x14ac:dyDescent="0.3">
      <c r="A269" s="9" t="s">
        <v>488</v>
      </c>
      <c r="B269" s="9" t="s">
        <v>18</v>
      </c>
      <c r="C269" s="9" t="s">
        <v>184</v>
      </c>
      <c r="D269" s="52">
        <v>46101</v>
      </c>
      <c r="E269" s="48">
        <v>0.69652777777777775</v>
      </c>
      <c r="F269" s="48">
        <v>0.70277777777777783</v>
      </c>
      <c r="G269" s="43">
        <f>(F269-E269)*1440</f>
        <v>9.0000000000001279</v>
      </c>
      <c r="H269" s="9" t="s">
        <v>870</v>
      </c>
      <c r="I269" s="9" t="s">
        <v>869</v>
      </c>
      <c r="J269" s="44">
        <v>5.14</v>
      </c>
      <c r="K269" s="60">
        <v>6.93</v>
      </c>
      <c r="L269" s="56">
        <v>6.35</v>
      </c>
      <c r="M269" s="14">
        <f>K269-L269</f>
        <v>0.58000000000000007</v>
      </c>
      <c r="N269" s="15">
        <f>IFERROR(M269/K269,0)</f>
        <v>8.369408369408371E-2</v>
      </c>
      <c r="O269" s="14">
        <f>IFERROR(L269/J269,0)</f>
        <v>1.2354085603112841</v>
      </c>
      <c r="P269" s="14">
        <f>IFERROR(L269/G269,0)</f>
        <v>0.7055555555555455</v>
      </c>
    </row>
    <row r="270" spans="1:18" x14ac:dyDescent="0.3">
      <c r="A270" s="9" t="s">
        <v>489</v>
      </c>
      <c r="B270" s="9" t="s">
        <v>18</v>
      </c>
      <c r="C270" s="9" t="s">
        <v>184</v>
      </c>
      <c r="D270" s="52">
        <v>46101</v>
      </c>
      <c r="E270" s="48">
        <v>0.70763888888888893</v>
      </c>
      <c r="F270" s="48">
        <v>0.71666666666666667</v>
      </c>
      <c r="G270" s="43">
        <f>(F270-E270)*1440</f>
        <v>12.999999999999954</v>
      </c>
      <c r="H270" s="9" t="s">
        <v>233</v>
      </c>
      <c r="I270" s="9" t="s">
        <v>871</v>
      </c>
      <c r="J270" s="44">
        <v>5.04</v>
      </c>
      <c r="K270" s="60">
        <v>8.93</v>
      </c>
      <c r="L270" s="56">
        <v>7.27</v>
      </c>
      <c r="M270" s="14">
        <f>K270-L270</f>
        <v>1.6600000000000001</v>
      </c>
      <c r="N270" s="15">
        <f>IFERROR(M270/K270,0)</f>
        <v>0.18589025755879063</v>
      </c>
      <c r="O270" s="14">
        <f>IFERROR(L270/J270,0)</f>
        <v>1.4424603174603174</v>
      </c>
      <c r="P270" s="14">
        <f>IFERROR(L270/G270,0)</f>
        <v>0.5592307692307712</v>
      </c>
    </row>
    <row r="271" spans="1:18" x14ac:dyDescent="0.3">
      <c r="A271" s="9" t="s">
        <v>479</v>
      </c>
      <c r="B271" s="9" t="s">
        <v>26</v>
      </c>
      <c r="C271" s="9" t="s">
        <v>26</v>
      </c>
      <c r="D271" s="52">
        <v>46101</v>
      </c>
      <c r="E271" s="48">
        <v>0.67569444444444438</v>
      </c>
      <c r="F271" s="48">
        <v>0.67847222222222225</v>
      </c>
      <c r="G271" s="43">
        <f>(F271-E271)*1440</f>
        <v>4.0000000000001457</v>
      </c>
      <c r="H271" s="9" t="s">
        <v>853</v>
      </c>
      <c r="I271" s="9" t="s">
        <v>854</v>
      </c>
      <c r="J271" s="44">
        <v>1.4</v>
      </c>
      <c r="K271" s="60">
        <v>4.8600000000000003</v>
      </c>
      <c r="L271" s="56">
        <v>4.5599999999999996</v>
      </c>
      <c r="M271" s="14">
        <f>K271-L271</f>
        <v>0.30000000000000071</v>
      </c>
      <c r="N271" s="15">
        <f>IFERROR(M271/K271,0)</f>
        <v>6.1728395061728537E-2</v>
      </c>
      <c r="O271" s="14">
        <f>IFERROR(L271/J271,0)</f>
        <v>3.2571428571428571</v>
      </c>
      <c r="P271" s="14">
        <f>IFERROR(L271/G271,0)</f>
        <v>1.1399999999999584</v>
      </c>
      <c r="R271" s="57">
        <v>2.0299999999999998</v>
      </c>
    </row>
    <row r="272" spans="1:18" x14ac:dyDescent="0.3">
      <c r="A272" s="9" t="s">
        <v>502</v>
      </c>
      <c r="B272" s="9" t="s">
        <v>18</v>
      </c>
      <c r="C272" s="9" t="s">
        <v>184</v>
      </c>
      <c r="D272" s="52">
        <v>46102</v>
      </c>
      <c r="E272" s="48">
        <v>0.77013888888888893</v>
      </c>
      <c r="F272" s="48">
        <v>0.78402777777777777</v>
      </c>
      <c r="G272" s="43">
        <f>(F272-E272)*1440</f>
        <v>19.999999999999929</v>
      </c>
      <c r="H272" s="9" t="s">
        <v>891</v>
      </c>
      <c r="I272" s="9" t="s">
        <v>892</v>
      </c>
      <c r="J272" s="44">
        <v>19.690000000000001</v>
      </c>
      <c r="K272" s="60">
        <v>13.93</v>
      </c>
      <c r="L272" s="56">
        <v>8.34</v>
      </c>
      <c r="M272" s="14">
        <f>K272-L272</f>
        <v>5.59</v>
      </c>
      <c r="N272" s="15">
        <f>IFERROR(M272/K272,0)</f>
        <v>0.40129217516152188</v>
      </c>
      <c r="O272" s="14">
        <f>IFERROR(L272/J272,0)</f>
        <v>0.42356526155408836</v>
      </c>
      <c r="P272" s="14">
        <f>IFERROR(L272/G272,0)</f>
        <v>0.41700000000000148</v>
      </c>
      <c r="Q272" s="64">
        <v>1.6</v>
      </c>
    </row>
    <row r="273" spans="1:19" x14ac:dyDescent="0.3">
      <c r="A273" s="9" t="s">
        <v>495</v>
      </c>
      <c r="B273" s="9" t="s">
        <v>18</v>
      </c>
      <c r="C273" s="9" t="s">
        <v>184</v>
      </c>
      <c r="D273" s="52">
        <v>46102</v>
      </c>
      <c r="E273" s="48">
        <v>0.59027777777777779</v>
      </c>
      <c r="F273" s="48">
        <v>0.60069444444444442</v>
      </c>
      <c r="G273" s="43">
        <f>(F273-E273)*1440</f>
        <v>14.999999999999947</v>
      </c>
      <c r="H273" s="9" t="s">
        <v>601</v>
      </c>
      <c r="I273" s="9" t="s">
        <v>882</v>
      </c>
      <c r="J273" s="44">
        <v>15.25</v>
      </c>
      <c r="K273" s="60">
        <v>10.94</v>
      </c>
      <c r="L273" s="56">
        <v>6.66</v>
      </c>
      <c r="M273" s="14">
        <f>K273-L273</f>
        <v>4.2799999999999994</v>
      </c>
      <c r="N273" s="15">
        <f>IFERROR(M273/K273,0)</f>
        <v>0.39122486288848257</v>
      </c>
      <c r="O273" s="14">
        <f>IFERROR(L273/J273,0)</f>
        <v>0.43672131147540982</v>
      </c>
      <c r="P273" s="14">
        <f>IFERROR(L273/G273,0)</f>
        <v>0.44400000000000156</v>
      </c>
      <c r="Q273" s="64">
        <v>0.7</v>
      </c>
    </row>
    <row r="274" spans="1:19" x14ac:dyDescent="0.3">
      <c r="A274" s="9" t="s">
        <v>492</v>
      </c>
      <c r="B274" s="9" t="s">
        <v>18</v>
      </c>
      <c r="C274" s="9" t="s">
        <v>184</v>
      </c>
      <c r="D274" s="52">
        <v>46102</v>
      </c>
      <c r="E274" s="48">
        <v>0.52638888888888891</v>
      </c>
      <c r="F274" s="48">
        <v>0.54305555555555551</v>
      </c>
      <c r="G274" s="43">
        <f>(F274-E274)*1440</f>
        <v>23.999999999999915</v>
      </c>
      <c r="H274" s="9" t="s">
        <v>876</v>
      </c>
      <c r="I274" s="9" t="s">
        <v>877</v>
      </c>
      <c r="J274" s="44">
        <v>20.56</v>
      </c>
      <c r="K274" s="60">
        <v>12.95</v>
      </c>
      <c r="L274" s="56">
        <v>9.27</v>
      </c>
      <c r="M274" s="14">
        <f>K274-L274</f>
        <v>3.6799999999999997</v>
      </c>
      <c r="N274" s="15">
        <f>IFERROR(M274/K274,0)</f>
        <v>0.28416988416988415</v>
      </c>
      <c r="O274" s="14">
        <f>IFERROR(L274/J274,0)</f>
        <v>0.45087548638132297</v>
      </c>
      <c r="P274" s="14">
        <f>IFERROR(L274/G274,0)</f>
        <v>0.38625000000000137</v>
      </c>
    </row>
    <row r="275" spans="1:19" x14ac:dyDescent="0.3">
      <c r="A275" s="9" t="s">
        <v>498</v>
      </c>
      <c r="B275" s="9" t="s">
        <v>538</v>
      </c>
      <c r="C275" s="9" t="s">
        <v>184</v>
      </c>
      <c r="D275" s="52">
        <v>46102</v>
      </c>
      <c r="E275" s="48">
        <v>0.67013888888888884</v>
      </c>
      <c r="F275" s="48">
        <v>0.68680555555555556</v>
      </c>
      <c r="G275" s="43">
        <f>(F275-E275)*1440</f>
        <v>24.000000000000075</v>
      </c>
      <c r="H275" s="9" t="s">
        <v>885</v>
      </c>
      <c r="I275" s="9" t="s">
        <v>234</v>
      </c>
      <c r="J275" s="44">
        <v>13.29</v>
      </c>
      <c r="K275" s="60">
        <v>9.94</v>
      </c>
      <c r="L275" s="56">
        <v>6.46</v>
      </c>
      <c r="M275" s="14">
        <f>K275-L275</f>
        <v>3.4799999999999995</v>
      </c>
      <c r="N275" s="15">
        <f>IFERROR(M275/K275,0)</f>
        <v>0.35010060362173034</v>
      </c>
      <c r="O275" s="14">
        <f>IFERROR(L275/J275,0)</f>
        <v>0.48607975921745677</v>
      </c>
      <c r="P275" s="14">
        <f>IFERROR(L275/G275,0)</f>
        <v>0.26916666666666583</v>
      </c>
    </row>
    <row r="276" spans="1:19" x14ac:dyDescent="0.3">
      <c r="A276" s="9" t="s">
        <v>507</v>
      </c>
      <c r="B276" s="9" t="s">
        <v>26</v>
      </c>
      <c r="C276" s="9" t="s">
        <v>27</v>
      </c>
      <c r="D276" s="52">
        <v>46102</v>
      </c>
      <c r="E276" s="48">
        <v>0.56597222222222221</v>
      </c>
      <c r="F276" s="48">
        <v>0.5756944444444444</v>
      </c>
      <c r="G276" s="43">
        <f>(F276-E276)*1440</f>
        <v>13.99999999999995</v>
      </c>
      <c r="H276" s="9" t="s">
        <v>225</v>
      </c>
      <c r="I276" s="9" t="s">
        <v>898</v>
      </c>
      <c r="J276" s="44">
        <v>9.1</v>
      </c>
      <c r="K276" s="60">
        <v>6.11</v>
      </c>
      <c r="L276" s="56">
        <v>4.58</v>
      </c>
      <c r="M276" s="14">
        <f>K276-L276</f>
        <v>1.5300000000000002</v>
      </c>
      <c r="N276" s="15">
        <f>IFERROR(M276/K276,0)</f>
        <v>0.25040916530278234</v>
      </c>
      <c r="O276" s="14">
        <f>IFERROR(L276/J276,0)</f>
        <v>0.50329670329670328</v>
      </c>
      <c r="P276" s="14">
        <f>IFERROR(L276/G276,0)</f>
        <v>0.32714285714285829</v>
      </c>
    </row>
    <row r="277" spans="1:19" x14ac:dyDescent="0.3">
      <c r="A277" s="9" t="s">
        <v>503</v>
      </c>
      <c r="B277" s="9" t="s">
        <v>18</v>
      </c>
      <c r="C277" s="9" t="s">
        <v>184</v>
      </c>
      <c r="D277" s="52">
        <v>46102</v>
      </c>
      <c r="E277" s="48">
        <v>0.79305555555555562</v>
      </c>
      <c r="F277" s="48">
        <v>0.8125</v>
      </c>
      <c r="G277" s="43">
        <f>(F277-E277)*1440</f>
        <v>27.999999999999901</v>
      </c>
      <c r="H277" s="9" t="s">
        <v>595</v>
      </c>
      <c r="I277" s="9" t="s">
        <v>893</v>
      </c>
      <c r="J277" s="44">
        <v>14.25</v>
      </c>
      <c r="K277" s="60">
        <v>9.94</v>
      </c>
      <c r="L277" s="56">
        <v>7.53</v>
      </c>
      <c r="M277" s="14">
        <f>K277-L277</f>
        <v>2.4099999999999993</v>
      </c>
      <c r="N277" s="15">
        <f>IFERROR(M277/K277,0)</f>
        <v>0.24245472837022128</v>
      </c>
      <c r="O277" s="14">
        <f>IFERROR(L277/J277,0)</f>
        <v>0.52842105263157901</v>
      </c>
      <c r="P277" s="14">
        <f>IFERROR(L277/G277,0)</f>
        <v>0.2689285714285724</v>
      </c>
    </row>
    <row r="278" spans="1:19" x14ac:dyDescent="0.3">
      <c r="A278" s="9" t="s">
        <v>509</v>
      </c>
      <c r="B278" s="9" t="s">
        <v>26</v>
      </c>
      <c r="C278" s="9" t="s">
        <v>26</v>
      </c>
      <c r="D278" s="52">
        <v>46102</v>
      </c>
      <c r="E278" s="48">
        <v>0.63055555555555554</v>
      </c>
      <c r="F278" s="48">
        <v>0.64930555555555558</v>
      </c>
      <c r="G278" s="43">
        <f>(F278-E278)*1440</f>
        <v>27.000000000000064</v>
      </c>
      <c r="H278" s="9" t="s">
        <v>900</v>
      </c>
      <c r="I278" s="9" t="s">
        <v>668</v>
      </c>
      <c r="J278" s="44">
        <v>16.899999999999999</v>
      </c>
      <c r="K278" s="60">
        <v>11.96</v>
      </c>
      <c r="L278" s="56">
        <v>9.32</v>
      </c>
      <c r="M278" s="14">
        <f>K278-L278</f>
        <v>2.6400000000000006</v>
      </c>
      <c r="N278" s="15">
        <f>IFERROR(M278/K278,0)</f>
        <v>0.22073578595317728</v>
      </c>
      <c r="O278" s="14">
        <f>IFERROR(L278/J278,0)</f>
        <v>0.55147928994082851</v>
      </c>
      <c r="P278" s="14">
        <f>IFERROR(L278/G278,0)</f>
        <v>0.34518518518518437</v>
      </c>
      <c r="Q278" s="64">
        <v>0.4</v>
      </c>
      <c r="S278" s="61">
        <v>1</v>
      </c>
    </row>
    <row r="279" spans="1:19" x14ac:dyDescent="0.3">
      <c r="A279" s="9" t="s">
        <v>501</v>
      </c>
      <c r="B279" s="9" t="s">
        <v>18</v>
      </c>
      <c r="C279" s="9" t="s">
        <v>184</v>
      </c>
      <c r="D279" s="52">
        <v>46102</v>
      </c>
      <c r="E279" s="48">
        <v>0.75416666666666676</v>
      </c>
      <c r="F279" s="48">
        <v>0.76736111111111116</v>
      </c>
      <c r="G279" s="43">
        <f>(F279-E279)*1440</f>
        <v>18.999999999999932</v>
      </c>
      <c r="H279" s="9" t="s">
        <v>889</v>
      </c>
      <c r="I279" s="9" t="s">
        <v>890</v>
      </c>
      <c r="J279" s="44">
        <v>11.7</v>
      </c>
      <c r="K279" s="60">
        <v>7.94</v>
      </c>
      <c r="L279" s="56">
        <v>6.49</v>
      </c>
      <c r="M279" s="14">
        <f>K279-L279</f>
        <v>1.4500000000000002</v>
      </c>
      <c r="N279" s="15">
        <f>IFERROR(M279/K279,0)</f>
        <v>0.18261964735516373</v>
      </c>
      <c r="O279" s="14">
        <f>IFERROR(L279/J279,0)</f>
        <v>0.55470085470085473</v>
      </c>
      <c r="P279" s="14">
        <f>IFERROR(L279/G279,0)</f>
        <v>0.34157894736842226</v>
      </c>
    </row>
    <row r="280" spans="1:19" x14ac:dyDescent="0.3">
      <c r="A280" s="9" t="s">
        <v>496</v>
      </c>
      <c r="B280" s="9" t="s">
        <v>18</v>
      </c>
      <c r="C280" s="9" t="s">
        <v>196</v>
      </c>
      <c r="D280" s="52">
        <v>46102</v>
      </c>
      <c r="E280" s="48">
        <v>0.6069444444444444</v>
      </c>
      <c r="F280" s="48">
        <v>0.61388888888888882</v>
      </c>
      <c r="G280" s="43">
        <f>(F280-E280)*1440</f>
        <v>9.9999999999999645</v>
      </c>
      <c r="H280" s="9" t="s">
        <v>883</v>
      </c>
      <c r="I280" s="9" t="s">
        <v>884</v>
      </c>
      <c r="J280" s="44">
        <v>7.53</v>
      </c>
      <c r="K280" s="60">
        <v>6.98</v>
      </c>
      <c r="L280" s="56">
        <v>4.24</v>
      </c>
      <c r="M280" s="14">
        <f>K280-L280</f>
        <v>2.74</v>
      </c>
      <c r="N280" s="15">
        <f>IFERROR(M280/K280,0)</f>
        <v>0.39255014326647564</v>
      </c>
      <c r="O280" s="14">
        <f>IFERROR(L280/J280,0)</f>
        <v>0.56308100929614879</v>
      </c>
      <c r="P280" s="14">
        <f>IFERROR(L280/G280,0)</f>
        <v>0.42400000000000154</v>
      </c>
      <c r="Q280" s="64">
        <v>0.7</v>
      </c>
    </row>
    <row r="281" spans="1:19" x14ac:dyDescent="0.3">
      <c r="A281" s="9" t="s">
        <v>505</v>
      </c>
      <c r="B281" s="9" t="s">
        <v>538</v>
      </c>
      <c r="C281" s="9" t="s">
        <v>184</v>
      </c>
      <c r="D281" s="52">
        <v>46102</v>
      </c>
      <c r="E281" s="48">
        <v>0.86111111111111116</v>
      </c>
      <c r="F281" s="48">
        <v>0.87291666666666667</v>
      </c>
      <c r="G281" s="43">
        <f>(F281-E281)*1440</f>
        <v>16.99999999999994</v>
      </c>
      <c r="H281" s="9" t="s">
        <v>550</v>
      </c>
      <c r="I281" s="9" t="s">
        <v>895</v>
      </c>
      <c r="J281" s="44">
        <v>13.43</v>
      </c>
      <c r="K281" s="60">
        <v>10.93</v>
      </c>
      <c r="L281" s="56">
        <v>7.97</v>
      </c>
      <c r="M281" s="14">
        <f>K281-L281</f>
        <v>2.96</v>
      </c>
      <c r="N281" s="15">
        <f>IFERROR(M281/K281,0)</f>
        <v>0.2708142726440988</v>
      </c>
      <c r="O281" s="14">
        <f>IFERROR(L281/J281,0)</f>
        <v>0.59344750558451231</v>
      </c>
      <c r="P281" s="14">
        <f>IFERROR(L281/G281,0)</f>
        <v>0.46882352941176636</v>
      </c>
    </row>
    <row r="282" spans="1:19" x14ac:dyDescent="0.3">
      <c r="A282" s="9" t="s">
        <v>506</v>
      </c>
      <c r="B282" s="9" t="s">
        <v>538</v>
      </c>
      <c r="C282" s="9" t="s">
        <v>184</v>
      </c>
      <c r="D282" s="52">
        <v>46102</v>
      </c>
      <c r="E282" s="48">
        <v>0.87708333333333333</v>
      </c>
      <c r="F282" s="48">
        <v>0.8881944444444444</v>
      </c>
      <c r="G282" s="43">
        <f>(F282-E282)*1440</f>
        <v>15.999999999999943</v>
      </c>
      <c r="H282" s="9" t="s">
        <v>896</v>
      </c>
      <c r="I282" s="9" t="s">
        <v>897</v>
      </c>
      <c r="J282" s="44">
        <v>8.67</v>
      </c>
      <c r="K282" s="60">
        <v>7.93</v>
      </c>
      <c r="L282" s="56">
        <v>5.15</v>
      </c>
      <c r="M282" s="14">
        <f>K282-L282</f>
        <v>2.7799999999999994</v>
      </c>
      <c r="N282" s="15">
        <f>IFERROR(M282/K282,0)</f>
        <v>0.35056746532156363</v>
      </c>
      <c r="O282" s="14">
        <f>IFERROR(L282/J282,0)</f>
        <v>0.59400230680507504</v>
      </c>
      <c r="P282" s="14">
        <f>IFERROR(L282/G282,0)</f>
        <v>0.32187500000000119</v>
      </c>
    </row>
    <row r="283" spans="1:19" x14ac:dyDescent="0.3">
      <c r="A283" s="9" t="s">
        <v>504</v>
      </c>
      <c r="B283" s="9" t="s">
        <v>18</v>
      </c>
      <c r="C283" s="9" t="s">
        <v>184</v>
      </c>
      <c r="D283" s="52">
        <v>46102</v>
      </c>
      <c r="E283" s="48">
        <v>0.83124999999999993</v>
      </c>
      <c r="F283" s="48">
        <v>0.84236111111111101</v>
      </c>
      <c r="G283" s="43">
        <f>(F283-E283)*1440</f>
        <v>15.999999999999943</v>
      </c>
      <c r="H283" s="9" t="s">
        <v>894</v>
      </c>
      <c r="I283" s="9" t="s">
        <v>550</v>
      </c>
      <c r="J283" s="44">
        <v>13.7</v>
      </c>
      <c r="K283" s="60">
        <v>12.95</v>
      </c>
      <c r="L283" s="56">
        <v>8.42</v>
      </c>
      <c r="M283" s="14">
        <f>K283-L283</f>
        <v>4.5299999999999994</v>
      </c>
      <c r="N283" s="15">
        <f>IFERROR(M283/K283,0)</f>
        <v>0.34980694980694976</v>
      </c>
      <c r="O283" s="14">
        <f>IFERROR(L283/J283,0)</f>
        <v>0.61459854014598547</v>
      </c>
      <c r="P283" s="14">
        <f>IFERROR(L283/G283,0)</f>
        <v>0.52625000000000188</v>
      </c>
    </row>
    <row r="284" spans="1:19" x14ac:dyDescent="0.3">
      <c r="A284" s="9" t="s">
        <v>500</v>
      </c>
      <c r="B284" s="9" t="s">
        <v>18</v>
      </c>
      <c r="C284" s="9" t="s">
        <v>184</v>
      </c>
      <c r="D284" s="52">
        <v>46102</v>
      </c>
      <c r="E284" s="48">
        <v>0.72777777777777775</v>
      </c>
      <c r="F284" s="48">
        <v>0.73611111111111116</v>
      </c>
      <c r="G284" s="43">
        <f>(F284-E284)*1440</f>
        <v>12.000000000000117</v>
      </c>
      <c r="H284" s="9" t="s">
        <v>887</v>
      </c>
      <c r="I284" s="9" t="s">
        <v>888</v>
      </c>
      <c r="J284" s="44">
        <v>6.64</v>
      </c>
      <c r="K284" s="60">
        <v>6.95</v>
      </c>
      <c r="L284" s="56">
        <v>4.5199999999999996</v>
      </c>
      <c r="M284" s="14">
        <f>K284-L284</f>
        <v>2.4300000000000006</v>
      </c>
      <c r="N284" s="15">
        <f>IFERROR(M284/K284,0)</f>
        <v>0.34964028776978423</v>
      </c>
      <c r="O284" s="14">
        <f>IFERROR(L284/J284,0)</f>
        <v>0.68072289156626498</v>
      </c>
      <c r="P284" s="14">
        <f>IFERROR(L284/G284,0)</f>
        <v>0.37666666666666293</v>
      </c>
    </row>
    <row r="285" spans="1:19" x14ac:dyDescent="0.3">
      <c r="A285" s="9" t="s">
        <v>497</v>
      </c>
      <c r="B285" s="9" t="s">
        <v>18</v>
      </c>
      <c r="C285" s="9" t="s">
        <v>184</v>
      </c>
      <c r="D285" s="52">
        <v>46102</v>
      </c>
      <c r="E285" s="48">
        <v>0.64722222222222225</v>
      </c>
      <c r="F285" s="48">
        <v>0.65902777777777777</v>
      </c>
      <c r="G285" s="43">
        <f>(F285-E285)*1440</f>
        <v>16.99999999999994</v>
      </c>
      <c r="H285" s="9" t="s">
        <v>186</v>
      </c>
      <c r="I285" s="9" t="s">
        <v>561</v>
      </c>
      <c r="J285" s="44">
        <v>8.18</v>
      </c>
      <c r="K285" s="60">
        <v>8.9600000000000009</v>
      </c>
      <c r="L285" s="56">
        <v>5.82</v>
      </c>
      <c r="M285" s="14">
        <f>K285-L285</f>
        <v>3.1400000000000006</v>
      </c>
      <c r="N285" s="15">
        <f>IFERROR(M285/K285,0)</f>
        <v>0.3504464285714286</v>
      </c>
      <c r="O285" s="14">
        <f>IFERROR(L285/J285,0)</f>
        <v>0.7114914425427874</v>
      </c>
      <c r="P285" s="14">
        <f>IFERROR(L285/G285,0)</f>
        <v>0.3423529411764718</v>
      </c>
    </row>
    <row r="286" spans="1:19" x14ac:dyDescent="0.3">
      <c r="A286" s="9" t="s">
        <v>494</v>
      </c>
      <c r="B286" s="9" t="s">
        <v>18</v>
      </c>
      <c r="C286" s="9" t="s">
        <v>196</v>
      </c>
      <c r="D286" s="52">
        <v>46102</v>
      </c>
      <c r="E286" s="48">
        <v>0.57916666666666672</v>
      </c>
      <c r="F286" s="48">
        <v>0.58819444444444446</v>
      </c>
      <c r="G286" s="43">
        <f>(F286-E286)*1440</f>
        <v>12.999999999999954</v>
      </c>
      <c r="H286" s="9" t="s">
        <v>880</v>
      </c>
      <c r="I286" s="9" t="s">
        <v>881</v>
      </c>
      <c r="J286" s="44">
        <v>6.95</v>
      </c>
      <c r="K286" s="60">
        <v>7.98</v>
      </c>
      <c r="L286" s="56">
        <v>5.19</v>
      </c>
      <c r="M286" s="14">
        <f>K286-L286</f>
        <v>2.79</v>
      </c>
      <c r="N286" s="15">
        <f>IFERROR(M286/K286,0)</f>
        <v>0.34962406015037595</v>
      </c>
      <c r="O286" s="14">
        <f>IFERROR(L286/J286,0)</f>
        <v>0.74676258992805755</v>
      </c>
      <c r="P286" s="14">
        <f>IFERROR(L286/G286,0)</f>
        <v>0.39923076923077067</v>
      </c>
    </row>
    <row r="287" spans="1:19" x14ac:dyDescent="0.3">
      <c r="A287" s="9" t="s">
        <v>510</v>
      </c>
      <c r="B287" s="9" t="s">
        <v>26</v>
      </c>
      <c r="C287" s="9" t="s">
        <v>27</v>
      </c>
      <c r="D287" s="52">
        <v>46102</v>
      </c>
      <c r="E287" s="48">
        <v>0.81666666666666676</v>
      </c>
      <c r="F287" s="48">
        <v>0.82986111111111116</v>
      </c>
      <c r="G287" s="43">
        <f>(F287-E287)*1440</f>
        <v>18.999999999999932</v>
      </c>
      <c r="H287" s="9" t="s">
        <v>901</v>
      </c>
      <c r="I287" s="9" t="s">
        <v>902</v>
      </c>
      <c r="J287" s="44">
        <v>6.4</v>
      </c>
      <c r="K287" s="60">
        <v>6.61</v>
      </c>
      <c r="L287" s="56">
        <v>4.96</v>
      </c>
      <c r="M287" s="14">
        <f>K287-L287</f>
        <v>1.6500000000000004</v>
      </c>
      <c r="N287" s="15">
        <f>IFERROR(M287/K287,0)</f>
        <v>0.24962178517397887</v>
      </c>
      <c r="O287" s="14">
        <f>IFERROR(L287/J287,0)</f>
        <v>0.77499999999999991</v>
      </c>
      <c r="P287" s="14">
        <f>IFERROR(L287/G287,0)</f>
        <v>0.26105263157894831</v>
      </c>
    </row>
    <row r="288" spans="1:19" x14ac:dyDescent="0.3">
      <c r="A288" s="9" t="s">
        <v>499</v>
      </c>
      <c r="B288" s="9" t="s">
        <v>18</v>
      </c>
      <c r="C288" s="9" t="s">
        <v>184</v>
      </c>
      <c r="D288" s="52">
        <v>46102</v>
      </c>
      <c r="E288" s="48">
        <v>0.71597222222222223</v>
      </c>
      <c r="F288" s="48">
        <v>0.72013888888888899</v>
      </c>
      <c r="G288" s="43">
        <f>(F288-E288)*1440</f>
        <v>6.0000000000001386</v>
      </c>
      <c r="H288" s="9" t="s">
        <v>886</v>
      </c>
      <c r="I288" s="9" t="s">
        <v>569</v>
      </c>
      <c r="J288" s="44">
        <v>2.4500000000000002</v>
      </c>
      <c r="K288" s="60">
        <v>4.95</v>
      </c>
      <c r="L288" s="56">
        <v>3.7</v>
      </c>
      <c r="M288" s="14">
        <f>K288-L288</f>
        <v>1.25</v>
      </c>
      <c r="N288" s="15">
        <f>IFERROR(M288/K288,0)</f>
        <v>0.25252525252525254</v>
      </c>
      <c r="O288" s="14">
        <f>IFERROR(L288/J288,0)</f>
        <v>1.510204081632653</v>
      </c>
      <c r="P288" s="14">
        <f>IFERROR(L288/G288,0)</f>
        <v>0.61666666666665249</v>
      </c>
    </row>
    <row r="289" spans="1:18" x14ac:dyDescent="0.3">
      <c r="A289" s="9" t="s">
        <v>493</v>
      </c>
      <c r="B289" s="9" t="s">
        <v>18</v>
      </c>
      <c r="C289" s="9" t="s">
        <v>184</v>
      </c>
      <c r="D289" s="52">
        <v>46102</v>
      </c>
      <c r="E289" s="48">
        <v>0.55763888888888891</v>
      </c>
      <c r="F289" s="48">
        <v>0.56180555555555556</v>
      </c>
      <c r="G289" s="43">
        <f>(F289-E289)*1440</f>
        <v>5.9999999999999787</v>
      </c>
      <c r="H289" s="9" t="s">
        <v>878</v>
      </c>
      <c r="I289" s="9" t="s">
        <v>879</v>
      </c>
      <c r="J289" s="44">
        <v>2.2200000000000002</v>
      </c>
      <c r="K289" s="60">
        <v>4.95</v>
      </c>
      <c r="L289" s="56">
        <v>3.38</v>
      </c>
      <c r="M289" s="14">
        <f>K289-L289</f>
        <v>1.5700000000000003</v>
      </c>
      <c r="N289" s="15">
        <f>IFERROR(M289/K289,0)</f>
        <v>0.31717171717171722</v>
      </c>
      <c r="O289" s="14">
        <f>IFERROR(L289/J289,0)</f>
        <v>1.5225225225225223</v>
      </c>
      <c r="P289" s="14">
        <f>IFERROR(L289/G289,0)</f>
        <v>0.56333333333333535</v>
      </c>
    </row>
    <row r="290" spans="1:18" x14ac:dyDescent="0.3">
      <c r="A290" s="9" t="s">
        <v>508</v>
      </c>
      <c r="B290" s="9" t="s">
        <v>26</v>
      </c>
      <c r="C290" s="9" t="s">
        <v>27</v>
      </c>
      <c r="D290" s="52">
        <v>46102</v>
      </c>
      <c r="E290" s="48">
        <v>0.62291666666666667</v>
      </c>
      <c r="F290" s="48">
        <v>0.62569444444444444</v>
      </c>
      <c r="G290" s="43">
        <f>(F290-E290)*1440</f>
        <v>3.9999999999999858</v>
      </c>
      <c r="H290" s="9" t="s">
        <v>884</v>
      </c>
      <c r="I290" s="9" t="s">
        <v>899</v>
      </c>
      <c r="J290" s="44">
        <v>1.5</v>
      </c>
      <c r="K290" s="60">
        <v>3.85</v>
      </c>
      <c r="L290" s="56">
        <v>3.18</v>
      </c>
      <c r="M290" s="14">
        <f>K290-L290</f>
        <v>0.66999999999999993</v>
      </c>
      <c r="N290" s="15">
        <f>IFERROR(M290/K290,0)</f>
        <v>0.174025974025974</v>
      </c>
      <c r="O290" s="14">
        <f>IFERROR(L290/J290,0)</f>
        <v>2.12</v>
      </c>
      <c r="P290" s="14">
        <f>IFERROR(L290/G290,0)</f>
        <v>0.79500000000000282</v>
      </c>
    </row>
    <row r="291" spans="1:18" x14ac:dyDescent="0.3">
      <c r="A291" s="9" t="s">
        <v>511</v>
      </c>
      <c r="B291" s="9" t="s">
        <v>26</v>
      </c>
      <c r="C291" s="9" t="s">
        <v>27</v>
      </c>
      <c r="D291" s="52">
        <v>46103</v>
      </c>
      <c r="E291" s="48">
        <v>0.5756944444444444</v>
      </c>
      <c r="F291" s="48">
        <v>0.59097222222222223</v>
      </c>
      <c r="G291" s="43">
        <f>(F291-E291)*1440</f>
        <v>22.000000000000082</v>
      </c>
      <c r="H291" s="9" t="s">
        <v>903</v>
      </c>
      <c r="I291" s="9" t="s">
        <v>904</v>
      </c>
      <c r="J291" s="44">
        <v>20.399999999999999</v>
      </c>
      <c r="K291" s="60">
        <v>10.8</v>
      </c>
      <c r="L291" s="56">
        <v>8.1</v>
      </c>
      <c r="M291" s="14">
        <f>K291-L291</f>
        <v>2.7000000000000011</v>
      </c>
      <c r="N291" s="15">
        <f>IFERROR(M291/K291,0)</f>
        <v>0.25000000000000006</v>
      </c>
      <c r="O291" s="14">
        <f>IFERROR(L291/J291,0)</f>
        <v>0.3970588235294118</v>
      </c>
      <c r="P291" s="14">
        <f>IFERROR(L291/G291,0)</f>
        <v>0.36818181818181678</v>
      </c>
    </row>
    <row r="292" spans="1:18" x14ac:dyDescent="0.3">
      <c r="A292" s="9" t="s">
        <v>519</v>
      </c>
      <c r="B292" s="9" t="s">
        <v>26</v>
      </c>
      <c r="C292" s="9" t="s">
        <v>27</v>
      </c>
      <c r="D292" s="52">
        <v>46103</v>
      </c>
      <c r="E292" s="48">
        <v>0.87708333333333333</v>
      </c>
      <c r="F292" s="48">
        <v>0.8881944444444444</v>
      </c>
      <c r="G292" s="43">
        <f>(F292-E292)*1440</f>
        <v>15.999999999999943</v>
      </c>
      <c r="H292" s="9" t="s">
        <v>530</v>
      </c>
      <c r="I292" s="9" t="s">
        <v>771</v>
      </c>
      <c r="J292" s="44">
        <v>17.399999999999999</v>
      </c>
      <c r="K292" s="60">
        <v>9.64</v>
      </c>
      <c r="L292" s="56">
        <v>7.23</v>
      </c>
      <c r="M292" s="14">
        <f>K292-L292</f>
        <v>2.41</v>
      </c>
      <c r="N292" s="15">
        <f>IFERROR(M292/K292,0)</f>
        <v>0.25</v>
      </c>
      <c r="O292" s="14">
        <f>IFERROR(L292/J292,0)</f>
        <v>0.4155172413793104</v>
      </c>
      <c r="P292" s="14">
        <f>IFERROR(L292/G292,0)</f>
        <v>0.45187500000000164</v>
      </c>
    </row>
    <row r="293" spans="1:18" x14ac:dyDescent="0.3">
      <c r="A293" s="9" t="s">
        <v>515</v>
      </c>
      <c r="B293" s="9" t="s">
        <v>26</v>
      </c>
      <c r="C293" s="9" t="s">
        <v>26</v>
      </c>
      <c r="D293" s="52">
        <v>46103</v>
      </c>
      <c r="E293" s="48">
        <v>0.7944444444444444</v>
      </c>
      <c r="F293" s="48">
        <v>0.80902777777777779</v>
      </c>
      <c r="G293" s="43">
        <f>(F293-E293)*1440</f>
        <v>21.000000000000085</v>
      </c>
      <c r="H293" s="9" t="s">
        <v>908</v>
      </c>
      <c r="I293" s="9" t="s">
        <v>909</v>
      </c>
      <c r="J293" s="44">
        <v>21</v>
      </c>
      <c r="K293" s="60">
        <v>8.41</v>
      </c>
      <c r="L293" s="56">
        <v>9.01</v>
      </c>
      <c r="M293" s="14">
        <f>K293-L293</f>
        <v>-0.59999999999999964</v>
      </c>
      <c r="N293" s="15">
        <f>IFERROR(M293/K293,0)</f>
        <v>-7.1343638525564759E-2</v>
      </c>
      <c r="O293" s="14">
        <f>IFERROR(L293/J293,0)</f>
        <v>0.42904761904761901</v>
      </c>
      <c r="P293" s="14">
        <f>IFERROR(L293/G293,0)</f>
        <v>0.42904761904761729</v>
      </c>
    </row>
    <row r="294" spans="1:18" x14ac:dyDescent="0.3">
      <c r="A294" s="9" t="s">
        <v>512</v>
      </c>
      <c r="B294" s="9" t="s">
        <v>26</v>
      </c>
      <c r="C294" s="9" t="s">
        <v>27</v>
      </c>
      <c r="D294" s="52">
        <v>46103</v>
      </c>
      <c r="E294" s="48">
        <v>0.59375</v>
      </c>
      <c r="F294" s="48">
        <v>0.6020833333333333</v>
      </c>
      <c r="G294" s="43">
        <f>(F294-E294)*1440</f>
        <v>11.999999999999957</v>
      </c>
      <c r="H294" s="9" t="s">
        <v>216</v>
      </c>
      <c r="I294" s="9" t="s">
        <v>905</v>
      </c>
      <c r="J294" s="44">
        <v>9.5</v>
      </c>
      <c r="K294" s="60">
        <v>5.96</v>
      </c>
      <c r="L294" s="56">
        <v>4.47</v>
      </c>
      <c r="M294" s="14">
        <f>K294-L294</f>
        <v>1.4900000000000002</v>
      </c>
      <c r="N294" s="15">
        <f>IFERROR(M294/K294,0)</f>
        <v>0.25000000000000006</v>
      </c>
      <c r="O294" s="14">
        <f>IFERROR(L294/J294,0)</f>
        <v>0.47052631578947368</v>
      </c>
      <c r="P294" s="14">
        <f>IFERROR(L294/G294,0)</f>
        <v>0.37250000000000133</v>
      </c>
    </row>
    <row r="295" spans="1:18" x14ac:dyDescent="0.3">
      <c r="A295" s="9" t="s">
        <v>916</v>
      </c>
      <c r="B295" s="9" t="s">
        <v>18</v>
      </c>
      <c r="C295" s="9" t="s">
        <v>184</v>
      </c>
      <c r="D295" s="52">
        <v>46103</v>
      </c>
      <c r="E295" s="48">
        <v>0.66527777777777775</v>
      </c>
      <c r="F295" s="48">
        <v>0.68680555555555556</v>
      </c>
      <c r="G295" s="43">
        <f>(F295-E295)*1440</f>
        <v>31.00000000000005</v>
      </c>
      <c r="H295" s="9" t="s">
        <v>1120</v>
      </c>
      <c r="I295" s="9" t="s">
        <v>1116</v>
      </c>
      <c r="J295" s="44">
        <v>29.2</v>
      </c>
      <c r="K295" s="60">
        <v>23.71</v>
      </c>
      <c r="L295" s="56">
        <v>14.27</v>
      </c>
      <c r="M295" s="14">
        <f>K295-L295</f>
        <v>9.4400000000000013</v>
      </c>
      <c r="N295" s="15">
        <f>IFERROR(M295/K295,0)</f>
        <v>0.39814424293547029</v>
      </c>
      <c r="O295" s="14">
        <f>IFERROR(L295/J295,0)</f>
        <v>0.48869863013698628</v>
      </c>
      <c r="P295" s="14">
        <f>IFERROR(L295/G295,0)</f>
        <v>0.46032258064516052</v>
      </c>
      <c r="Q295" s="64">
        <v>0.7</v>
      </c>
    </row>
    <row r="296" spans="1:18" x14ac:dyDescent="0.3">
      <c r="A296" s="9" t="s">
        <v>518</v>
      </c>
      <c r="B296" s="9" t="s">
        <v>26</v>
      </c>
      <c r="C296" s="9" t="s">
        <v>26</v>
      </c>
      <c r="D296" s="52">
        <v>46103</v>
      </c>
      <c r="E296" s="48">
        <v>0.8520833333333333</v>
      </c>
      <c r="F296" s="48">
        <v>0.86805555555555547</v>
      </c>
      <c r="G296" s="43">
        <f>(F296-E296)*1440</f>
        <v>22.999999999999918</v>
      </c>
      <c r="H296" s="9" t="s">
        <v>912</v>
      </c>
      <c r="I296" s="9" t="s">
        <v>913</v>
      </c>
      <c r="J296" s="44">
        <v>24.1</v>
      </c>
      <c r="K296" s="60">
        <v>15.71</v>
      </c>
      <c r="L296" s="56">
        <v>11.88</v>
      </c>
      <c r="M296" s="14">
        <f>K296-L296</f>
        <v>3.83</v>
      </c>
      <c r="N296" s="15">
        <f>IFERROR(M296/K296,0)</f>
        <v>0.24379376193507318</v>
      </c>
      <c r="O296" s="14">
        <f>IFERROR(L296/J296,0)</f>
        <v>0.49294605809128633</v>
      </c>
      <c r="P296" s="14">
        <f>IFERROR(L296/G296,0)</f>
        <v>0.51652173913043664</v>
      </c>
      <c r="Q296" s="64">
        <v>0.4</v>
      </c>
    </row>
    <row r="297" spans="1:18" x14ac:dyDescent="0.3">
      <c r="A297" s="9" t="s">
        <v>514</v>
      </c>
      <c r="B297" s="9" t="s">
        <v>26</v>
      </c>
      <c r="C297" s="9" t="s">
        <v>26</v>
      </c>
      <c r="D297" s="52">
        <v>46103</v>
      </c>
      <c r="E297" s="48">
        <v>0.70972222222222225</v>
      </c>
      <c r="F297" s="48">
        <v>0.73749999999999993</v>
      </c>
      <c r="G297" s="43">
        <f>(F297-E297)*1440</f>
        <v>39.999999999999858</v>
      </c>
      <c r="H297" s="9" t="s">
        <v>766</v>
      </c>
      <c r="I297" s="9" t="s">
        <v>907</v>
      </c>
      <c r="J297" s="44">
        <v>20.9</v>
      </c>
      <c r="K297" s="60">
        <v>11.39</v>
      </c>
      <c r="L297" s="56">
        <v>10.68</v>
      </c>
      <c r="M297" s="14">
        <f>K297-L297</f>
        <v>0.71000000000000085</v>
      </c>
      <c r="N297" s="15">
        <f>IFERROR(M297/K297,0)</f>
        <v>6.2335381913959688E-2</v>
      </c>
      <c r="O297" s="14">
        <f>IFERROR(L297/J297,0)</f>
        <v>0.51100478468899524</v>
      </c>
      <c r="P297" s="14">
        <f>IFERROR(L297/G297,0)</f>
        <v>0.26700000000000096</v>
      </c>
    </row>
    <row r="298" spans="1:18" x14ac:dyDescent="0.3">
      <c r="A298" s="9" t="s">
        <v>914</v>
      </c>
      <c r="B298" s="9" t="s">
        <v>18</v>
      </c>
      <c r="C298" s="9" t="s">
        <v>184</v>
      </c>
      <c r="D298" s="52">
        <v>46103</v>
      </c>
      <c r="E298" s="48">
        <v>0.62152777777777779</v>
      </c>
      <c r="F298" s="48">
        <v>0.63124999999999998</v>
      </c>
      <c r="G298" s="43">
        <f>(F298-E298)*1440</f>
        <v>13.99999999999995</v>
      </c>
      <c r="H298" s="9" t="s">
        <v>1114</v>
      </c>
      <c r="I298" s="9" t="s">
        <v>1120</v>
      </c>
      <c r="J298" s="44">
        <v>8.59</v>
      </c>
      <c r="K298" s="60">
        <v>6.94</v>
      </c>
      <c r="L298" s="56">
        <v>4.79</v>
      </c>
      <c r="M298" s="14">
        <f>K298-L298</f>
        <v>2.1500000000000004</v>
      </c>
      <c r="N298" s="15">
        <f>IFERROR(M298/K298,0)</f>
        <v>0.30979827089337181</v>
      </c>
      <c r="O298" s="14">
        <f>IFERROR(L298/J298,0)</f>
        <v>0.55762514551804421</v>
      </c>
      <c r="P298" s="14">
        <f>IFERROR(L298/G298,0)</f>
        <v>0.34214285714285836</v>
      </c>
    </row>
    <row r="299" spans="1:18" x14ac:dyDescent="0.3">
      <c r="A299" s="9" t="s">
        <v>520</v>
      </c>
      <c r="B299" s="9" t="s">
        <v>538</v>
      </c>
      <c r="C299" s="9" t="s">
        <v>184</v>
      </c>
      <c r="D299" s="52">
        <v>46103</v>
      </c>
      <c r="E299" s="48">
        <v>0.60277777777777775</v>
      </c>
      <c r="F299" s="48">
        <v>0.6118055555555556</v>
      </c>
      <c r="G299" s="43">
        <f>(F299-E299)*1440</f>
        <v>13.000000000000114</v>
      </c>
      <c r="H299" s="9" t="s">
        <v>702</v>
      </c>
      <c r="I299" s="9" t="s">
        <v>234</v>
      </c>
      <c r="J299" s="44">
        <v>9.1300000000000008</v>
      </c>
      <c r="K299" s="60">
        <v>7.94</v>
      </c>
      <c r="L299" s="56">
        <v>5.16</v>
      </c>
      <c r="M299" s="14">
        <f>K299-L299</f>
        <v>2.7800000000000002</v>
      </c>
      <c r="N299" s="15">
        <f>IFERROR(M299/K299,0)</f>
        <v>0.3501259445843829</v>
      </c>
      <c r="O299" s="14">
        <f>IFERROR(L299/J299,0)</f>
        <v>0.56516976998904711</v>
      </c>
      <c r="P299" s="14">
        <f>IFERROR(L299/G299,0)</f>
        <v>0.39692307692307344</v>
      </c>
    </row>
    <row r="300" spans="1:18" x14ac:dyDescent="0.3">
      <c r="A300" s="9" t="s">
        <v>918</v>
      </c>
      <c r="B300" s="9" t="s">
        <v>18</v>
      </c>
      <c r="C300" s="9" t="s">
        <v>824</v>
      </c>
      <c r="D300" s="52">
        <v>46103</v>
      </c>
      <c r="E300" s="48">
        <v>0.75624999999999998</v>
      </c>
      <c r="F300" s="48">
        <v>0.7680555555555556</v>
      </c>
      <c r="G300" s="43">
        <f>(F300-E300)*1440</f>
        <v>17.000000000000099</v>
      </c>
      <c r="H300" s="9" t="s">
        <v>1118</v>
      </c>
      <c r="I300" s="9" t="s">
        <v>632</v>
      </c>
      <c r="J300" s="44">
        <v>8.61</v>
      </c>
      <c r="K300" s="60">
        <v>6.95</v>
      </c>
      <c r="L300" s="56">
        <v>4.8899999999999997</v>
      </c>
      <c r="M300" s="14">
        <f>K300-L300</f>
        <v>2.0600000000000005</v>
      </c>
      <c r="N300" s="15">
        <f>IFERROR(M300/K300,0)</f>
        <v>0.29640287769784179</v>
      </c>
      <c r="O300" s="14">
        <f>IFERROR(L300/J300,0)</f>
        <v>0.56794425087108014</v>
      </c>
      <c r="P300" s="14">
        <f>IFERROR(L300/G300,0)</f>
        <v>0.2876470588235277</v>
      </c>
    </row>
    <row r="301" spans="1:18" x14ac:dyDescent="0.3">
      <c r="A301" s="9" t="s">
        <v>517</v>
      </c>
      <c r="B301" s="9" t="s">
        <v>26</v>
      </c>
      <c r="C301" s="9" t="s">
        <v>26</v>
      </c>
      <c r="D301" s="52">
        <v>46103</v>
      </c>
      <c r="E301" s="48">
        <v>0.8340277777777777</v>
      </c>
      <c r="F301" s="48">
        <v>0.84930555555555554</v>
      </c>
      <c r="G301" s="43">
        <f>(F301-E301)*1440</f>
        <v>22.000000000000082</v>
      </c>
      <c r="H301" s="9" t="s">
        <v>1120</v>
      </c>
      <c r="I301" s="9" t="s">
        <v>911</v>
      </c>
      <c r="J301" s="44">
        <v>22</v>
      </c>
      <c r="K301" s="60">
        <v>17.510000000000002</v>
      </c>
      <c r="L301" s="56">
        <v>13.23</v>
      </c>
      <c r="M301" s="14">
        <f>K301-L301</f>
        <v>4.2800000000000011</v>
      </c>
      <c r="N301" s="15">
        <f>IFERROR(M301/K301,0)</f>
        <v>0.24443175328383784</v>
      </c>
      <c r="O301" s="14">
        <f>IFERROR(L301/J301,0)</f>
        <v>0.60136363636363643</v>
      </c>
      <c r="P301" s="14">
        <f>IFERROR(L301/G301,0)</f>
        <v>0.6013636363636341</v>
      </c>
      <c r="Q301" s="64">
        <v>0.4</v>
      </c>
    </row>
    <row r="302" spans="1:18" x14ac:dyDescent="0.3">
      <c r="A302" s="9" t="s">
        <v>516</v>
      </c>
      <c r="B302" s="9" t="s">
        <v>26</v>
      </c>
      <c r="C302" s="9" t="s">
        <v>27</v>
      </c>
      <c r="D302" s="52">
        <v>46103</v>
      </c>
      <c r="E302" s="48">
        <v>0.82638888888888884</v>
      </c>
      <c r="F302" s="48">
        <v>0.83333333333333337</v>
      </c>
      <c r="G302" s="43">
        <f>(F302-E302)*1440</f>
        <v>10.000000000000124</v>
      </c>
      <c r="H302" s="9" t="s">
        <v>910</v>
      </c>
      <c r="I302" s="9" t="s">
        <v>1120</v>
      </c>
      <c r="J302" s="44">
        <v>4.5999999999999996</v>
      </c>
      <c r="K302" s="60">
        <v>4.05</v>
      </c>
      <c r="L302" s="56">
        <v>3.04</v>
      </c>
      <c r="M302" s="14">
        <f>K302-L302</f>
        <v>1.0099999999999998</v>
      </c>
      <c r="N302" s="15">
        <f>IFERROR(M302/K302,0)</f>
        <v>0.24938271604938267</v>
      </c>
      <c r="O302" s="14">
        <f>IFERROR(L302/J302,0)</f>
        <v>0.66086956521739137</v>
      </c>
      <c r="P302" s="14">
        <f>IFERROR(L302/G302,0)</f>
        <v>0.30399999999999622</v>
      </c>
    </row>
    <row r="303" spans="1:18" x14ac:dyDescent="0.3">
      <c r="A303" s="9" t="s">
        <v>915</v>
      </c>
      <c r="B303" s="9" t="s">
        <v>18</v>
      </c>
      <c r="C303" s="9" t="s">
        <v>196</v>
      </c>
      <c r="D303" s="52">
        <v>46103</v>
      </c>
      <c r="E303" s="48">
        <v>0.64930555555555558</v>
      </c>
      <c r="F303" s="48">
        <v>0.65902777777777777</v>
      </c>
      <c r="G303" s="43">
        <f>(F303-E303)*1440</f>
        <v>13.99999999999995</v>
      </c>
      <c r="H303" s="9" t="s">
        <v>1115</v>
      </c>
      <c r="I303" s="9" t="s">
        <v>1120</v>
      </c>
      <c r="J303" s="44">
        <v>7.08</v>
      </c>
      <c r="K303" s="60">
        <v>7.97</v>
      </c>
      <c r="L303" s="56">
        <v>5.22</v>
      </c>
      <c r="M303" s="14">
        <f>K303-L303</f>
        <v>2.75</v>
      </c>
      <c r="N303" s="15">
        <f>IFERROR(M303/K303,0)</f>
        <v>0.34504391468005019</v>
      </c>
      <c r="O303" s="14">
        <f>IFERROR(L303/J303,0)</f>
        <v>0.73728813559322026</v>
      </c>
      <c r="P303" s="14">
        <f>IFERROR(L303/G303,0)</f>
        <v>0.37285714285714416</v>
      </c>
    </row>
    <row r="304" spans="1:18" x14ac:dyDescent="0.3">
      <c r="A304" s="9" t="s">
        <v>513</v>
      </c>
      <c r="B304" s="9" t="s">
        <v>26</v>
      </c>
      <c r="C304" s="9" t="s">
        <v>26</v>
      </c>
      <c r="D304" s="52">
        <v>46103</v>
      </c>
      <c r="E304" s="48">
        <v>0.63611111111111118</v>
      </c>
      <c r="F304" s="48">
        <v>0.64861111111111114</v>
      </c>
      <c r="G304" s="43">
        <f>(F304-E304)*1440</f>
        <v>17.999999999999936</v>
      </c>
      <c r="H304" s="9" t="s">
        <v>1120</v>
      </c>
      <c r="I304" s="9" t="s">
        <v>906</v>
      </c>
      <c r="J304" s="44">
        <v>5.9</v>
      </c>
      <c r="K304" s="60">
        <v>5.76</v>
      </c>
      <c r="L304" s="56">
        <v>5.4</v>
      </c>
      <c r="M304" s="14">
        <f>K304-L304</f>
        <v>0.35999999999999943</v>
      </c>
      <c r="N304" s="15">
        <f>IFERROR(M304/K304,0)</f>
        <v>6.2499999999999903E-2</v>
      </c>
      <c r="O304" s="14">
        <f>IFERROR(L304/J304,0)</f>
        <v>0.9152542372881356</v>
      </c>
      <c r="P304" s="14">
        <f>IFERROR(L304/G304,0)</f>
        <v>0.3000000000000011</v>
      </c>
      <c r="R304" s="57">
        <v>1.21</v>
      </c>
    </row>
    <row r="305" spans="1:18" x14ac:dyDescent="0.3">
      <c r="A305" s="9" t="s">
        <v>917</v>
      </c>
      <c r="B305" s="9" t="s">
        <v>18</v>
      </c>
      <c r="C305" s="9" t="s">
        <v>184</v>
      </c>
      <c r="D305" s="52">
        <v>46103</v>
      </c>
      <c r="E305" s="48">
        <v>0.74375000000000002</v>
      </c>
      <c r="F305" s="48">
        <v>0.75138888888888899</v>
      </c>
      <c r="G305" s="43">
        <f>(F305-E305)*1440</f>
        <v>11.000000000000121</v>
      </c>
      <c r="H305" s="9" t="s">
        <v>202</v>
      </c>
      <c r="I305" s="9" t="s">
        <v>1117</v>
      </c>
      <c r="J305" s="44">
        <v>4.88</v>
      </c>
      <c r="K305" s="60">
        <v>6.95</v>
      </c>
      <c r="L305" s="56">
        <v>5.58</v>
      </c>
      <c r="M305" s="14">
        <f>K305-L305</f>
        <v>1.37</v>
      </c>
      <c r="N305" s="15">
        <f>IFERROR(M305/K305,0)</f>
        <v>0.19712230215827339</v>
      </c>
      <c r="O305" s="14">
        <f>IFERROR(L305/J305,0)</f>
        <v>1.1434426229508197</v>
      </c>
      <c r="P305" s="14">
        <f>IFERROR(L305/G305,0)</f>
        <v>0.50727272727272166</v>
      </c>
    </row>
    <row r="306" spans="1:18" x14ac:dyDescent="0.3">
      <c r="A306" s="9" t="s">
        <v>924</v>
      </c>
      <c r="B306" s="9" t="s">
        <v>18</v>
      </c>
      <c r="C306" s="9" t="s">
        <v>184</v>
      </c>
      <c r="D306" s="52">
        <v>46104</v>
      </c>
      <c r="E306" s="48">
        <v>0.80902777777777779</v>
      </c>
      <c r="F306" s="48">
        <v>0.81666666666666676</v>
      </c>
      <c r="G306" s="43">
        <f>(F306-E306)*1440</f>
        <v>11.000000000000121</v>
      </c>
      <c r="H306" s="9" t="s">
        <v>1126</v>
      </c>
      <c r="I306" s="9" t="s">
        <v>1127</v>
      </c>
      <c r="J306" s="44">
        <v>8.19</v>
      </c>
      <c r="K306" s="60">
        <v>4.95</v>
      </c>
      <c r="L306" s="56">
        <v>3.36</v>
      </c>
      <c r="M306" s="14">
        <f>K306-L306</f>
        <v>1.5900000000000003</v>
      </c>
      <c r="N306" s="15">
        <f>IFERROR(M306/K306,0)</f>
        <v>0.32121212121212128</v>
      </c>
      <c r="O306" s="14">
        <f>IFERROR(L306/J306,0)</f>
        <v>0.41025641025641024</v>
      </c>
      <c r="P306" s="14">
        <f>IFERROR(L306/G306,0)</f>
        <v>0.30545454545454209</v>
      </c>
    </row>
    <row r="307" spans="1:18" x14ac:dyDescent="0.3">
      <c r="A307" s="9" t="s">
        <v>923</v>
      </c>
      <c r="B307" s="9" t="s">
        <v>18</v>
      </c>
      <c r="C307" s="9" t="s">
        <v>184</v>
      </c>
      <c r="D307" s="52">
        <v>46104</v>
      </c>
      <c r="E307" s="48">
        <v>0.79583333333333339</v>
      </c>
      <c r="F307" s="48">
        <v>0.80902777777777779</v>
      </c>
      <c r="G307" s="43">
        <f>(F307-E307)*1440</f>
        <v>18.999999999999932</v>
      </c>
      <c r="H307" s="9" t="s">
        <v>1124</v>
      </c>
      <c r="I307" s="9" t="s">
        <v>1125</v>
      </c>
      <c r="J307" s="44">
        <v>13.99</v>
      </c>
      <c r="K307" s="60">
        <v>8.94</v>
      </c>
      <c r="L307" s="56">
        <v>5.92</v>
      </c>
      <c r="M307" s="14">
        <f>K307-L307</f>
        <v>3.0199999999999996</v>
      </c>
      <c r="N307" s="15">
        <f>IFERROR(M307/K307,0)</f>
        <v>0.3378076062639821</v>
      </c>
      <c r="O307" s="14">
        <f>IFERROR(L307/J307,0)</f>
        <v>0.4231593995711222</v>
      </c>
      <c r="P307" s="14">
        <f>IFERROR(L307/G307,0)</f>
        <v>0.31157894736842218</v>
      </c>
    </row>
    <row r="308" spans="1:18" x14ac:dyDescent="0.3">
      <c r="A308" s="9" t="s">
        <v>919</v>
      </c>
      <c r="B308" s="9" t="s">
        <v>538</v>
      </c>
      <c r="C308" s="9" t="s">
        <v>184</v>
      </c>
      <c r="D308" s="52">
        <v>46104</v>
      </c>
      <c r="E308" s="48">
        <v>0.54166666666666663</v>
      </c>
      <c r="F308" s="48">
        <v>0.55694444444444446</v>
      </c>
      <c r="G308" s="43">
        <f>(F308-E308)*1440</f>
        <v>22.000000000000082</v>
      </c>
      <c r="H308" s="9" t="s">
        <v>545</v>
      </c>
      <c r="I308" s="9" t="s">
        <v>238</v>
      </c>
      <c r="J308" s="44">
        <v>13.03</v>
      </c>
      <c r="K308" s="60">
        <v>7.95</v>
      </c>
      <c r="L308" s="56">
        <v>5.69</v>
      </c>
      <c r="M308" s="14">
        <f>K308-L308</f>
        <v>2.2599999999999998</v>
      </c>
      <c r="N308" s="15">
        <f>IFERROR(M308/K308,0)</f>
        <v>0.28427672955974842</v>
      </c>
      <c r="O308" s="14">
        <f>IFERROR(L308/J308,0)</f>
        <v>0.43668457405986189</v>
      </c>
      <c r="P308" s="14">
        <f>IFERROR(L308/G308,0)</f>
        <v>0.25863636363636272</v>
      </c>
    </row>
    <row r="309" spans="1:18" x14ac:dyDescent="0.3">
      <c r="A309" s="9" t="s">
        <v>930</v>
      </c>
      <c r="B309" s="9" t="s">
        <v>538</v>
      </c>
      <c r="C309" s="9" t="s">
        <v>184</v>
      </c>
      <c r="D309" s="52">
        <v>46104</v>
      </c>
      <c r="E309" s="48">
        <v>0.8930555555555556</v>
      </c>
      <c r="F309" s="48">
        <v>0.90347222222222223</v>
      </c>
      <c r="G309" s="43">
        <f>(F309-E309)*1440</f>
        <v>14.999999999999947</v>
      </c>
      <c r="H309" s="9" t="s">
        <v>1137</v>
      </c>
      <c r="I309" s="9" t="s">
        <v>1136</v>
      </c>
      <c r="J309" s="44">
        <v>12.88</v>
      </c>
      <c r="K309" s="60">
        <v>7.96</v>
      </c>
      <c r="L309" s="56">
        <v>5.82</v>
      </c>
      <c r="M309" s="14">
        <f>K309-L309</f>
        <v>2.1399999999999997</v>
      </c>
      <c r="N309" s="15">
        <f>IFERROR(M309/K309,0)</f>
        <v>0.26884422110552758</v>
      </c>
      <c r="O309" s="14">
        <f>IFERROR(L309/J309,0)</f>
        <v>0.45186335403726707</v>
      </c>
      <c r="P309" s="14">
        <f>IFERROR(L309/G309,0)</f>
        <v>0.3880000000000014</v>
      </c>
    </row>
    <row r="310" spans="1:18" x14ac:dyDescent="0.3">
      <c r="A310" s="9" t="s">
        <v>929</v>
      </c>
      <c r="B310" s="9" t="s">
        <v>18</v>
      </c>
      <c r="C310" s="9" t="s">
        <v>184</v>
      </c>
      <c r="D310" s="52">
        <v>46104</v>
      </c>
      <c r="E310" s="48">
        <v>0.88680555555555562</v>
      </c>
      <c r="F310" s="48">
        <v>0.89374999999999993</v>
      </c>
      <c r="G310" s="43">
        <f>(F310-E310)*1440</f>
        <v>9.9999999999998046</v>
      </c>
      <c r="H310" s="9" t="s">
        <v>1134</v>
      </c>
      <c r="I310" s="9" t="s">
        <v>1135</v>
      </c>
      <c r="J310" s="44">
        <v>6.35</v>
      </c>
      <c r="K310" s="60">
        <v>4.95</v>
      </c>
      <c r="L310" s="56">
        <v>3.22</v>
      </c>
      <c r="M310" s="14">
        <f>K310-L310</f>
        <v>1.73</v>
      </c>
      <c r="N310" s="15">
        <f>IFERROR(M310/K310,0)</f>
        <v>0.34949494949494947</v>
      </c>
      <c r="O310" s="14">
        <f>IFERROR(L310/J310,0)</f>
        <v>0.50708661417322842</v>
      </c>
      <c r="P310" s="14">
        <f>IFERROR(L310/G310,0)</f>
        <v>0.32200000000000634</v>
      </c>
    </row>
    <row r="311" spans="1:18" x14ac:dyDescent="0.3">
      <c r="A311" s="9" t="s">
        <v>925</v>
      </c>
      <c r="B311" s="9" t="s">
        <v>18</v>
      </c>
      <c r="C311" s="9" t="s">
        <v>184</v>
      </c>
      <c r="D311" s="52">
        <v>46104</v>
      </c>
      <c r="E311" s="48">
        <v>0.81388888888888899</v>
      </c>
      <c r="F311" s="48">
        <v>0.82361111111111107</v>
      </c>
      <c r="G311" s="43">
        <f>(F311-E311)*1440</f>
        <v>13.99999999999979</v>
      </c>
      <c r="H311" s="9" t="s">
        <v>1128</v>
      </c>
      <c r="I311" s="9" t="s">
        <v>1129</v>
      </c>
      <c r="J311" s="44">
        <v>10.53</v>
      </c>
      <c r="K311" s="60">
        <v>8.11</v>
      </c>
      <c r="L311" s="56">
        <v>5.67</v>
      </c>
      <c r="M311" s="14">
        <f>K311-L311</f>
        <v>2.4399999999999995</v>
      </c>
      <c r="N311" s="15">
        <f>IFERROR(M311/K311,0)</f>
        <v>0.3008631319358816</v>
      </c>
      <c r="O311" s="14">
        <f>IFERROR(L311/J311,0)</f>
        <v>0.53846153846153844</v>
      </c>
      <c r="P311" s="14">
        <f>IFERROR(L311/G311,0)</f>
        <v>0.40500000000000608</v>
      </c>
    </row>
    <row r="312" spans="1:18" x14ac:dyDescent="0.3">
      <c r="A312" s="9" t="s">
        <v>932</v>
      </c>
      <c r="B312" s="9" t="s">
        <v>26</v>
      </c>
      <c r="C312" s="9" t="s">
        <v>27</v>
      </c>
      <c r="D312" s="52">
        <v>46104</v>
      </c>
      <c r="E312" s="48">
        <v>0.72222222222222221</v>
      </c>
      <c r="F312" s="48">
        <v>0.73888888888888893</v>
      </c>
      <c r="G312" s="43">
        <f>(F312-E312)*1440</f>
        <v>24.000000000000075</v>
      </c>
      <c r="H312" s="9" t="s">
        <v>1140</v>
      </c>
      <c r="I312" s="9" t="s">
        <v>1141</v>
      </c>
      <c r="J312" s="44">
        <v>18.600000000000001</v>
      </c>
      <c r="K312" s="60">
        <v>14.4</v>
      </c>
      <c r="L312" s="56">
        <v>11.2</v>
      </c>
      <c r="M312" s="14">
        <f>K312-L312</f>
        <v>3.2000000000000011</v>
      </c>
      <c r="N312" s="15">
        <f>IFERROR(M312/K312,0)</f>
        <v>0.22222222222222229</v>
      </c>
      <c r="O312" s="14">
        <f>IFERROR(L312/J312,0)</f>
        <v>0.60215053763440851</v>
      </c>
      <c r="P312" s="14">
        <f>IFERROR(L312/G312,0)</f>
        <v>0.46666666666666518</v>
      </c>
      <c r="Q312" s="64">
        <v>1.6</v>
      </c>
    </row>
    <row r="313" spans="1:18" x14ac:dyDescent="0.3">
      <c r="A313" s="9" t="s">
        <v>920</v>
      </c>
      <c r="B313" s="9" t="s">
        <v>538</v>
      </c>
      <c r="C313" s="9" t="s">
        <v>184</v>
      </c>
      <c r="D313" s="52">
        <v>46104</v>
      </c>
      <c r="E313" s="48">
        <v>0.6479166666666667</v>
      </c>
      <c r="F313" s="48">
        <v>0.66875000000000007</v>
      </c>
      <c r="G313" s="43">
        <f>(F313-E313)*1440</f>
        <v>30.000000000000053</v>
      </c>
      <c r="H313" s="9" t="s">
        <v>1119</v>
      </c>
      <c r="I313" s="9" t="s">
        <v>1120</v>
      </c>
      <c r="J313" s="44">
        <v>10.199999999999999</v>
      </c>
      <c r="K313" s="60">
        <v>8.93</v>
      </c>
      <c r="L313" s="56">
        <v>6.65</v>
      </c>
      <c r="M313" s="14">
        <f>K313-L313</f>
        <v>2.2799999999999994</v>
      </c>
      <c r="N313" s="15">
        <f>IFERROR(M313/K313,0)</f>
        <v>0.25531914893617014</v>
      </c>
      <c r="O313" s="14">
        <f>IFERROR(L313/J313,0)</f>
        <v>0.65196078431372562</v>
      </c>
      <c r="P313" s="14">
        <f>IFERROR(L313/G313,0)</f>
        <v>0.22166666666666629</v>
      </c>
    </row>
    <row r="314" spans="1:18" x14ac:dyDescent="0.3">
      <c r="A314" s="9" t="s">
        <v>927</v>
      </c>
      <c r="B314" s="9" t="s">
        <v>18</v>
      </c>
      <c r="C314" s="9" t="s">
        <v>184</v>
      </c>
      <c r="D314" s="52">
        <v>46104</v>
      </c>
      <c r="E314" s="48">
        <v>0.86249999999999993</v>
      </c>
      <c r="F314" s="48">
        <v>0.87291666666666667</v>
      </c>
      <c r="G314" s="43">
        <f>(F314-E314)*1440</f>
        <v>15.000000000000107</v>
      </c>
      <c r="H314" s="9" t="s">
        <v>1130</v>
      </c>
      <c r="I314" s="9" t="s">
        <v>1131</v>
      </c>
      <c r="J314" s="44">
        <v>4.91</v>
      </c>
      <c r="K314" s="60">
        <v>3.93</v>
      </c>
      <c r="L314" s="56">
        <v>3.22</v>
      </c>
      <c r="M314" s="14">
        <f>K314-L314</f>
        <v>0.71</v>
      </c>
      <c r="N314" s="15">
        <f>IFERROR(M314/K314,0)</f>
        <v>0.18066157760814247</v>
      </c>
      <c r="O314" s="14">
        <f>IFERROR(L314/J314,0)</f>
        <v>0.65580448065173114</v>
      </c>
      <c r="P314" s="14">
        <f>IFERROR(L314/G314,0)</f>
        <v>0.21466666666666515</v>
      </c>
    </row>
    <row r="315" spans="1:18" x14ac:dyDescent="0.3">
      <c r="A315" s="9" t="s">
        <v>926</v>
      </c>
      <c r="B315" s="9" t="s">
        <v>18</v>
      </c>
      <c r="C315" s="9" t="s">
        <v>184</v>
      </c>
      <c r="D315" s="52">
        <v>46104</v>
      </c>
      <c r="E315" s="48">
        <v>0.84236111111111101</v>
      </c>
      <c r="F315" s="48">
        <v>0.85555555555555562</v>
      </c>
      <c r="G315" s="43">
        <f>(F315-E315)*1440</f>
        <v>19.000000000000252</v>
      </c>
      <c r="H315" s="9" t="s">
        <v>550</v>
      </c>
      <c r="I315" s="9" t="s">
        <v>1130</v>
      </c>
      <c r="J315" s="44">
        <v>9.8800000000000008</v>
      </c>
      <c r="K315" s="60">
        <v>6.95</v>
      </c>
      <c r="L315" s="56">
        <v>6.52</v>
      </c>
      <c r="M315" s="14">
        <f>K315-L315</f>
        <v>0.4300000000000006</v>
      </c>
      <c r="N315" s="15">
        <f>IFERROR(M315/K315,0)</f>
        <v>6.1870503597122387E-2</v>
      </c>
      <c r="O315" s="14">
        <f>IFERROR(L315/J315,0)</f>
        <v>0.65991902834008087</v>
      </c>
      <c r="P315" s="14">
        <f>IFERROR(L315/G315,0)</f>
        <v>0.34315789473683755</v>
      </c>
    </row>
    <row r="316" spans="1:18" x14ac:dyDescent="0.3">
      <c r="A316" s="9" t="s">
        <v>933</v>
      </c>
      <c r="B316" s="9" t="s">
        <v>26</v>
      </c>
      <c r="C316" s="9" t="s">
        <v>26</v>
      </c>
      <c r="D316" s="52">
        <v>46104</v>
      </c>
      <c r="E316" s="48">
        <v>0.77361111111111114</v>
      </c>
      <c r="F316" s="48">
        <v>0.78541666666666676</v>
      </c>
      <c r="G316" s="43">
        <f>(F316-E316)*1440</f>
        <v>17.000000000000099</v>
      </c>
      <c r="H316" s="9" t="s">
        <v>1142</v>
      </c>
      <c r="I316" s="9" t="s">
        <v>1143</v>
      </c>
      <c r="J316" s="44">
        <v>9.1</v>
      </c>
      <c r="K316" s="60">
        <v>6.44</v>
      </c>
      <c r="L316" s="56">
        <v>6.04</v>
      </c>
      <c r="M316" s="14">
        <f>K316-L316</f>
        <v>0.40000000000000036</v>
      </c>
      <c r="N316" s="15">
        <f>IFERROR(M316/K316,0)</f>
        <v>6.211180124223608E-2</v>
      </c>
      <c r="O316" s="14">
        <f>IFERROR(L316/J316,0)</f>
        <v>0.66373626373626382</v>
      </c>
      <c r="P316" s="14">
        <f>IFERROR(L316/G316,0)</f>
        <v>0.35529411764705676</v>
      </c>
    </row>
    <row r="317" spans="1:18" x14ac:dyDescent="0.3">
      <c r="A317" s="9" t="s">
        <v>921</v>
      </c>
      <c r="B317" s="9" t="s">
        <v>18</v>
      </c>
      <c r="C317" s="9" t="s">
        <v>184</v>
      </c>
      <c r="D317" s="52">
        <v>46104</v>
      </c>
      <c r="E317" s="48">
        <v>0.67361111111111116</v>
      </c>
      <c r="F317" s="48">
        <v>0.6972222222222223</v>
      </c>
      <c r="G317" s="43">
        <f>(F317-E317)*1440</f>
        <v>34.000000000000043</v>
      </c>
      <c r="H317" s="9" t="s">
        <v>1120</v>
      </c>
      <c r="I317" s="9" t="s">
        <v>1121</v>
      </c>
      <c r="J317" s="44">
        <v>18.399999999999999</v>
      </c>
      <c r="K317" s="60">
        <v>17.95</v>
      </c>
      <c r="L317" s="56">
        <v>12.67</v>
      </c>
      <c r="M317" s="14">
        <f>K317-L317</f>
        <v>5.2799999999999994</v>
      </c>
      <c r="N317" s="15">
        <f>IFERROR(M317/K317,0)</f>
        <v>0.29415041782729801</v>
      </c>
      <c r="O317" s="14">
        <f>IFERROR(L317/J317,0)</f>
        <v>0.68858695652173918</v>
      </c>
      <c r="P317" s="14">
        <f>IFERROR(L317/G317,0)</f>
        <v>0.37264705882352894</v>
      </c>
    </row>
    <row r="318" spans="1:18" x14ac:dyDescent="0.3">
      <c r="A318" s="9" t="s">
        <v>922</v>
      </c>
      <c r="B318" s="9" t="s">
        <v>18</v>
      </c>
      <c r="C318" s="9" t="s">
        <v>184</v>
      </c>
      <c r="D318" s="52">
        <v>46104</v>
      </c>
      <c r="E318" s="48">
        <v>0.75555555555555554</v>
      </c>
      <c r="F318" s="48">
        <v>0.7680555555555556</v>
      </c>
      <c r="G318" s="43">
        <f>(F318-E318)*1440</f>
        <v>18.000000000000096</v>
      </c>
      <c r="H318" s="9" t="s">
        <v>1122</v>
      </c>
      <c r="I318" s="9" t="s">
        <v>1123</v>
      </c>
      <c r="J318" s="44">
        <v>7.38</v>
      </c>
      <c r="K318" s="60">
        <v>6.95</v>
      </c>
      <c r="L318" s="56">
        <v>5.38</v>
      </c>
      <c r="M318" s="14">
        <f>K318-L318</f>
        <v>1.5700000000000003</v>
      </c>
      <c r="N318" s="15">
        <f>IFERROR(M318/K318,0)</f>
        <v>0.2258992805755396</v>
      </c>
      <c r="O318" s="14">
        <f>IFERROR(L318/J318,0)</f>
        <v>0.7289972899728997</v>
      </c>
      <c r="P318" s="14">
        <f>IFERROR(L318/G318,0)</f>
        <v>0.29888888888888732</v>
      </c>
    </row>
    <row r="319" spans="1:18" x14ac:dyDescent="0.3">
      <c r="A319" s="9" t="s">
        <v>928</v>
      </c>
      <c r="B319" s="9" t="s">
        <v>538</v>
      </c>
      <c r="C319" s="9" t="s">
        <v>196</v>
      </c>
      <c r="D319" s="52">
        <v>46104</v>
      </c>
      <c r="E319" s="48">
        <v>0.87708333333333333</v>
      </c>
      <c r="F319" s="48">
        <v>0.8847222222222223</v>
      </c>
      <c r="G319" s="43">
        <f>(F319-E319)*1440</f>
        <v>11.000000000000121</v>
      </c>
      <c r="H319" s="9" t="s">
        <v>1132</v>
      </c>
      <c r="I319" s="9" t="s">
        <v>1133</v>
      </c>
      <c r="J319" s="44">
        <v>4.67</v>
      </c>
      <c r="K319" s="60">
        <v>4.99</v>
      </c>
      <c r="L319" s="56">
        <v>3.68</v>
      </c>
      <c r="M319" s="14">
        <f>K319-L319</f>
        <v>1.31</v>
      </c>
      <c r="N319" s="15">
        <f>IFERROR(M319/K319,0)</f>
        <v>0.26252505010020039</v>
      </c>
      <c r="O319" s="14">
        <f>IFERROR(L319/J319,0)</f>
        <v>0.78800856531049257</v>
      </c>
      <c r="P319" s="14">
        <f>IFERROR(L319/G319,0)</f>
        <v>0.33454545454545087</v>
      </c>
    </row>
    <row r="320" spans="1:18" x14ac:dyDescent="0.3">
      <c r="A320" s="9" t="s">
        <v>931</v>
      </c>
      <c r="B320" s="9" t="s">
        <v>26</v>
      </c>
      <c r="C320" s="9" t="s">
        <v>26</v>
      </c>
      <c r="D320" s="52">
        <v>46104</v>
      </c>
      <c r="E320" s="48">
        <v>0.62361111111111112</v>
      </c>
      <c r="F320" s="48">
        <v>0.64583333333333337</v>
      </c>
      <c r="G320" s="43">
        <f>(F320-E320)*1440</f>
        <v>32.000000000000043</v>
      </c>
      <c r="H320" s="9" t="s">
        <v>1138</v>
      </c>
      <c r="I320" s="9" t="s">
        <v>1139</v>
      </c>
      <c r="J320" s="44">
        <v>12.3</v>
      </c>
      <c r="K320" s="60">
        <v>11.95</v>
      </c>
      <c r="L320" s="56">
        <v>9.86</v>
      </c>
      <c r="M320" s="14">
        <f>K320-L320</f>
        <v>2.09</v>
      </c>
      <c r="N320" s="15">
        <f>IFERROR(M320/K320,0)</f>
        <v>0.17489539748953975</v>
      </c>
      <c r="O320" s="14">
        <f>IFERROR(L320/J320,0)</f>
        <v>0.8016260162601625</v>
      </c>
      <c r="P320" s="14">
        <f>IFERROR(L320/G320,0)</f>
        <v>0.30812499999999959</v>
      </c>
      <c r="R320" s="57">
        <v>2.02</v>
      </c>
    </row>
    <row r="321" spans="1:19" x14ac:dyDescent="0.3">
      <c r="A321" s="9" t="s">
        <v>934</v>
      </c>
      <c r="B321" s="9" t="s">
        <v>18</v>
      </c>
      <c r="C321" s="9" t="s">
        <v>184</v>
      </c>
      <c r="D321" s="52">
        <v>46105</v>
      </c>
      <c r="E321" s="48">
        <v>0.59583333333333333</v>
      </c>
      <c r="F321" s="48">
        <v>0.6118055555555556</v>
      </c>
      <c r="G321" s="43">
        <f>(F321-E321)*1440</f>
        <v>23.000000000000078</v>
      </c>
      <c r="H321" s="9" t="s">
        <v>1144</v>
      </c>
      <c r="I321" s="9" t="s">
        <v>1145</v>
      </c>
      <c r="J321" s="44">
        <v>17.09</v>
      </c>
      <c r="K321" s="60">
        <v>8.9499999999999993</v>
      </c>
      <c r="L321" s="56">
        <v>6.18</v>
      </c>
      <c r="M321" s="14">
        <f>K321-L321</f>
        <v>2.7699999999999996</v>
      </c>
      <c r="N321" s="15">
        <f>IFERROR(M321/K321,0)</f>
        <v>0.30949720670391057</v>
      </c>
      <c r="O321" s="14">
        <f>IFERROR(L321/J321,0)</f>
        <v>0.36161497952018723</v>
      </c>
      <c r="P321" s="14">
        <f>IFERROR(L321/G321,0)</f>
        <v>0.26869565217391211</v>
      </c>
    </row>
    <row r="322" spans="1:19" x14ac:dyDescent="0.3">
      <c r="A322" s="9" t="s">
        <v>941</v>
      </c>
      <c r="B322" s="9" t="s">
        <v>26</v>
      </c>
      <c r="C322" s="9" t="s">
        <v>26</v>
      </c>
      <c r="D322" s="52">
        <v>46105</v>
      </c>
      <c r="E322" s="48">
        <v>0.62361111111111112</v>
      </c>
      <c r="F322" s="48">
        <v>0.63402777777777775</v>
      </c>
      <c r="G322" s="43">
        <f>(F322-E322)*1440</f>
        <v>14.999999999999947</v>
      </c>
      <c r="H322" s="9" t="s">
        <v>1152</v>
      </c>
      <c r="I322" s="9" t="s">
        <v>1153</v>
      </c>
      <c r="J322" s="44">
        <v>9.4</v>
      </c>
      <c r="K322" s="60">
        <v>5.55</v>
      </c>
      <c r="L322" s="56">
        <v>4.9000000000000004</v>
      </c>
      <c r="M322" s="14">
        <f>K322-L322</f>
        <v>0.64999999999999947</v>
      </c>
      <c r="N322" s="15">
        <f>IFERROR(M322/K322,0)</f>
        <v>0.11711711711711703</v>
      </c>
      <c r="O322" s="14">
        <f>IFERROR(L322/J322,0)</f>
        <v>0.52127659574468088</v>
      </c>
      <c r="P322" s="14">
        <f>IFERROR(L322/G322,0)</f>
        <v>0.32666666666666783</v>
      </c>
    </row>
    <row r="323" spans="1:19" x14ac:dyDescent="0.3">
      <c r="A323" s="9" t="s">
        <v>942</v>
      </c>
      <c r="B323" s="9" t="s">
        <v>26</v>
      </c>
      <c r="C323" s="9" t="s">
        <v>27</v>
      </c>
      <c r="D323" s="52">
        <v>46105</v>
      </c>
      <c r="E323" s="48">
        <v>0.6743055555555556</v>
      </c>
      <c r="F323" s="48">
        <v>0.69374999999999998</v>
      </c>
      <c r="G323" s="43">
        <f>(F323-E323)*1440</f>
        <v>27.999999999999901</v>
      </c>
      <c r="H323" s="9" t="s">
        <v>1154</v>
      </c>
      <c r="I323" s="9" t="s">
        <v>243</v>
      </c>
      <c r="J323" s="44">
        <v>14</v>
      </c>
      <c r="K323" s="60">
        <v>9.77</v>
      </c>
      <c r="L323" s="56">
        <v>7.33</v>
      </c>
      <c r="M323" s="14">
        <f>K323-L323</f>
        <v>2.4399999999999995</v>
      </c>
      <c r="N323" s="15">
        <f>IFERROR(M323/K323,0)</f>
        <v>0.24974411463664276</v>
      </c>
      <c r="O323" s="14">
        <f>IFERROR(L323/J323,0)</f>
        <v>0.52357142857142858</v>
      </c>
      <c r="P323" s="14">
        <f>IFERROR(L323/G323,0)</f>
        <v>0.26178571428571523</v>
      </c>
    </row>
    <row r="324" spans="1:19" x14ac:dyDescent="0.3">
      <c r="A324" s="9" t="s">
        <v>937</v>
      </c>
      <c r="B324" s="9" t="s">
        <v>18</v>
      </c>
      <c r="C324" s="9" t="s">
        <v>184</v>
      </c>
      <c r="D324" s="52">
        <v>46105</v>
      </c>
      <c r="E324" s="48">
        <v>0.73263888888888884</v>
      </c>
      <c r="F324" s="48">
        <v>0.74861111111111101</v>
      </c>
      <c r="G324" s="43">
        <f>(F324-E324)*1440</f>
        <v>22.999999999999918</v>
      </c>
      <c r="H324" s="9" t="s">
        <v>536</v>
      </c>
      <c r="I324" s="9" t="s">
        <v>1148</v>
      </c>
      <c r="J324" s="44">
        <v>12.98</v>
      </c>
      <c r="K324" s="60">
        <v>8.9600000000000009</v>
      </c>
      <c r="L324" s="56">
        <v>7.16</v>
      </c>
      <c r="M324" s="14">
        <f>K324-L324</f>
        <v>1.8000000000000007</v>
      </c>
      <c r="N324" s="15">
        <f>IFERROR(M324/K324,0)</f>
        <v>0.20089285714285721</v>
      </c>
      <c r="O324" s="14">
        <f>IFERROR(L324/J324,0)</f>
        <v>0.55161787365177195</v>
      </c>
      <c r="P324" s="14">
        <f>IFERROR(L324/G324,0)</f>
        <v>0.31130434782608807</v>
      </c>
    </row>
    <row r="325" spans="1:19" x14ac:dyDescent="0.3">
      <c r="A325" s="9" t="s">
        <v>943</v>
      </c>
      <c r="B325" s="9" t="s">
        <v>26</v>
      </c>
      <c r="C325" s="9" t="s">
        <v>27</v>
      </c>
      <c r="D325" s="52">
        <v>46105</v>
      </c>
      <c r="E325" s="48">
        <v>0.81319444444444444</v>
      </c>
      <c r="F325" s="48">
        <v>0.8305555555555556</v>
      </c>
      <c r="G325" s="43">
        <f>(F325-E325)*1440</f>
        <v>25.000000000000071</v>
      </c>
      <c r="H325" s="9" t="s">
        <v>1155</v>
      </c>
      <c r="I325" s="9" t="s">
        <v>1156</v>
      </c>
      <c r="J325" s="44">
        <v>11.1</v>
      </c>
      <c r="K325" s="60">
        <v>8.1999999999999993</v>
      </c>
      <c r="L325" s="56">
        <v>6.15</v>
      </c>
      <c r="M325" s="14">
        <f>K325-L325</f>
        <v>2.0499999999999989</v>
      </c>
      <c r="N325" s="15">
        <f>IFERROR(M325/K325,0)</f>
        <v>0.24999999999999989</v>
      </c>
      <c r="O325" s="14">
        <f>IFERROR(L325/J325,0)</f>
        <v>0.55405405405405406</v>
      </c>
      <c r="P325" s="14">
        <f>IFERROR(L325/G325,0)</f>
        <v>0.2459999999999993</v>
      </c>
    </row>
    <row r="326" spans="1:19" x14ac:dyDescent="0.3">
      <c r="A326" s="9" t="s">
        <v>940</v>
      </c>
      <c r="B326" s="9" t="s">
        <v>538</v>
      </c>
      <c r="C326" s="9" t="s">
        <v>184</v>
      </c>
      <c r="D326" s="52">
        <v>46105</v>
      </c>
      <c r="E326" s="48">
        <v>0.79722222222222217</v>
      </c>
      <c r="F326" s="48">
        <v>0.80763888888888891</v>
      </c>
      <c r="G326" s="43">
        <f>(F326-E326)*1440</f>
        <v>15.000000000000107</v>
      </c>
      <c r="H326" s="9" t="s">
        <v>826</v>
      </c>
      <c r="I326" s="9" t="s">
        <v>1151</v>
      </c>
      <c r="J326" s="44">
        <v>10.26</v>
      </c>
      <c r="K326" s="60">
        <v>8.9600000000000009</v>
      </c>
      <c r="L326" s="56">
        <v>6.53</v>
      </c>
      <c r="M326" s="14">
        <f>K326-L326</f>
        <v>2.4300000000000006</v>
      </c>
      <c r="N326" s="15">
        <f>IFERROR(M326/K326,0)</f>
        <v>0.27120535714285721</v>
      </c>
      <c r="O326" s="14">
        <f>IFERROR(L326/J326,0)</f>
        <v>0.6364522417153996</v>
      </c>
      <c r="P326" s="14">
        <f>IFERROR(L326/G326,0)</f>
        <v>0.43533333333333024</v>
      </c>
    </row>
    <row r="327" spans="1:19" x14ac:dyDescent="0.3">
      <c r="A327" s="9" t="s">
        <v>939</v>
      </c>
      <c r="B327" s="9" t="s">
        <v>18</v>
      </c>
      <c r="C327" s="9" t="s">
        <v>184</v>
      </c>
      <c r="D327" s="52">
        <v>46105</v>
      </c>
      <c r="E327" s="48">
        <v>0.77500000000000002</v>
      </c>
      <c r="F327" s="48">
        <v>0.7909722222222223</v>
      </c>
      <c r="G327" s="43">
        <f>(F327-E327)*1440</f>
        <v>23.000000000000078</v>
      </c>
      <c r="H327" s="9" t="s">
        <v>1149</v>
      </c>
      <c r="I327" s="9" t="s">
        <v>1150</v>
      </c>
      <c r="J327" s="44">
        <v>10.72</v>
      </c>
      <c r="K327" s="60">
        <v>7.96</v>
      </c>
      <c r="L327" s="56">
        <v>7.51</v>
      </c>
      <c r="M327" s="14">
        <f>K327-L327</f>
        <v>0.45000000000000018</v>
      </c>
      <c r="N327" s="15">
        <f>IFERROR(M327/K327,0)</f>
        <v>5.6532663316582937E-2</v>
      </c>
      <c r="O327" s="14">
        <f>IFERROR(L327/J327,0)</f>
        <v>0.70055970149253721</v>
      </c>
      <c r="P327" s="14">
        <f>IFERROR(L327/G327,0)</f>
        <v>0.32652173913043364</v>
      </c>
    </row>
    <row r="328" spans="1:19" x14ac:dyDescent="0.3">
      <c r="A328" s="9" t="s">
        <v>936</v>
      </c>
      <c r="B328" s="9" t="s">
        <v>538</v>
      </c>
      <c r="C328" s="9" t="s">
        <v>184</v>
      </c>
      <c r="D328" s="52">
        <v>46105</v>
      </c>
      <c r="E328" s="48">
        <v>0.71458333333333324</v>
      </c>
      <c r="F328" s="48">
        <v>0.72499999999999998</v>
      </c>
      <c r="G328" s="43">
        <f>(F328-E328)*1440</f>
        <v>15.000000000000107</v>
      </c>
      <c r="H328" s="9" t="s">
        <v>1147</v>
      </c>
      <c r="I328" s="9" t="s">
        <v>868</v>
      </c>
      <c r="J328" s="44">
        <v>6.81</v>
      </c>
      <c r="K328" s="60">
        <v>5.94</v>
      </c>
      <c r="L328" s="56">
        <v>4.84</v>
      </c>
      <c r="M328" s="14">
        <f>K328-L328</f>
        <v>1.1000000000000005</v>
      </c>
      <c r="N328" s="15">
        <f>IFERROR(M328/K328,0)</f>
        <v>0.18518518518518526</v>
      </c>
      <c r="O328" s="14">
        <f>IFERROR(L328/J328,0)</f>
        <v>0.71071953010278999</v>
      </c>
      <c r="P328" s="14">
        <f>IFERROR(L328/G328,0)</f>
        <v>0.32266666666666438</v>
      </c>
    </row>
    <row r="329" spans="1:19" x14ac:dyDescent="0.3">
      <c r="A329" s="9" t="s">
        <v>938</v>
      </c>
      <c r="B329" s="9" t="s">
        <v>18</v>
      </c>
      <c r="C329" s="9" t="s">
        <v>196</v>
      </c>
      <c r="D329" s="52">
        <v>46105</v>
      </c>
      <c r="E329" s="48">
        <v>0.76041666666666663</v>
      </c>
      <c r="F329" s="48">
        <v>0.76944444444444438</v>
      </c>
      <c r="G329" s="43">
        <f>(F329-E329)*1440</f>
        <v>12.999999999999954</v>
      </c>
      <c r="H329" s="9" t="s">
        <v>1148</v>
      </c>
      <c r="I329" s="9" t="s">
        <v>550</v>
      </c>
      <c r="J329" s="44">
        <v>7.48</v>
      </c>
      <c r="K329" s="60">
        <v>6.98</v>
      </c>
      <c r="L329" s="56">
        <v>5.54</v>
      </c>
      <c r="M329" s="14">
        <f>K329-L329</f>
        <v>1.4400000000000004</v>
      </c>
      <c r="N329" s="15">
        <f>IFERROR(M329/K329,0)</f>
        <v>0.20630372492836679</v>
      </c>
      <c r="O329" s="14">
        <f>IFERROR(L329/J329,0)</f>
        <v>0.74064171122994649</v>
      </c>
      <c r="P329" s="14">
        <f>IFERROR(L329/G329,0)</f>
        <v>0.42615384615384766</v>
      </c>
    </row>
    <row r="330" spans="1:19" x14ac:dyDescent="0.3">
      <c r="A330" s="9" t="s">
        <v>935</v>
      </c>
      <c r="B330" s="9" t="s">
        <v>538</v>
      </c>
      <c r="C330" s="9" t="s">
        <v>184</v>
      </c>
      <c r="D330" s="52">
        <v>46105</v>
      </c>
      <c r="E330" s="48">
        <v>0.65555555555555556</v>
      </c>
      <c r="F330" s="48">
        <v>0.66597222222222219</v>
      </c>
      <c r="G330" s="43">
        <f>(F330-E330)*1440</f>
        <v>14.999999999999947</v>
      </c>
      <c r="H330" s="9" t="s">
        <v>1120</v>
      </c>
      <c r="I330" s="9" t="s">
        <v>1146</v>
      </c>
      <c r="J330" s="44">
        <v>2.9</v>
      </c>
      <c r="K330" s="60">
        <v>6.93</v>
      </c>
      <c r="L330" s="56">
        <v>5.1100000000000003</v>
      </c>
      <c r="M330" s="14">
        <f>K330-L330</f>
        <v>1.8199999999999994</v>
      </c>
      <c r="N330" s="15">
        <f>IFERROR(M330/K330,0)</f>
        <v>0.26262626262626254</v>
      </c>
      <c r="O330" s="14">
        <f>IFERROR(L330/J330,0)</f>
        <v>1.7620689655172415</v>
      </c>
      <c r="P330" s="14">
        <f>IFERROR(L330/G330,0)</f>
        <v>0.34066666666666789</v>
      </c>
    </row>
    <row r="331" spans="1:19" x14ac:dyDescent="0.3">
      <c r="A331" s="9" t="s">
        <v>954</v>
      </c>
      <c r="B331" s="9" t="s">
        <v>18</v>
      </c>
      <c r="C331" s="9" t="s">
        <v>184</v>
      </c>
      <c r="D331" s="52">
        <v>46107</v>
      </c>
      <c r="E331" s="48">
        <v>0.66875000000000007</v>
      </c>
      <c r="F331" s="48">
        <v>0.68402777777777779</v>
      </c>
      <c r="G331" s="43">
        <f>(F331-E331)*1440</f>
        <v>21.999999999999922</v>
      </c>
      <c r="H331" s="9" t="s">
        <v>1124</v>
      </c>
      <c r="I331" s="9" t="s">
        <v>582</v>
      </c>
      <c r="J331" s="44">
        <v>17.649999999999999</v>
      </c>
      <c r="K331" s="60">
        <v>10.94</v>
      </c>
      <c r="L331" s="56">
        <v>7.19</v>
      </c>
      <c r="M331" s="14">
        <f>K331-L331</f>
        <v>3.7499999999999991</v>
      </c>
      <c r="N331" s="15">
        <f>IFERROR(M331/K331,0)</f>
        <v>0.34277879341864709</v>
      </c>
      <c r="O331" s="14">
        <f>IFERROR(L331/J331,0)</f>
        <v>0.40736543909348449</v>
      </c>
      <c r="P331" s="14">
        <f>IFERROR(L331/G331,0)</f>
        <v>0.32681818181818301</v>
      </c>
    </row>
    <row r="332" spans="1:19" x14ac:dyDescent="0.3">
      <c r="A332" s="9" t="s">
        <v>945</v>
      </c>
      <c r="B332" s="9" t="s">
        <v>26</v>
      </c>
      <c r="C332" s="9" t="s">
        <v>27</v>
      </c>
      <c r="D332" s="52">
        <v>46107</v>
      </c>
      <c r="E332" s="48">
        <v>0.6333333333333333</v>
      </c>
      <c r="F332" s="48">
        <v>0.64444444444444449</v>
      </c>
      <c r="G332" s="43">
        <f>(F332-E332)*1440</f>
        <v>16.000000000000103</v>
      </c>
      <c r="H332" s="9" t="s">
        <v>1158</v>
      </c>
      <c r="I332" s="9" t="s">
        <v>1159</v>
      </c>
      <c r="J332" s="44">
        <v>10.5</v>
      </c>
      <c r="K332" s="60">
        <v>6.72</v>
      </c>
      <c r="L332" s="56">
        <v>5.04</v>
      </c>
      <c r="M332" s="14">
        <f>K332-L332</f>
        <v>1.6799999999999997</v>
      </c>
      <c r="N332" s="15">
        <f>IFERROR(M332/K332,0)</f>
        <v>0.24999999999999997</v>
      </c>
      <c r="O332" s="14">
        <f>IFERROR(L332/J332,0)</f>
        <v>0.48</v>
      </c>
      <c r="P332" s="14">
        <f>IFERROR(L332/G332,0)</f>
        <v>0.31499999999999795</v>
      </c>
    </row>
    <row r="333" spans="1:19" x14ac:dyDescent="0.3">
      <c r="A333" s="9" t="s">
        <v>953</v>
      </c>
      <c r="B333" s="9" t="s">
        <v>538</v>
      </c>
      <c r="C333" s="9" t="s">
        <v>184</v>
      </c>
      <c r="D333" s="52">
        <v>46107</v>
      </c>
      <c r="E333" s="48">
        <v>0.60902777777777783</v>
      </c>
      <c r="F333" s="48">
        <v>0.62013888888888891</v>
      </c>
      <c r="G333" s="43">
        <f>(F333-E333)*1440</f>
        <v>15.999999999999943</v>
      </c>
      <c r="H333" s="9" t="s">
        <v>1169</v>
      </c>
      <c r="I333" s="9" t="s">
        <v>1170</v>
      </c>
      <c r="J333" s="44">
        <v>11.56</v>
      </c>
      <c r="K333" s="60">
        <v>6.94</v>
      </c>
      <c r="L333" s="56">
        <v>5.73</v>
      </c>
      <c r="M333" s="14">
        <f>K333-L333</f>
        <v>1.21</v>
      </c>
      <c r="N333" s="15">
        <f>IFERROR(M333/K333,0)</f>
        <v>0.1743515850144092</v>
      </c>
      <c r="O333" s="14">
        <f>IFERROR(L333/J333,0)</f>
        <v>0.49567474048442905</v>
      </c>
      <c r="P333" s="14">
        <f>IFERROR(L333/G333,0)</f>
        <v>0.3581250000000013</v>
      </c>
      <c r="S333" s="61">
        <v>1</v>
      </c>
    </row>
    <row r="334" spans="1:19" x14ac:dyDescent="0.3">
      <c r="A334" s="9" t="s">
        <v>956</v>
      </c>
      <c r="B334" s="9" t="s">
        <v>18</v>
      </c>
      <c r="C334" s="9" t="s">
        <v>184</v>
      </c>
      <c r="D334" s="52">
        <v>46107</v>
      </c>
      <c r="E334" s="48">
        <v>0.84305555555555556</v>
      </c>
      <c r="F334" s="48">
        <v>0.85486111111111107</v>
      </c>
      <c r="G334" s="43">
        <f>(F334-E334)*1440</f>
        <v>16.99999999999994</v>
      </c>
      <c r="H334" s="9" t="s">
        <v>1172</v>
      </c>
      <c r="I334" s="9" t="s">
        <v>1173</v>
      </c>
      <c r="J334" s="44">
        <v>9.49</v>
      </c>
      <c r="K334" s="60">
        <v>5.98</v>
      </c>
      <c r="L334" s="56">
        <v>5.0999999999999996</v>
      </c>
      <c r="M334" s="14">
        <f>K334-L334</f>
        <v>0.88000000000000078</v>
      </c>
      <c r="N334" s="15">
        <f>IFERROR(M334/K334,0)</f>
        <v>0.14715719063545163</v>
      </c>
      <c r="O334" s="14">
        <f>IFERROR(L334/J334,0)</f>
        <v>0.53740779768177027</v>
      </c>
      <c r="P334" s="14">
        <f>IFERROR(L334/G334,0)</f>
        <v>0.30000000000000104</v>
      </c>
    </row>
    <row r="335" spans="1:19" x14ac:dyDescent="0.3">
      <c r="A335" s="9" t="s">
        <v>949</v>
      </c>
      <c r="B335" s="9" t="s">
        <v>26</v>
      </c>
      <c r="C335" s="9" t="s">
        <v>27</v>
      </c>
      <c r="D335" s="52">
        <v>46107</v>
      </c>
      <c r="E335" s="48">
        <v>0.8027777777777777</v>
      </c>
      <c r="F335" s="48">
        <v>0.81805555555555554</v>
      </c>
      <c r="G335" s="43">
        <f>(F335-E335)*1440</f>
        <v>22.000000000000082</v>
      </c>
      <c r="H335" s="9" t="s">
        <v>1164</v>
      </c>
      <c r="I335" s="9" t="s">
        <v>617</v>
      </c>
      <c r="J335" s="44">
        <v>11.4</v>
      </c>
      <c r="K335" s="60">
        <v>7.61</v>
      </c>
      <c r="L335" s="56">
        <v>6.28</v>
      </c>
      <c r="M335" s="14">
        <f>K335-L335</f>
        <v>1.33</v>
      </c>
      <c r="N335" s="15">
        <f>IFERROR(M335/K335,0)</f>
        <v>0.17477003942181341</v>
      </c>
      <c r="O335" s="14">
        <f>IFERROR(L335/J335,0)</f>
        <v>0.55087719298245619</v>
      </c>
      <c r="P335" s="14">
        <f>IFERROR(L335/G335,0)</f>
        <v>0.28545454545454441</v>
      </c>
    </row>
    <row r="336" spans="1:19" x14ac:dyDescent="0.3">
      <c r="A336" s="9" t="s">
        <v>947</v>
      </c>
      <c r="B336" s="9" t="s">
        <v>26</v>
      </c>
      <c r="C336" s="9" t="s">
        <v>26</v>
      </c>
      <c r="D336" s="52">
        <v>46107</v>
      </c>
      <c r="E336" s="48">
        <v>0.69444444444444453</v>
      </c>
      <c r="F336" s="48">
        <v>0.70972222222222225</v>
      </c>
      <c r="G336" s="43">
        <f>(F336-E336)*1440</f>
        <v>21.999999999999922</v>
      </c>
      <c r="H336" s="9" t="s">
        <v>1161</v>
      </c>
      <c r="I336" s="9" t="s">
        <v>1162</v>
      </c>
      <c r="J336" s="44">
        <v>10.6</v>
      </c>
      <c r="K336" s="60">
        <v>5.65</v>
      </c>
      <c r="L336" s="56">
        <v>6.05</v>
      </c>
      <c r="M336" s="14">
        <f>K336-L336</f>
        <v>-0.39999999999999947</v>
      </c>
      <c r="N336" s="15">
        <f>IFERROR(M336/K336,0)</f>
        <v>-7.0796460176991052E-2</v>
      </c>
      <c r="O336" s="14">
        <f>IFERROR(L336/J336,0)</f>
        <v>0.57075471698113212</v>
      </c>
      <c r="P336" s="14">
        <f>IFERROR(L336/G336,0)</f>
        <v>0.27500000000000097</v>
      </c>
    </row>
    <row r="337" spans="1:19" x14ac:dyDescent="0.3">
      <c r="A337" s="9" t="s">
        <v>946</v>
      </c>
      <c r="B337" s="9" t="s">
        <v>26</v>
      </c>
      <c r="C337" s="9" t="s">
        <v>27</v>
      </c>
      <c r="D337" s="52">
        <v>46107</v>
      </c>
      <c r="E337" s="48">
        <v>0.65625</v>
      </c>
      <c r="F337" s="48">
        <v>0.6694444444444444</v>
      </c>
      <c r="G337" s="43">
        <f>(F337-E337)*1440</f>
        <v>18.999999999999932</v>
      </c>
      <c r="H337" s="9" t="s">
        <v>1160</v>
      </c>
      <c r="I337" s="9" t="s">
        <v>273</v>
      </c>
      <c r="J337" s="44">
        <v>11.2</v>
      </c>
      <c r="K337" s="60">
        <v>8.68</v>
      </c>
      <c r="L337" s="56">
        <v>6.51</v>
      </c>
      <c r="M337" s="14">
        <f>K337-L337</f>
        <v>2.17</v>
      </c>
      <c r="N337" s="15">
        <f>IFERROR(M337/K337,0)</f>
        <v>0.25</v>
      </c>
      <c r="O337" s="14">
        <f>IFERROR(L337/J337,0)</f>
        <v>0.58125000000000004</v>
      </c>
      <c r="P337" s="14">
        <f>IFERROR(L337/G337,0)</f>
        <v>0.34263157894736962</v>
      </c>
    </row>
    <row r="338" spans="1:19" x14ac:dyDescent="0.3">
      <c r="A338" s="9" t="s">
        <v>951</v>
      </c>
      <c r="B338" s="9" t="s">
        <v>26</v>
      </c>
      <c r="C338" s="9" t="s">
        <v>26</v>
      </c>
      <c r="D338" s="52">
        <v>46107</v>
      </c>
      <c r="E338" s="48">
        <v>0.83194444444444438</v>
      </c>
      <c r="F338" s="48">
        <v>0.84444444444444444</v>
      </c>
      <c r="G338" s="43">
        <f>(F338-E338)*1440</f>
        <v>18.000000000000096</v>
      </c>
      <c r="H338" s="9" t="s">
        <v>1120</v>
      </c>
      <c r="I338" s="9" t="s">
        <v>1167</v>
      </c>
      <c r="J338" s="44">
        <v>14.2</v>
      </c>
      <c r="K338" s="60">
        <v>8.67</v>
      </c>
      <c r="L338" s="56">
        <v>9.9700000000000006</v>
      </c>
      <c r="M338" s="14">
        <f>K338-L338</f>
        <v>-1.3000000000000007</v>
      </c>
      <c r="N338" s="15">
        <f>IFERROR(M338/K338,0)</f>
        <v>-0.14994232987312581</v>
      </c>
      <c r="O338" s="14">
        <f>IFERROR(L338/J338,0)</f>
        <v>0.70211267605633809</v>
      </c>
      <c r="P338" s="14">
        <f>IFERROR(L338/G338,0)</f>
        <v>0.55388888888888599</v>
      </c>
      <c r="S338" s="61">
        <v>1.36</v>
      </c>
    </row>
    <row r="339" spans="1:19" x14ac:dyDescent="0.3">
      <c r="A339" s="9" t="s">
        <v>955</v>
      </c>
      <c r="B339" s="9" t="s">
        <v>18</v>
      </c>
      <c r="C339" s="9" t="s">
        <v>184</v>
      </c>
      <c r="D339" s="52">
        <v>46107</v>
      </c>
      <c r="E339" s="48">
        <v>0.73749999999999993</v>
      </c>
      <c r="F339" s="48">
        <v>0.7631944444444444</v>
      </c>
      <c r="G339" s="43">
        <f>(F339-E339)*1440</f>
        <v>37.000000000000028</v>
      </c>
      <c r="H339" s="9" t="s">
        <v>1120</v>
      </c>
      <c r="I339" s="9" t="s">
        <v>1171</v>
      </c>
      <c r="J339" s="44">
        <v>16.03</v>
      </c>
      <c r="K339" s="60">
        <v>18.95</v>
      </c>
      <c r="L339" s="56">
        <v>11.63</v>
      </c>
      <c r="M339" s="14">
        <f>K339-L339</f>
        <v>7.3199999999999985</v>
      </c>
      <c r="N339" s="15">
        <f>IFERROR(M339/K339,0)</f>
        <v>0.38627968337730867</v>
      </c>
      <c r="O339" s="14">
        <f>IFERROR(L339/J339,0)</f>
        <v>0.72551466001247655</v>
      </c>
      <c r="P339" s="14">
        <f>IFERROR(L339/G339,0)</f>
        <v>0.31432432432432411</v>
      </c>
    </row>
    <row r="340" spans="1:19" x14ac:dyDescent="0.3">
      <c r="A340" s="9" t="s">
        <v>948</v>
      </c>
      <c r="B340" s="9" t="s">
        <v>26</v>
      </c>
      <c r="C340" s="9" t="s">
        <v>26</v>
      </c>
      <c r="D340" s="52">
        <v>46107</v>
      </c>
      <c r="E340" s="48">
        <v>0.71180555555555547</v>
      </c>
      <c r="F340" s="48">
        <v>0.7368055555555556</v>
      </c>
      <c r="G340" s="43">
        <f>(F340-E340)*1440</f>
        <v>36.000000000000192</v>
      </c>
      <c r="H340" s="9" t="s">
        <v>1163</v>
      </c>
      <c r="I340" s="9" t="s">
        <v>1120</v>
      </c>
      <c r="J340" s="44">
        <v>12.1</v>
      </c>
      <c r="K340" s="60">
        <v>12.03</v>
      </c>
      <c r="L340" s="56">
        <v>9.02</v>
      </c>
      <c r="M340" s="14">
        <f>K340-L340</f>
        <v>3.01</v>
      </c>
      <c r="N340" s="15">
        <f>IFERROR(M340/K340,0)</f>
        <v>0.25020781379883622</v>
      </c>
      <c r="O340" s="14">
        <f>IFERROR(L340/J340,0)</f>
        <v>0.74545454545454548</v>
      </c>
      <c r="P340" s="14">
        <f>IFERROR(L340/G340,0)</f>
        <v>0.2505555555555542</v>
      </c>
      <c r="R340" s="57">
        <v>1.1200000000000001</v>
      </c>
    </row>
    <row r="341" spans="1:19" x14ac:dyDescent="0.3">
      <c r="A341" s="9" t="s">
        <v>944</v>
      </c>
      <c r="B341" s="9" t="s">
        <v>26</v>
      </c>
      <c r="C341" s="9" t="s">
        <v>26</v>
      </c>
      <c r="D341" s="52">
        <v>46107</v>
      </c>
      <c r="E341" s="48">
        <v>0.59652777777777777</v>
      </c>
      <c r="F341" s="48">
        <v>0.6069444444444444</v>
      </c>
      <c r="G341" s="43">
        <f>(F341-E341)*1440</f>
        <v>14.999999999999947</v>
      </c>
      <c r="H341" s="9" t="s">
        <v>531</v>
      </c>
      <c r="I341" s="9" t="s">
        <v>1157</v>
      </c>
      <c r="J341" s="44">
        <v>4.9000000000000004</v>
      </c>
      <c r="K341" s="60">
        <v>3.9</v>
      </c>
      <c r="L341" s="56">
        <v>4.18</v>
      </c>
      <c r="M341" s="14">
        <f>K341-L341</f>
        <v>-0.2799999999999998</v>
      </c>
      <c r="N341" s="15">
        <f>IFERROR(M341/K341,0)</f>
        <v>-7.1794871794871748E-2</v>
      </c>
      <c r="O341" s="14">
        <f>IFERROR(L341/J341,0)</f>
        <v>0.85306122448979582</v>
      </c>
      <c r="P341" s="14">
        <f>IFERROR(L341/G341,0)</f>
        <v>0.27866666666666762</v>
      </c>
    </row>
    <row r="342" spans="1:19" x14ac:dyDescent="0.3">
      <c r="A342" s="9" t="s">
        <v>950</v>
      </c>
      <c r="B342" s="67" t="s">
        <v>26</v>
      </c>
      <c r="C342" s="9" t="s">
        <v>26</v>
      </c>
      <c r="D342" s="52">
        <v>46107</v>
      </c>
      <c r="E342" s="48">
        <v>0.82013888888888886</v>
      </c>
      <c r="F342" s="48">
        <v>0.82847222222222217</v>
      </c>
      <c r="G342" s="43">
        <f>(F342-E342)*1440</f>
        <v>11.999999999999957</v>
      </c>
      <c r="H342" s="9" t="s">
        <v>1165</v>
      </c>
      <c r="I342" s="9" t="s">
        <v>1166</v>
      </c>
      <c r="J342" s="44">
        <v>5.0999999999999996</v>
      </c>
      <c r="K342" s="60">
        <v>5.63</v>
      </c>
      <c r="L342" s="56">
        <v>4.6399999999999997</v>
      </c>
      <c r="M342" s="14">
        <f>K342-L342</f>
        <v>0.99000000000000021</v>
      </c>
      <c r="N342" s="15">
        <f>IFERROR(M342/K342,0)</f>
        <v>0.17584369449378334</v>
      </c>
      <c r="O342" s="14">
        <f>IFERROR(L342/J342,0)</f>
        <v>0.90980392156862744</v>
      </c>
      <c r="P342" s="14">
        <f>IFERROR(L342/G342,0)</f>
        <v>0.38666666666666799</v>
      </c>
      <c r="R342" s="57">
        <v>0.52</v>
      </c>
    </row>
    <row r="343" spans="1:19" x14ac:dyDescent="0.3">
      <c r="A343" s="9" t="s">
        <v>952</v>
      </c>
      <c r="B343" s="9" t="s">
        <v>538</v>
      </c>
      <c r="C343" s="9" t="s">
        <v>184</v>
      </c>
      <c r="D343" s="52">
        <v>46107</v>
      </c>
      <c r="E343" s="48">
        <v>0.58680555555555558</v>
      </c>
      <c r="F343" s="48">
        <v>0.59236111111111112</v>
      </c>
      <c r="G343" s="43">
        <f>(F343-E343)*1440</f>
        <v>7.9999999999999716</v>
      </c>
      <c r="H343" s="9" t="s">
        <v>1168</v>
      </c>
      <c r="I343" s="9" t="s">
        <v>604</v>
      </c>
      <c r="J343" s="44">
        <v>2.8</v>
      </c>
      <c r="K343" s="60">
        <v>3.95</v>
      </c>
      <c r="L343" s="56">
        <v>2.93</v>
      </c>
      <c r="M343" s="14">
        <f>K343-L343</f>
        <v>1.02</v>
      </c>
      <c r="N343" s="15">
        <f>IFERROR(M343/K343,0)</f>
        <v>0.25822784810126581</v>
      </c>
      <c r="O343" s="14">
        <f>IFERROR(L343/J343,0)</f>
        <v>1.0464285714285715</v>
      </c>
      <c r="P343" s="14">
        <f>IFERROR(L343/G343,0)</f>
        <v>0.3662500000000013</v>
      </c>
    </row>
    <row r="344" spans="1:19" x14ac:dyDescent="0.3">
      <c r="A344" s="9" t="s">
        <v>957</v>
      </c>
      <c r="B344" s="9" t="s">
        <v>538</v>
      </c>
      <c r="C344" s="9" t="s">
        <v>184</v>
      </c>
      <c r="D344" s="52">
        <v>46108</v>
      </c>
      <c r="E344" s="48">
        <v>0.50208333333333333</v>
      </c>
      <c r="F344" s="48">
        <v>0.52569444444444446</v>
      </c>
      <c r="G344" s="43">
        <f>(F344-E344)*1440</f>
        <v>34.000000000000043</v>
      </c>
      <c r="H344" s="9" t="s">
        <v>1174</v>
      </c>
      <c r="I344" s="9" t="s">
        <v>1175</v>
      </c>
      <c r="J344" s="44">
        <v>27.99</v>
      </c>
      <c r="K344" s="60">
        <v>15.93</v>
      </c>
      <c r="L344" s="56">
        <v>10.58</v>
      </c>
      <c r="M344" s="14">
        <f>K344-L344</f>
        <v>5.35</v>
      </c>
      <c r="N344" s="15">
        <f>IFERROR(M344/K344,0)</f>
        <v>0.33584431889516636</v>
      </c>
      <c r="O344" s="14">
        <f>IFERROR(L344/J344,0)</f>
        <v>0.37799214005001791</v>
      </c>
      <c r="P344" s="14">
        <f>IFERROR(L344/G344,0)</f>
        <v>0.31117647058823489</v>
      </c>
    </row>
    <row r="345" spans="1:19" x14ac:dyDescent="0.3">
      <c r="A345" s="9" t="s">
        <v>958</v>
      </c>
      <c r="B345" s="9" t="s">
        <v>18</v>
      </c>
      <c r="C345" s="9" t="s">
        <v>184</v>
      </c>
      <c r="D345" s="52">
        <v>46108</v>
      </c>
      <c r="E345" s="48">
        <v>0.53125</v>
      </c>
      <c r="F345" s="48">
        <v>0.54375000000000007</v>
      </c>
      <c r="G345" s="43">
        <f>(F345-E345)*1440</f>
        <v>18.000000000000096</v>
      </c>
      <c r="H345" s="9" t="s">
        <v>1176</v>
      </c>
      <c r="I345" s="9" t="s">
        <v>1177</v>
      </c>
      <c r="J345" s="44">
        <v>19.04</v>
      </c>
      <c r="K345" s="60">
        <v>11.95</v>
      </c>
      <c r="L345" s="56">
        <v>7.77</v>
      </c>
      <c r="M345" s="14">
        <f>K345-L345</f>
        <v>4.18</v>
      </c>
      <c r="N345" s="15">
        <f>IFERROR(M345/K345,0)</f>
        <v>0.3497907949790795</v>
      </c>
      <c r="O345" s="14">
        <f>IFERROR(L345/J345,0)</f>
        <v>0.40808823529411764</v>
      </c>
      <c r="P345" s="14">
        <f>IFERROR(L345/G345,0)</f>
        <v>0.43166666666666437</v>
      </c>
    </row>
    <row r="346" spans="1:19" x14ac:dyDescent="0.3">
      <c r="A346" s="9" t="s">
        <v>970</v>
      </c>
      <c r="B346" s="9" t="s">
        <v>26</v>
      </c>
      <c r="C346" s="9" t="s">
        <v>27</v>
      </c>
      <c r="D346" s="52">
        <v>46108</v>
      </c>
      <c r="E346" s="48">
        <v>0.80625000000000002</v>
      </c>
      <c r="F346" s="48">
        <v>0.8256944444444444</v>
      </c>
      <c r="G346" s="43">
        <f>(F346-E346)*1440</f>
        <v>27.999999999999901</v>
      </c>
      <c r="H346" s="9" t="s">
        <v>1191</v>
      </c>
      <c r="I346" s="9" t="s">
        <v>1192</v>
      </c>
      <c r="J346" s="44">
        <v>21.5</v>
      </c>
      <c r="K346" s="60">
        <v>10.23</v>
      </c>
      <c r="L346" s="56">
        <v>10.55</v>
      </c>
      <c r="M346" s="14">
        <f>K346-L346</f>
        <v>-0.32000000000000028</v>
      </c>
      <c r="N346" s="15">
        <f>IFERROR(M346/K346,0)</f>
        <v>-3.1280547409579695E-2</v>
      </c>
      <c r="O346" s="14">
        <f>IFERROR(L346/J346,0)</f>
        <v>0.49069767441860468</v>
      </c>
      <c r="P346" s="14">
        <f>IFERROR(L346/G346,0)</f>
        <v>0.37678571428571567</v>
      </c>
    </row>
    <row r="347" spans="1:19" x14ac:dyDescent="0.3">
      <c r="A347" s="9" t="s">
        <v>965</v>
      </c>
      <c r="B347" s="9" t="s">
        <v>26</v>
      </c>
      <c r="C347" s="9" t="s">
        <v>27</v>
      </c>
      <c r="D347" s="52">
        <v>46108</v>
      </c>
      <c r="E347" s="48">
        <v>0.63402777777777775</v>
      </c>
      <c r="F347" s="48">
        <v>0.65625</v>
      </c>
      <c r="G347" s="43">
        <f>(F347-E347)*1440</f>
        <v>32.000000000000043</v>
      </c>
      <c r="H347" s="9" t="s">
        <v>1187</v>
      </c>
      <c r="I347" s="9" t="s">
        <v>1120</v>
      </c>
      <c r="J347" s="44">
        <v>12.9</v>
      </c>
      <c r="K347" s="60">
        <v>9.59</v>
      </c>
      <c r="L347" s="56">
        <v>7.19</v>
      </c>
      <c r="M347" s="14">
        <f>K347-L347</f>
        <v>2.3999999999999995</v>
      </c>
      <c r="N347" s="15">
        <f>IFERROR(M347/K347,0)</f>
        <v>0.25026068821689257</v>
      </c>
      <c r="O347" s="14">
        <f>IFERROR(L347/J347,0)</f>
        <v>0.55736434108527133</v>
      </c>
      <c r="P347" s="14">
        <f>IFERROR(L347/G347,0)</f>
        <v>0.22468749999999971</v>
      </c>
    </row>
    <row r="348" spans="1:19" x14ac:dyDescent="0.3">
      <c r="A348" s="9" t="s">
        <v>959</v>
      </c>
      <c r="B348" s="9" t="s">
        <v>18</v>
      </c>
      <c r="C348" s="9" t="s">
        <v>196</v>
      </c>
      <c r="D348" s="52">
        <v>46108</v>
      </c>
      <c r="E348" s="48">
        <v>0.54722222222222217</v>
      </c>
      <c r="F348" s="48">
        <v>0.56041666666666667</v>
      </c>
      <c r="G348" s="43">
        <f>(F348-E348)*1440</f>
        <v>19.000000000000092</v>
      </c>
      <c r="H348" s="9" t="s">
        <v>1178</v>
      </c>
      <c r="I348" s="9" t="s">
        <v>1120</v>
      </c>
      <c r="J348" s="44">
        <v>10.69</v>
      </c>
      <c r="K348" s="60">
        <v>8.98</v>
      </c>
      <c r="L348" s="56">
        <v>5.98</v>
      </c>
      <c r="M348" s="14">
        <f>K348-L348</f>
        <v>3</v>
      </c>
      <c r="N348" s="15">
        <f>IFERROR(M348/K348,0)</f>
        <v>0.33407572383073497</v>
      </c>
      <c r="O348" s="14">
        <f>IFERROR(L348/J348,0)</f>
        <v>0.55940130963517309</v>
      </c>
      <c r="P348" s="14">
        <f>IFERROR(L348/G348,0)</f>
        <v>0.31473684210526165</v>
      </c>
    </row>
    <row r="349" spans="1:19" x14ac:dyDescent="0.3">
      <c r="A349" s="9" t="s">
        <v>971</v>
      </c>
      <c r="B349" s="9" t="s">
        <v>26</v>
      </c>
      <c r="C349" s="9" t="s">
        <v>27</v>
      </c>
      <c r="D349" s="52">
        <v>46108</v>
      </c>
      <c r="E349" s="48">
        <v>0.83194444444444438</v>
      </c>
      <c r="F349" s="48">
        <v>0.85069444444444453</v>
      </c>
      <c r="G349" s="43">
        <f>(F349-E349)*1440</f>
        <v>27.000000000000224</v>
      </c>
      <c r="H349" s="9" t="s">
        <v>1193</v>
      </c>
      <c r="I349" s="9" t="s">
        <v>1194</v>
      </c>
      <c r="J349" s="44">
        <v>22.1</v>
      </c>
      <c r="K349" s="60">
        <v>16.489999999999998</v>
      </c>
      <c r="L349" s="56">
        <v>13.02</v>
      </c>
      <c r="M349" s="14">
        <f>K349-L349</f>
        <v>3.4699999999999989</v>
      </c>
      <c r="N349" s="15">
        <f>IFERROR(M349/K349,0)</f>
        <v>0.21043056397816853</v>
      </c>
      <c r="O349" s="14">
        <f>IFERROR(L349/J349,0)</f>
        <v>0.58914027149321258</v>
      </c>
      <c r="P349" s="14">
        <f>IFERROR(L349/G349,0)</f>
        <v>0.48222222222221822</v>
      </c>
      <c r="S349" s="61">
        <v>2.63</v>
      </c>
    </row>
    <row r="350" spans="1:19" x14ac:dyDescent="0.3">
      <c r="A350" s="9" t="s">
        <v>964</v>
      </c>
      <c r="B350" s="9" t="s">
        <v>26</v>
      </c>
      <c r="C350" s="9" t="s">
        <v>26</v>
      </c>
      <c r="D350" s="52">
        <v>46108</v>
      </c>
      <c r="E350" s="48">
        <v>0.61944444444444446</v>
      </c>
      <c r="F350" s="48">
        <v>0.62986111111111109</v>
      </c>
      <c r="G350" s="43">
        <f>(F350-E350)*1440</f>
        <v>14.999999999999947</v>
      </c>
      <c r="H350" s="9" t="s">
        <v>1185</v>
      </c>
      <c r="I350" s="9" t="s">
        <v>1186</v>
      </c>
      <c r="J350" s="44">
        <v>8.1</v>
      </c>
      <c r="K350" s="60">
        <v>4.49</v>
      </c>
      <c r="L350" s="56">
        <v>4.8099999999999996</v>
      </c>
      <c r="M350" s="14">
        <f>K350-L350</f>
        <v>-0.3199999999999994</v>
      </c>
      <c r="N350" s="15">
        <f>IFERROR(M350/K350,0)</f>
        <v>-7.1269487750556651E-2</v>
      </c>
      <c r="O350" s="14">
        <f>IFERROR(L350/J350,0)</f>
        <v>0.59382716049382711</v>
      </c>
      <c r="P350" s="14">
        <f>IFERROR(L350/G350,0)</f>
        <v>0.32066666666666777</v>
      </c>
    </row>
    <row r="351" spans="1:19" x14ac:dyDescent="0.3">
      <c r="A351" s="9" t="s">
        <v>969</v>
      </c>
      <c r="B351" s="9" t="s">
        <v>26</v>
      </c>
      <c r="C351" s="9" t="s">
        <v>27</v>
      </c>
      <c r="D351" s="52">
        <v>46108</v>
      </c>
      <c r="E351" s="48">
        <v>0.74861111111111101</v>
      </c>
      <c r="F351" s="48">
        <v>0.76041666666666663</v>
      </c>
      <c r="G351" s="43">
        <f>(F351-E351)*1440</f>
        <v>17.000000000000099</v>
      </c>
      <c r="H351" s="9" t="s">
        <v>214</v>
      </c>
      <c r="I351" s="9" t="s">
        <v>1190</v>
      </c>
      <c r="J351" s="44">
        <v>9.6</v>
      </c>
      <c r="K351" s="60">
        <v>7.85</v>
      </c>
      <c r="L351" s="56">
        <v>6.48</v>
      </c>
      <c r="M351" s="14">
        <f>K351-L351</f>
        <v>1.3699999999999992</v>
      </c>
      <c r="N351" s="15">
        <f>IFERROR(M351/K351,0)</f>
        <v>0.17452229299363048</v>
      </c>
      <c r="O351" s="14">
        <f>IFERROR(L351/J351,0)</f>
        <v>0.67500000000000004</v>
      </c>
      <c r="P351" s="14">
        <f>IFERROR(L351/G351,0)</f>
        <v>0.38117647058823306</v>
      </c>
    </row>
    <row r="352" spans="1:19" x14ac:dyDescent="0.3">
      <c r="A352" s="9" t="s">
        <v>967</v>
      </c>
      <c r="B352" s="9" t="s">
        <v>26</v>
      </c>
      <c r="C352" s="9" t="s">
        <v>27</v>
      </c>
      <c r="D352" s="52">
        <v>46108</v>
      </c>
      <c r="E352" s="48">
        <v>0.6875</v>
      </c>
      <c r="F352" s="48">
        <v>0.70833333333333337</v>
      </c>
      <c r="G352" s="43">
        <f>(F352-E352)*1440</f>
        <v>30.000000000000053</v>
      </c>
      <c r="H352" s="9" t="s">
        <v>1188</v>
      </c>
      <c r="I352" s="9" t="s">
        <v>706</v>
      </c>
      <c r="J352" s="44">
        <v>7.2</v>
      </c>
      <c r="K352" s="60">
        <v>7.15</v>
      </c>
      <c r="L352" s="56">
        <v>5.36</v>
      </c>
      <c r="M352" s="14">
        <f>K352-L352</f>
        <v>1.79</v>
      </c>
      <c r="N352" s="15">
        <f>IFERROR(M352/K352,0)</f>
        <v>0.25034965034965034</v>
      </c>
      <c r="O352" s="14">
        <f>IFERROR(L352/J352,0)</f>
        <v>0.74444444444444446</v>
      </c>
      <c r="P352" s="14">
        <f>IFERROR(L352/G352,0)</f>
        <v>0.17866666666666636</v>
      </c>
    </row>
    <row r="353" spans="1:17" x14ac:dyDescent="0.3">
      <c r="A353" s="9" t="s">
        <v>960</v>
      </c>
      <c r="B353" s="9" t="s">
        <v>18</v>
      </c>
      <c r="C353" s="9" t="s">
        <v>184</v>
      </c>
      <c r="D353" s="52">
        <v>46108</v>
      </c>
      <c r="E353" s="48">
        <v>0.58333333333333337</v>
      </c>
      <c r="F353" s="48">
        <v>0.6020833333333333</v>
      </c>
      <c r="G353" s="43">
        <f>(F353-E353)*1440</f>
        <v>26.999999999999904</v>
      </c>
      <c r="H353" s="9" t="s">
        <v>1120</v>
      </c>
      <c r="I353" s="9" t="s">
        <v>256</v>
      </c>
      <c r="J353" s="44">
        <v>9.94</v>
      </c>
      <c r="K353" s="60">
        <v>10.99</v>
      </c>
      <c r="L353" s="56">
        <v>8.0399999999999991</v>
      </c>
      <c r="M353" s="14">
        <f>K353-L353</f>
        <v>2.9500000000000011</v>
      </c>
      <c r="N353" s="15">
        <f>IFERROR(M353/K353,0)</f>
        <v>0.26842584167424943</v>
      </c>
      <c r="O353" s="14">
        <f>IFERROR(L353/J353,0)</f>
        <v>0.80885311871227361</v>
      </c>
      <c r="P353" s="14">
        <f>IFERROR(L353/G353,0)</f>
        <v>0.29777777777777881</v>
      </c>
    </row>
    <row r="354" spans="1:17" x14ac:dyDescent="0.3">
      <c r="A354" s="9" t="s">
        <v>962</v>
      </c>
      <c r="B354" s="9" t="s">
        <v>18</v>
      </c>
      <c r="C354" s="9" t="s">
        <v>196</v>
      </c>
      <c r="D354" s="52">
        <v>46108</v>
      </c>
      <c r="E354" s="48">
        <v>0.76458333333333339</v>
      </c>
      <c r="F354" s="48">
        <v>0.77569444444444446</v>
      </c>
      <c r="G354" s="43">
        <f>(F354-E354)*1440</f>
        <v>15.999999999999943</v>
      </c>
      <c r="H354" s="9" t="s">
        <v>1181</v>
      </c>
      <c r="I354" s="9" t="s">
        <v>1182</v>
      </c>
      <c r="J354" s="44">
        <v>9.2200000000000006</v>
      </c>
      <c r="K354" s="60">
        <v>9.98</v>
      </c>
      <c r="L354" s="56">
        <v>7.66</v>
      </c>
      <c r="M354" s="14">
        <f>K354-L354</f>
        <v>2.3200000000000003</v>
      </c>
      <c r="N354" s="15">
        <f>IFERROR(M354/K354,0)</f>
        <v>0.23246492985971945</v>
      </c>
      <c r="O354" s="14">
        <f>IFERROR(L354/J354,0)</f>
        <v>0.83080260303687636</v>
      </c>
      <c r="P354" s="14">
        <f>IFERROR(L354/G354,0)</f>
        <v>0.47875000000000173</v>
      </c>
    </row>
    <row r="355" spans="1:17" x14ac:dyDescent="0.3">
      <c r="A355" s="9" t="s">
        <v>968</v>
      </c>
      <c r="B355" s="9" t="s">
        <v>26</v>
      </c>
      <c r="C355" s="9" t="s">
        <v>26</v>
      </c>
      <c r="D355" s="52">
        <v>46108</v>
      </c>
      <c r="E355" s="48">
        <v>0.73541666666666661</v>
      </c>
      <c r="F355" s="48">
        <v>0.7416666666666667</v>
      </c>
      <c r="G355" s="43">
        <f>(F355-E355)*1440</f>
        <v>9.0000000000001279</v>
      </c>
      <c r="H355" s="9" t="s">
        <v>1189</v>
      </c>
      <c r="I355" s="9" t="s">
        <v>214</v>
      </c>
      <c r="J355" s="44">
        <v>4.3</v>
      </c>
      <c r="K355" s="60">
        <v>4.9000000000000004</v>
      </c>
      <c r="L355" s="56">
        <v>3.67</v>
      </c>
      <c r="M355" s="14">
        <f>K355-L355</f>
        <v>1.2300000000000004</v>
      </c>
      <c r="N355" s="15">
        <f>IFERROR(M355/K355,0)</f>
        <v>0.25102040816326537</v>
      </c>
      <c r="O355" s="14">
        <f>IFERROR(L355/J355,0)</f>
        <v>0.85348837209302331</v>
      </c>
      <c r="P355" s="14">
        <f>IFERROR(L355/G355,0)</f>
        <v>0.40777777777777197</v>
      </c>
    </row>
    <row r="356" spans="1:17" x14ac:dyDescent="0.3">
      <c r="A356" s="9" t="s">
        <v>963</v>
      </c>
      <c r="B356" s="9" t="s">
        <v>18</v>
      </c>
      <c r="C356" s="9" t="s">
        <v>184</v>
      </c>
      <c r="D356" s="52">
        <v>46108</v>
      </c>
      <c r="E356" s="48">
        <v>0.86041666666666661</v>
      </c>
      <c r="F356" s="48">
        <v>0.86597222222222225</v>
      </c>
      <c r="G356" s="43">
        <f>(F356-E356)*1440</f>
        <v>8.0000000000001315</v>
      </c>
      <c r="H356" s="9" t="s">
        <v>1183</v>
      </c>
      <c r="I356" s="9" t="s">
        <v>1184</v>
      </c>
      <c r="J356" s="44">
        <v>3.72</v>
      </c>
      <c r="K356" s="60">
        <v>4.9400000000000004</v>
      </c>
      <c r="L356" s="56">
        <v>3.42</v>
      </c>
      <c r="M356" s="14">
        <f>K356-L356</f>
        <v>1.5200000000000005</v>
      </c>
      <c r="N356" s="15">
        <f>IFERROR(M356/K356,0)</f>
        <v>0.30769230769230776</v>
      </c>
      <c r="O356" s="14">
        <f>IFERROR(L356/J356,0)</f>
        <v>0.91935483870967738</v>
      </c>
      <c r="P356" s="14">
        <f>IFERROR(L356/G356,0)</f>
        <v>0.42749999999999294</v>
      </c>
    </row>
    <row r="357" spans="1:17" x14ac:dyDescent="0.3">
      <c r="A357" s="9" t="s">
        <v>966</v>
      </c>
      <c r="B357" s="9" t="s">
        <v>26</v>
      </c>
      <c r="C357" s="9" t="s">
        <v>26</v>
      </c>
      <c r="D357" s="52">
        <v>46108</v>
      </c>
      <c r="E357" s="48">
        <v>0.66249999999999998</v>
      </c>
      <c r="F357" s="48">
        <v>0.68541666666666667</v>
      </c>
      <c r="G357" s="43">
        <f>(F357-E357)*1440</f>
        <v>33.000000000000043</v>
      </c>
      <c r="H357" s="9" t="s">
        <v>1120</v>
      </c>
      <c r="I357" s="9" t="s">
        <v>865</v>
      </c>
      <c r="J357" s="44">
        <v>8.6</v>
      </c>
      <c r="K357" s="60">
        <v>8.5500000000000007</v>
      </c>
      <c r="L357" s="56">
        <v>8.23</v>
      </c>
      <c r="M357" s="14">
        <f>K357-L357</f>
        <v>0.32000000000000028</v>
      </c>
      <c r="N357" s="15">
        <f>IFERROR(M357/K357,0)</f>
        <v>3.742690058479535E-2</v>
      </c>
      <c r="O357" s="14">
        <f>IFERROR(L357/J357,0)</f>
        <v>0.95697674418604661</v>
      </c>
      <c r="P357" s="14">
        <f>IFERROR(L357/G357,0)</f>
        <v>0.24939393939393908</v>
      </c>
    </row>
    <row r="358" spans="1:17" x14ac:dyDescent="0.3">
      <c r="A358" s="9" t="s">
        <v>961</v>
      </c>
      <c r="B358" s="9" t="s">
        <v>18</v>
      </c>
      <c r="C358" s="9" t="s">
        <v>196</v>
      </c>
      <c r="D358" s="52">
        <v>46108</v>
      </c>
      <c r="E358" s="48">
        <v>0.71736111111111101</v>
      </c>
      <c r="F358" s="48">
        <v>0.72777777777777775</v>
      </c>
      <c r="G358" s="43">
        <f>(F358-E358)*1440</f>
        <v>15.000000000000107</v>
      </c>
      <c r="H358" s="9" t="s">
        <v>1179</v>
      </c>
      <c r="I358" s="9" t="s">
        <v>1180</v>
      </c>
      <c r="J358" s="44">
        <v>7.66</v>
      </c>
      <c r="K358" s="60">
        <v>11.98</v>
      </c>
      <c r="L358" s="56">
        <v>8.52</v>
      </c>
      <c r="M358" s="14">
        <f>K358-L358</f>
        <v>3.4600000000000009</v>
      </c>
      <c r="N358" s="15">
        <f>IFERROR(M358/K358,0)</f>
        <v>0.28881469115191993</v>
      </c>
      <c r="O358" s="14">
        <f>IFERROR(L358/J358,0)</f>
        <v>1.1122715404699739</v>
      </c>
      <c r="P358" s="14">
        <f>IFERROR(L358/G358,0)</f>
        <v>0.56799999999999595</v>
      </c>
    </row>
    <row r="359" spans="1:17" x14ac:dyDescent="0.3">
      <c r="A359" s="9" t="s">
        <v>972</v>
      </c>
      <c r="B359" s="9" t="s">
        <v>26</v>
      </c>
      <c r="C359" s="9" t="s">
        <v>27</v>
      </c>
      <c r="D359" s="52">
        <v>46109</v>
      </c>
      <c r="E359" s="48">
        <v>0.56111111111111112</v>
      </c>
      <c r="F359" s="48">
        <v>0.58611111111111114</v>
      </c>
      <c r="G359" s="43">
        <f>(F359-E359)*1440</f>
        <v>36.000000000000028</v>
      </c>
      <c r="H359" s="9" t="s">
        <v>530</v>
      </c>
      <c r="I359" s="9" t="s">
        <v>1195</v>
      </c>
      <c r="J359" s="44">
        <v>39.5</v>
      </c>
      <c r="K359" s="60">
        <v>19.510000000000002</v>
      </c>
      <c r="L359" s="56">
        <v>16.37</v>
      </c>
      <c r="M359" s="14">
        <f>K359-L359</f>
        <v>3.1400000000000006</v>
      </c>
      <c r="N359" s="15">
        <f>IFERROR(M359/K359,0)</f>
        <v>0.16094310609943621</v>
      </c>
      <c r="O359" s="14">
        <f>IFERROR(L359/J359,0)</f>
        <v>0.41443037974683544</v>
      </c>
      <c r="P359" s="14">
        <f>IFERROR(L359/G359,0)</f>
        <v>0.45472222222222192</v>
      </c>
      <c r="Q359" s="64">
        <v>1.6</v>
      </c>
    </row>
    <row r="360" spans="1:17" x14ac:dyDescent="0.3">
      <c r="A360" s="9" t="s">
        <v>977</v>
      </c>
      <c r="B360" s="9" t="s">
        <v>18</v>
      </c>
      <c r="C360" s="9" t="s">
        <v>184</v>
      </c>
      <c r="D360" s="52">
        <v>46109</v>
      </c>
      <c r="E360" s="48">
        <v>0.5444444444444444</v>
      </c>
      <c r="F360" s="48">
        <v>0.55625000000000002</v>
      </c>
      <c r="G360" s="43">
        <f>(F360-E360)*1440</f>
        <v>17.000000000000099</v>
      </c>
      <c r="H360" s="9" t="s">
        <v>262</v>
      </c>
      <c r="I360" s="9" t="s">
        <v>604</v>
      </c>
      <c r="J360" s="44">
        <v>17.77</v>
      </c>
      <c r="K360" s="60">
        <v>10.94</v>
      </c>
      <c r="L360" s="56">
        <v>7.39</v>
      </c>
      <c r="M360" s="14">
        <f>K360-L360</f>
        <v>3.55</v>
      </c>
      <c r="N360" s="15">
        <f>IFERROR(M360/K360,0)</f>
        <v>0.32449725776965266</v>
      </c>
      <c r="O360" s="14">
        <f>IFERROR(L360/J360,0)</f>
        <v>0.41586944288126054</v>
      </c>
      <c r="P360" s="14">
        <f>IFERROR(L360/G360,0)</f>
        <v>0.43470588235293861</v>
      </c>
    </row>
    <row r="361" spans="1:17" x14ac:dyDescent="0.3">
      <c r="A361" s="9" t="s">
        <v>976</v>
      </c>
      <c r="B361" s="9" t="s">
        <v>26</v>
      </c>
      <c r="C361" s="9" t="s">
        <v>27</v>
      </c>
      <c r="D361" s="52">
        <v>46109</v>
      </c>
      <c r="E361" s="48">
        <v>0.87986111111111109</v>
      </c>
      <c r="F361" s="48">
        <v>0.89444444444444438</v>
      </c>
      <c r="G361" s="43">
        <f>(F361-E361)*1440</f>
        <v>20.999999999999925</v>
      </c>
      <c r="H361" s="9" t="s">
        <v>1200</v>
      </c>
      <c r="I361" s="9" t="s">
        <v>1201</v>
      </c>
      <c r="J361" s="44">
        <v>17.600000000000001</v>
      </c>
      <c r="K361" s="60">
        <v>10.130000000000001</v>
      </c>
      <c r="L361" s="56">
        <v>7.6</v>
      </c>
      <c r="M361" s="14">
        <f>K361-L361</f>
        <v>2.5300000000000011</v>
      </c>
      <c r="N361" s="15">
        <f>IFERROR(M361/K361,0)</f>
        <v>0.24975320829220146</v>
      </c>
      <c r="O361" s="14">
        <f>IFERROR(L361/J361,0)</f>
        <v>0.43181818181818177</v>
      </c>
      <c r="P361" s="14">
        <f>IFERROR(L361/G361,0)</f>
        <v>0.36190476190476317</v>
      </c>
    </row>
    <row r="362" spans="1:17" x14ac:dyDescent="0.3">
      <c r="A362" s="9" t="s">
        <v>978</v>
      </c>
      <c r="B362" s="9" t="s">
        <v>538</v>
      </c>
      <c r="C362" s="9" t="s">
        <v>184</v>
      </c>
      <c r="D362" s="52">
        <v>46109</v>
      </c>
      <c r="E362" s="48">
        <v>0.74930555555555556</v>
      </c>
      <c r="F362" s="48">
        <v>0.77083333333333337</v>
      </c>
      <c r="G362" s="43">
        <f>(F362-E362)*1440</f>
        <v>31.00000000000005</v>
      </c>
      <c r="H362" s="9" t="s">
        <v>1202</v>
      </c>
      <c r="I362" s="9" t="s">
        <v>1203</v>
      </c>
      <c r="J362" s="44">
        <v>14.72</v>
      </c>
      <c r="K362" s="60">
        <v>11.97</v>
      </c>
      <c r="L362" s="56">
        <v>7.81</v>
      </c>
      <c r="M362" s="14">
        <f>K362-L362</f>
        <v>4.160000000000001</v>
      </c>
      <c r="N362" s="15">
        <f>IFERROR(M362/K362,0)</f>
        <v>0.34753550543024236</v>
      </c>
      <c r="O362" s="14">
        <f>IFERROR(L362/J362,0)</f>
        <v>0.53057065217391297</v>
      </c>
      <c r="P362" s="14">
        <f>IFERROR(L362/G362,0)</f>
        <v>0.25193548387096731</v>
      </c>
    </row>
    <row r="363" spans="1:17" x14ac:dyDescent="0.3">
      <c r="A363" s="9" t="s">
        <v>974</v>
      </c>
      <c r="B363" s="9" t="s">
        <v>26</v>
      </c>
      <c r="C363" s="9" t="s">
        <v>27</v>
      </c>
      <c r="D363" s="52">
        <v>46109</v>
      </c>
      <c r="E363" s="48">
        <v>0.8340277777777777</v>
      </c>
      <c r="F363" s="48">
        <v>0.84444444444444444</v>
      </c>
      <c r="G363" s="43">
        <f>(F363-E363)*1440</f>
        <v>15.000000000000107</v>
      </c>
      <c r="H363" s="9" t="s">
        <v>1197</v>
      </c>
      <c r="I363" s="9" t="s">
        <v>1198</v>
      </c>
      <c r="J363" s="44">
        <v>9.1999999999999993</v>
      </c>
      <c r="K363" s="60">
        <v>6.24</v>
      </c>
      <c r="L363" s="56">
        <v>5.15</v>
      </c>
      <c r="M363" s="14">
        <f>K363-L363</f>
        <v>1.0899999999999999</v>
      </c>
      <c r="N363" s="15">
        <f>IFERROR(M363/K363,0)</f>
        <v>0.17467948717948714</v>
      </c>
      <c r="O363" s="14">
        <f>IFERROR(L363/J363,0)</f>
        <v>0.55978260869565222</v>
      </c>
      <c r="P363" s="14">
        <f>IFERROR(L363/G363,0)</f>
        <v>0.34333333333333094</v>
      </c>
    </row>
    <row r="364" spans="1:17" x14ac:dyDescent="0.3">
      <c r="A364" s="9" t="s">
        <v>973</v>
      </c>
      <c r="B364" s="9" t="s">
        <v>26</v>
      </c>
      <c r="C364" s="9" t="s">
        <v>27</v>
      </c>
      <c r="D364" s="52">
        <v>46109</v>
      </c>
      <c r="E364" s="48">
        <v>0.8027777777777777</v>
      </c>
      <c r="F364" s="48">
        <v>0.81319444444444444</v>
      </c>
      <c r="G364" s="43">
        <f>(F364-E364)*1440</f>
        <v>15.000000000000107</v>
      </c>
      <c r="H364" s="9" t="s">
        <v>1196</v>
      </c>
      <c r="I364" s="9" t="s">
        <v>1197</v>
      </c>
      <c r="J364" s="44">
        <v>5.5</v>
      </c>
      <c r="K364" s="60">
        <v>5.48</v>
      </c>
      <c r="L364" s="56">
        <v>4.1100000000000003</v>
      </c>
      <c r="M364" s="14">
        <f>K364-L364</f>
        <v>1.37</v>
      </c>
      <c r="N364" s="15">
        <f>IFERROR(M364/K364,0)</f>
        <v>0.25</v>
      </c>
      <c r="O364" s="14">
        <f>IFERROR(L364/J364,0)</f>
        <v>0.74727272727272731</v>
      </c>
      <c r="P364" s="14">
        <f>IFERROR(L364/G364,0)</f>
        <v>0.27399999999999808</v>
      </c>
    </row>
    <row r="365" spans="1:17" x14ac:dyDescent="0.3">
      <c r="A365" s="9" t="s">
        <v>975</v>
      </c>
      <c r="B365" s="9" t="s">
        <v>26</v>
      </c>
      <c r="C365" s="9" t="s">
        <v>26</v>
      </c>
      <c r="D365" s="52">
        <v>46109</v>
      </c>
      <c r="E365" s="48">
        <v>0.84722222222222221</v>
      </c>
      <c r="F365" s="48">
        <v>0.85416666666666663</v>
      </c>
      <c r="G365" s="43">
        <f>(F365-E365)*1440</f>
        <v>9.9999999999999645</v>
      </c>
      <c r="H365" s="9" t="s">
        <v>569</v>
      </c>
      <c r="I365" s="9" t="s">
        <v>1199</v>
      </c>
      <c r="J365" s="44">
        <v>4.4000000000000004</v>
      </c>
      <c r="K365" s="60">
        <v>3.64</v>
      </c>
      <c r="L365" s="56">
        <v>3.41</v>
      </c>
      <c r="M365" s="14">
        <f>K365-L365</f>
        <v>0.22999999999999998</v>
      </c>
      <c r="N365" s="15">
        <f>IFERROR(M365/K365,0)</f>
        <v>6.3186813186813184E-2</v>
      </c>
      <c r="O365" s="14">
        <f>IFERROR(L365/J365,0)</f>
        <v>0.77500000000000002</v>
      </c>
      <c r="P365" s="14">
        <f>IFERROR(L365/G365,0)</f>
        <v>0.34100000000000125</v>
      </c>
    </row>
    <row r="366" spans="1:17" x14ac:dyDescent="0.3">
      <c r="A366" s="9" t="s">
        <v>979</v>
      </c>
      <c r="B366" s="9" t="s">
        <v>18</v>
      </c>
      <c r="C366" s="9" t="s">
        <v>184</v>
      </c>
      <c r="D366" s="52">
        <v>46109</v>
      </c>
      <c r="E366" s="48">
        <v>0.77361111111111114</v>
      </c>
      <c r="F366" s="48">
        <v>0.79375000000000007</v>
      </c>
      <c r="G366" s="43">
        <f>(F366-E366)*1440</f>
        <v>29.000000000000057</v>
      </c>
      <c r="H366" s="9" t="s">
        <v>233</v>
      </c>
      <c r="I366" s="9" t="s">
        <v>1204</v>
      </c>
      <c r="J366" s="44">
        <v>8.23</v>
      </c>
      <c r="K366" s="60">
        <v>8.9499999999999993</v>
      </c>
      <c r="L366" s="56">
        <v>7.14</v>
      </c>
      <c r="M366" s="14">
        <f>K366-L366</f>
        <v>1.8099999999999996</v>
      </c>
      <c r="N366" s="15">
        <f>IFERROR(M366/K366,0)</f>
        <v>0.20223463687150836</v>
      </c>
      <c r="O366" s="14">
        <f>IFERROR(L366/J366,0)</f>
        <v>0.86755771567436202</v>
      </c>
      <c r="P366" s="14">
        <f>IFERROR(L366/G366,0)</f>
        <v>0.24620689655172365</v>
      </c>
    </row>
    <row r="367" spans="1:17" x14ac:dyDescent="0.3">
      <c r="A367" s="9" t="s">
        <v>983</v>
      </c>
      <c r="B367" s="9" t="s">
        <v>538</v>
      </c>
      <c r="C367" s="9" t="s">
        <v>184</v>
      </c>
      <c r="D367" s="52">
        <v>46110</v>
      </c>
      <c r="E367" s="48">
        <v>0.87222222222222223</v>
      </c>
      <c r="F367" s="48">
        <v>0.8833333333333333</v>
      </c>
      <c r="G367" s="43">
        <f>(F367-E367)*1440</f>
        <v>15.999999999999943</v>
      </c>
      <c r="H367" s="9" t="s">
        <v>1207</v>
      </c>
      <c r="I367" s="9" t="s">
        <v>1208</v>
      </c>
      <c r="J367" s="44">
        <v>13.29</v>
      </c>
      <c r="K367" s="60">
        <v>8.9499999999999993</v>
      </c>
      <c r="L367" s="56">
        <v>6.22</v>
      </c>
      <c r="M367" s="14">
        <f>K367-L367</f>
        <v>2.7299999999999995</v>
      </c>
      <c r="N367" s="15">
        <f>IFERROR(M367/K367,0)</f>
        <v>0.30502793296089381</v>
      </c>
      <c r="O367" s="14">
        <f>IFERROR(L367/J367,0)</f>
        <v>0.46802106847253577</v>
      </c>
      <c r="P367" s="14">
        <f>IFERROR(L367/G367,0)</f>
        <v>0.38875000000000137</v>
      </c>
    </row>
    <row r="368" spans="1:17" x14ac:dyDescent="0.3">
      <c r="A368" s="9" t="s">
        <v>982</v>
      </c>
      <c r="B368" s="9" t="s">
        <v>18</v>
      </c>
      <c r="C368" s="9" t="s">
        <v>184</v>
      </c>
      <c r="D368" s="52">
        <v>46110</v>
      </c>
      <c r="E368" s="48">
        <v>0.75555555555555554</v>
      </c>
      <c r="F368" s="48">
        <v>0.7715277777777777</v>
      </c>
      <c r="G368" s="43">
        <f>(F368-E368)*1440</f>
        <v>22.999999999999918</v>
      </c>
      <c r="H368" s="9" t="s">
        <v>1162</v>
      </c>
      <c r="I368" s="9" t="s">
        <v>531</v>
      </c>
      <c r="J368" s="44">
        <v>15.23</v>
      </c>
      <c r="K368" s="60">
        <v>10.94</v>
      </c>
      <c r="L368" s="56">
        <v>7.95</v>
      </c>
      <c r="M368" s="14">
        <f>K368-L368</f>
        <v>2.9899999999999993</v>
      </c>
      <c r="N368" s="15">
        <f>IFERROR(M368/K368,0)</f>
        <v>0.27330895795246796</v>
      </c>
      <c r="O368" s="14">
        <f>IFERROR(L368/J368,0)</f>
        <v>0.52199606040709123</v>
      </c>
      <c r="P368" s="14">
        <f>IFERROR(L368/G368,0)</f>
        <v>0.3456521739130447</v>
      </c>
    </row>
    <row r="369" spans="1:19" x14ac:dyDescent="0.3">
      <c r="A369" s="9" t="s">
        <v>980</v>
      </c>
      <c r="B369" s="9" t="s">
        <v>18</v>
      </c>
      <c r="C369" s="9" t="s">
        <v>184</v>
      </c>
      <c r="D369" s="52">
        <v>46110</v>
      </c>
      <c r="E369" s="48">
        <v>0.62777777777777777</v>
      </c>
      <c r="F369" s="48">
        <v>0.64652777777777781</v>
      </c>
      <c r="G369" s="43">
        <f>(F369-E369)*1440</f>
        <v>27.000000000000064</v>
      </c>
      <c r="H369" s="9" t="s">
        <v>1120</v>
      </c>
      <c r="I369" s="9" t="s">
        <v>1205</v>
      </c>
      <c r="J369" s="44">
        <v>12.6</v>
      </c>
      <c r="K369" s="60">
        <v>11.06</v>
      </c>
      <c r="L369" s="56">
        <v>8.31</v>
      </c>
      <c r="M369" s="14">
        <f>K369-L369</f>
        <v>2.75</v>
      </c>
      <c r="N369" s="15">
        <f>IFERROR(M369/K369,0)</f>
        <v>0.24864376130198915</v>
      </c>
      <c r="O369" s="14">
        <f>IFERROR(L369/J369,0)</f>
        <v>0.65952380952380962</v>
      </c>
      <c r="P369" s="14">
        <f>IFERROR(L369/G369,0)</f>
        <v>0.30777777777777704</v>
      </c>
    </row>
    <row r="370" spans="1:19" x14ac:dyDescent="0.3">
      <c r="A370" s="9" t="s">
        <v>984</v>
      </c>
      <c r="B370" s="9" t="s">
        <v>26</v>
      </c>
      <c r="C370" s="9" t="s">
        <v>26</v>
      </c>
      <c r="D370" s="52">
        <v>46110</v>
      </c>
      <c r="E370" s="48">
        <v>0.6069444444444444</v>
      </c>
      <c r="F370" s="48">
        <v>0.62430555555555556</v>
      </c>
      <c r="G370" s="43">
        <f>(F370-E370)*1440</f>
        <v>25.000000000000071</v>
      </c>
      <c r="H370" s="9" t="s">
        <v>1209</v>
      </c>
      <c r="I370" s="9" t="s">
        <v>611</v>
      </c>
      <c r="J370" s="44">
        <v>8.9</v>
      </c>
      <c r="K370" s="60">
        <v>10</v>
      </c>
      <c r="L370" s="56">
        <v>7.5</v>
      </c>
      <c r="M370" s="14">
        <f>K370-L370</f>
        <v>2.5</v>
      </c>
      <c r="N370" s="15">
        <f>IFERROR(M370/K370,0)</f>
        <v>0.25</v>
      </c>
      <c r="O370" s="14">
        <f>IFERROR(L370/J370,0)</f>
        <v>0.84269662921348309</v>
      </c>
      <c r="P370" s="14">
        <f>IFERROR(L370/G370,0)</f>
        <v>0.29999999999999916</v>
      </c>
    </row>
    <row r="371" spans="1:19" x14ac:dyDescent="0.3">
      <c r="A371" s="9" t="s">
        <v>981</v>
      </c>
      <c r="B371" s="9" t="s">
        <v>18</v>
      </c>
      <c r="C371" s="9" t="s">
        <v>184</v>
      </c>
      <c r="D371" s="52">
        <v>46110</v>
      </c>
      <c r="E371" s="48">
        <v>0.65555555555555556</v>
      </c>
      <c r="F371" s="48">
        <v>0.67083333333333339</v>
      </c>
      <c r="G371" s="43">
        <f>(F371-E371)*1440</f>
        <v>22.000000000000082</v>
      </c>
      <c r="H371" s="9" t="s">
        <v>1206</v>
      </c>
      <c r="I371" s="9" t="s">
        <v>1120</v>
      </c>
      <c r="J371" s="44">
        <v>7.62</v>
      </c>
      <c r="K371" s="60">
        <v>8.94</v>
      </c>
      <c r="L371" s="56">
        <v>7.74</v>
      </c>
      <c r="M371" s="14">
        <f>K371-L371</f>
        <v>1.1999999999999993</v>
      </c>
      <c r="N371" s="15">
        <f>IFERROR(M371/K371,0)</f>
        <v>0.134228187919463</v>
      </c>
      <c r="O371" s="14">
        <f>IFERROR(L371/J371,0)</f>
        <v>1.015748031496063</v>
      </c>
      <c r="P371" s="14">
        <f>IFERROR(L371/G371,0)</f>
        <v>0.35181818181818053</v>
      </c>
      <c r="S371" s="61">
        <v>1</v>
      </c>
    </row>
    <row r="372" spans="1:19" x14ac:dyDescent="0.3">
      <c r="A372" s="9" t="s">
        <v>985</v>
      </c>
      <c r="B372" s="9" t="s">
        <v>26</v>
      </c>
      <c r="C372" s="9" t="s">
        <v>26</v>
      </c>
      <c r="D372" s="52">
        <v>46110</v>
      </c>
      <c r="E372" s="48">
        <v>0.73749999999999993</v>
      </c>
      <c r="F372" s="48">
        <v>0.74652777777777779</v>
      </c>
      <c r="G372" s="43">
        <f>(F372-E372)*1440</f>
        <v>13.000000000000114</v>
      </c>
      <c r="H372" s="9" t="s">
        <v>1210</v>
      </c>
      <c r="I372" s="9" t="s">
        <v>698</v>
      </c>
      <c r="J372" s="44">
        <v>3.9</v>
      </c>
      <c r="K372" s="60">
        <v>5.63</v>
      </c>
      <c r="L372" s="56">
        <v>4.22</v>
      </c>
      <c r="M372" s="14">
        <f>K372-L372</f>
        <v>1.4100000000000001</v>
      </c>
      <c r="N372" s="15">
        <f>IFERROR(M372/K372,0)</f>
        <v>0.25044404973357021</v>
      </c>
      <c r="O372" s="14">
        <f>IFERROR(L372/J372,0)</f>
        <v>1.082051282051282</v>
      </c>
      <c r="P372" s="14">
        <f>IFERROR(L372/G372,0)</f>
        <v>0.32461538461538175</v>
      </c>
    </row>
    <row r="373" spans="1:19" x14ac:dyDescent="0.3">
      <c r="A373" s="9" t="s">
        <v>986</v>
      </c>
      <c r="B373" s="9" t="s">
        <v>26</v>
      </c>
      <c r="C373" s="9" t="s">
        <v>26</v>
      </c>
      <c r="D373" s="52">
        <v>46110</v>
      </c>
      <c r="E373" s="48">
        <v>0.74791666666666667</v>
      </c>
      <c r="F373" s="48">
        <v>0.75277777777777777</v>
      </c>
      <c r="G373" s="43">
        <f>(F373-E373)*1440</f>
        <v>6.9999999999999751</v>
      </c>
      <c r="H373" s="9" t="s">
        <v>1211</v>
      </c>
      <c r="I373" s="9" t="s">
        <v>1212</v>
      </c>
      <c r="J373" s="44">
        <v>2.8</v>
      </c>
      <c r="K373" s="60">
        <v>4.05</v>
      </c>
      <c r="L373" s="56">
        <v>3.04</v>
      </c>
      <c r="M373" s="14">
        <f>K373-L373</f>
        <v>1.0099999999999998</v>
      </c>
      <c r="N373" s="15">
        <f>IFERROR(M373/K373,0)</f>
        <v>0.24938271604938267</v>
      </c>
      <c r="O373" s="14">
        <f>IFERROR(L373/J373,0)</f>
        <v>1.0857142857142859</v>
      </c>
      <c r="P373" s="14">
        <f>IFERROR(L373/G373,0)</f>
        <v>0.43428571428571583</v>
      </c>
    </row>
    <row r="374" spans="1:19" x14ac:dyDescent="0.3">
      <c r="A374" s="9" t="s">
        <v>988</v>
      </c>
      <c r="B374" s="9" t="s">
        <v>26</v>
      </c>
      <c r="C374" s="9" t="s">
        <v>27</v>
      </c>
      <c r="D374" s="52">
        <v>46111</v>
      </c>
      <c r="E374" s="48">
        <v>0.60486111111111118</v>
      </c>
      <c r="F374" s="48">
        <v>0.61805555555555558</v>
      </c>
      <c r="G374" s="43">
        <f>(F374-E374)*1440</f>
        <v>18.999999999999932</v>
      </c>
      <c r="H374" s="9" t="s">
        <v>1214</v>
      </c>
      <c r="I374" s="9" t="s">
        <v>1215</v>
      </c>
      <c r="J374" s="44">
        <v>11.8</v>
      </c>
      <c r="K374" s="60">
        <v>6.34</v>
      </c>
      <c r="L374" s="56">
        <v>4.75</v>
      </c>
      <c r="M374" s="14">
        <f>K374-L374</f>
        <v>1.5899999999999999</v>
      </c>
      <c r="N374" s="15">
        <f>IFERROR(M374/K374,0)</f>
        <v>0.25078864353312302</v>
      </c>
      <c r="O374" s="14">
        <f>IFERROR(L374/J374,0)</f>
        <v>0.40254237288135591</v>
      </c>
      <c r="P374" s="14">
        <f>IFERROR(L374/G374,0)</f>
        <v>0.25000000000000089</v>
      </c>
    </row>
    <row r="375" spans="1:19" x14ac:dyDescent="0.3">
      <c r="A375" s="9" t="s">
        <v>992</v>
      </c>
      <c r="B375" s="9" t="s">
        <v>18</v>
      </c>
      <c r="C375" s="9" t="s">
        <v>184</v>
      </c>
      <c r="D375" s="52">
        <v>46111</v>
      </c>
      <c r="E375" s="48">
        <v>0.5444444444444444</v>
      </c>
      <c r="F375" s="48">
        <v>0.55555555555555558</v>
      </c>
      <c r="G375" s="43">
        <f>(F375-E375)*1440</f>
        <v>16.000000000000103</v>
      </c>
      <c r="H375" s="9" t="s">
        <v>1221</v>
      </c>
      <c r="I375" s="9" t="s">
        <v>1222</v>
      </c>
      <c r="J375" s="44">
        <v>11.82</v>
      </c>
      <c r="K375" s="60">
        <v>6.94</v>
      </c>
      <c r="L375" s="56">
        <v>4.8499999999999996</v>
      </c>
      <c r="M375" s="14">
        <f>K375-L375</f>
        <v>2.0900000000000007</v>
      </c>
      <c r="N375" s="15">
        <f>IFERROR(M375/K375,0)</f>
        <v>0.30115273775216145</v>
      </c>
      <c r="O375" s="14">
        <f>IFERROR(L375/J375,0)</f>
        <v>0.41032148900169202</v>
      </c>
      <c r="P375" s="14">
        <f>IFERROR(L375/G375,0)</f>
        <v>0.30312499999999803</v>
      </c>
    </row>
    <row r="376" spans="1:19" x14ac:dyDescent="0.3">
      <c r="A376" s="9" t="s">
        <v>1003</v>
      </c>
      <c r="B376" s="9" t="s">
        <v>18</v>
      </c>
      <c r="C376" s="9" t="s">
        <v>196</v>
      </c>
      <c r="D376" s="52">
        <v>46111</v>
      </c>
      <c r="E376" s="48">
        <v>0.88541666666666663</v>
      </c>
      <c r="F376" s="48">
        <v>0.89722222222222225</v>
      </c>
      <c r="G376" s="43">
        <f>(F376-E376)*1440</f>
        <v>17.000000000000099</v>
      </c>
      <c r="H376" s="9" t="s">
        <v>1207</v>
      </c>
      <c r="I376" s="9" t="s">
        <v>1235</v>
      </c>
      <c r="J376" s="44">
        <v>15.14</v>
      </c>
      <c r="K376" s="60">
        <v>9.99</v>
      </c>
      <c r="L376" s="56">
        <v>7</v>
      </c>
      <c r="M376" s="14">
        <f>K376-L376</f>
        <v>2.99</v>
      </c>
      <c r="N376" s="15">
        <f>IFERROR(M376/K376,0)</f>
        <v>0.29929929929929933</v>
      </c>
      <c r="O376" s="14">
        <f>IFERROR(L376/J376,0)</f>
        <v>0.46235138705416112</v>
      </c>
      <c r="P376" s="14">
        <f>IFERROR(L376/G376,0)</f>
        <v>0.41176470588235053</v>
      </c>
    </row>
    <row r="377" spans="1:19" x14ac:dyDescent="0.3">
      <c r="A377" s="9" t="s">
        <v>1001</v>
      </c>
      <c r="B377" s="9" t="s">
        <v>18</v>
      </c>
      <c r="C377" s="9" t="s">
        <v>184</v>
      </c>
      <c r="D377" s="52">
        <v>46111</v>
      </c>
      <c r="E377" s="48">
        <v>0.85138888888888886</v>
      </c>
      <c r="F377" s="48">
        <v>0.86249999999999993</v>
      </c>
      <c r="G377" s="43">
        <f>(F377-E377)*1440</f>
        <v>15.999999999999943</v>
      </c>
      <c r="H377" s="9" t="s">
        <v>243</v>
      </c>
      <c r="I377" s="9" t="s">
        <v>1120</v>
      </c>
      <c r="J377" s="44">
        <v>12.65</v>
      </c>
      <c r="K377" s="60">
        <v>6.93</v>
      </c>
      <c r="L377" s="56">
        <v>6.3</v>
      </c>
      <c r="M377" s="14">
        <f>K377-L377</f>
        <v>0.62999999999999989</v>
      </c>
      <c r="N377" s="15">
        <f>IFERROR(M377/K377,0)</f>
        <v>9.0909090909090898E-2</v>
      </c>
      <c r="O377" s="14">
        <f>IFERROR(L377/J377,0)</f>
        <v>0.49802371541501972</v>
      </c>
      <c r="P377" s="14">
        <f>IFERROR(L377/G377,0)</f>
        <v>0.39375000000000138</v>
      </c>
    </row>
    <row r="378" spans="1:19" x14ac:dyDescent="0.3">
      <c r="A378" s="9" t="s">
        <v>995</v>
      </c>
      <c r="B378" s="9" t="s">
        <v>538</v>
      </c>
      <c r="C378" s="9" t="s">
        <v>184</v>
      </c>
      <c r="D378" s="52">
        <v>46111</v>
      </c>
      <c r="E378" s="48">
        <v>0.65416666666666667</v>
      </c>
      <c r="F378" s="48">
        <v>0.67083333333333339</v>
      </c>
      <c r="G378" s="43">
        <f>(F378-E378)*1440</f>
        <v>24.000000000000075</v>
      </c>
      <c r="H378" s="9" t="s">
        <v>1225</v>
      </c>
      <c r="I378" s="9" t="s">
        <v>1120</v>
      </c>
      <c r="J378" s="44">
        <v>14.93</v>
      </c>
      <c r="K378" s="60">
        <v>11.94</v>
      </c>
      <c r="L378" s="56">
        <v>7.76</v>
      </c>
      <c r="M378" s="14">
        <f>K378-L378</f>
        <v>4.18</v>
      </c>
      <c r="N378" s="15">
        <f>IFERROR(M378/K378,0)</f>
        <v>0.35008375209380233</v>
      </c>
      <c r="O378" s="14">
        <f>IFERROR(L378/J378,0)</f>
        <v>0.51975887474882787</v>
      </c>
      <c r="P378" s="14">
        <f>IFERROR(L378/G378,0)</f>
        <v>0.32333333333333231</v>
      </c>
    </row>
    <row r="379" spans="1:19" x14ac:dyDescent="0.3">
      <c r="A379" s="9" t="s">
        <v>990</v>
      </c>
      <c r="B379" s="9" t="s">
        <v>26</v>
      </c>
      <c r="C379" s="9" t="s">
        <v>26</v>
      </c>
      <c r="D379" s="52">
        <v>46111</v>
      </c>
      <c r="E379" s="48">
        <v>0.72916666666666663</v>
      </c>
      <c r="F379" s="48">
        <v>0.74791666666666667</v>
      </c>
      <c r="G379" s="43">
        <f>(F379-E379)*1440</f>
        <v>27.000000000000064</v>
      </c>
      <c r="H379" s="9" t="s">
        <v>1217</v>
      </c>
      <c r="I379" s="9" t="s">
        <v>1218</v>
      </c>
      <c r="J379" s="44">
        <v>19.7</v>
      </c>
      <c r="K379" s="60">
        <v>11.94</v>
      </c>
      <c r="L379" s="56">
        <v>11.29</v>
      </c>
      <c r="M379" s="14">
        <f>K379-L379</f>
        <v>0.65000000000000036</v>
      </c>
      <c r="N379" s="15">
        <f>IFERROR(M379/K379,0)</f>
        <v>5.4438860971524318E-2</v>
      </c>
      <c r="O379" s="14">
        <f>IFERROR(L379/J379,0)</f>
        <v>0.57309644670050763</v>
      </c>
      <c r="P379" s="14">
        <f>IFERROR(L379/G379,0)</f>
        <v>0.4181481481481471</v>
      </c>
      <c r="Q379" s="64">
        <v>0.4</v>
      </c>
    </row>
    <row r="380" spans="1:19" x14ac:dyDescent="0.3">
      <c r="A380" s="9" t="s">
        <v>987</v>
      </c>
      <c r="B380" s="9" t="s">
        <v>26</v>
      </c>
      <c r="C380" s="9" t="s">
        <v>26</v>
      </c>
      <c r="D380" s="52">
        <v>46111</v>
      </c>
      <c r="E380" s="48">
        <v>0.59722222222222221</v>
      </c>
      <c r="F380" s="48">
        <v>0.60486111111111118</v>
      </c>
      <c r="G380" s="43">
        <f>(F380-E380)*1440</f>
        <v>11.000000000000121</v>
      </c>
      <c r="H380" s="9" t="s">
        <v>827</v>
      </c>
      <c r="I380" s="9" t="s">
        <v>1213</v>
      </c>
      <c r="J380" s="44">
        <v>5.7</v>
      </c>
      <c r="K380" s="60">
        <v>3.52</v>
      </c>
      <c r="L380" s="56">
        <v>3.3</v>
      </c>
      <c r="M380" s="14">
        <f>K380-L380</f>
        <v>0.2200000000000002</v>
      </c>
      <c r="N380" s="15">
        <f>IFERROR(M380/K380,0)</f>
        <v>6.2500000000000056E-2</v>
      </c>
      <c r="O380" s="14">
        <f>IFERROR(L380/J380,0)</f>
        <v>0.57894736842105254</v>
      </c>
      <c r="P380" s="14">
        <f>IFERROR(L380/G380,0)</f>
        <v>0.29999999999999671</v>
      </c>
    </row>
    <row r="381" spans="1:19" x14ac:dyDescent="0.3">
      <c r="A381" s="9" t="s">
        <v>991</v>
      </c>
      <c r="B381" s="9" t="s">
        <v>26</v>
      </c>
      <c r="C381" s="9" t="s">
        <v>26</v>
      </c>
      <c r="D381" s="52">
        <v>46111</v>
      </c>
      <c r="E381" s="48">
        <v>0.79513888888888884</v>
      </c>
      <c r="F381" s="48">
        <v>0.8027777777777777</v>
      </c>
      <c r="G381" s="43">
        <f>(F381-E381)*1440</f>
        <v>10.999999999999961</v>
      </c>
      <c r="H381" s="9" t="s">
        <v>1219</v>
      </c>
      <c r="I381" s="9" t="s">
        <v>1220</v>
      </c>
      <c r="J381" s="44">
        <v>9.1999999999999993</v>
      </c>
      <c r="K381" s="60">
        <v>5.68</v>
      </c>
      <c r="L381" s="56">
        <v>5.92</v>
      </c>
      <c r="M381" s="14">
        <f>K381-L381</f>
        <v>-0.24000000000000021</v>
      </c>
      <c r="N381" s="15">
        <f>IFERROR(M381/K381,0)</f>
        <v>-4.2253521126760604E-2</v>
      </c>
      <c r="O381" s="14">
        <f>IFERROR(L381/J381,0)</f>
        <v>0.64347826086956528</v>
      </c>
      <c r="P381" s="14">
        <f>IFERROR(L381/G381,0)</f>
        <v>0.53818181818182009</v>
      </c>
      <c r="Q381" s="64">
        <v>0.4</v>
      </c>
    </row>
    <row r="382" spans="1:19" x14ac:dyDescent="0.3">
      <c r="A382" s="9" t="s">
        <v>998</v>
      </c>
      <c r="B382" s="9" t="s">
        <v>18</v>
      </c>
      <c r="C382" s="9" t="s">
        <v>184</v>
      </c>
      <c r="D382" s="52">
        <v>46111</v>
      </c>
      <c r="E382" s="48">
        <v>0.76458333333333339</v>
      </c>
      <c r="F382" s="48">
        <v>0.77361111111111114</v>
      </c>
      <c r="G382" s="43">
        <f>(F382-E382)*1440</f>
        <v>12.999999999999954</v>
      </c>
      <c r="H382" s="9" t="s">
        <v>1229</v>
      </c>
      <c r="I382" s="9" t="s">
        <v>884</v>
      </c>
      <c r="J382" s="44">
        <v>8.11</v>
      </c>
      <c r="K382" s="60">
        <v>6.94</v>
      </c>
      <c r="L382" s="56">
        <v>5.31</v>
      </c>
      <c r="M382" s="14">
        <f>K382-L382</f>
        <v>1.6300000000000008</v>
      </c>
      <c r="N382" s="15">
        <f>IFERROR(M382/K382,0)</f>
        <v>0.23487031700288194</v>
      </c>
      <c r="O382" s="14">
        <f>IFERROR(L382/J382,0)</f>
        <v>0.654747225647349</v>
      </c>
      <c r="P382" s="14">
        <f>IFERROR(L382/G382,0)</f>
        <v>0.40846153846153987</v>
      </c>
      <c r="Q382" s="64">
        <v>0.7</v>
      </c>
    </row>
    <row r="383" spans="1:19" x14ac:dyDescent="0.3">
      <c r="A383" s="9" t="s">
        <v>994</v>
      </c>
      <c r="B383" s="9" t="s">
        <v>538</v>
      </c>
      <c r="C383" s="9" t="s">
        <v>184</v>
      </c>
      <c r="D383" s="52">
        <v>46111</v>
      </c>
      <c r="E383" s="48">
        <v>0.6333333333333333</v>
      </c>
      <c r="F383" s="48">
        <v>0.65069444444444446</v>
      </c>
      <c r="G383" s="43">
        <f>(F383-E383)*1440</f>
        <v>25.000000000000071</v>
      </c>
      <c r="H383" s="9" t="s">
        <v>1120</v>
      </c>
      <c r="I383" s="9" t="s">
        <v>1224</v>
      </c>
      <c r="J383" s="44">
        <v>16.2</v>
      </c>
      <c r="K383" s="60">
        <v>15</v>
      </c>
      <c r="L383" s="56">
        <v>11.06</v>
      </c>
      <c r="M383" s="14">
        <f>K383-L383</f>
        <v>3.9399999999999995</v>
      </c>
      <c r="N383" s="15">
        <f>IFERROR(M383/K383,0)</f>
        <v>0.26266666666666666</v>
      </c>
      <c r="O383" s="14">
        <f>IFERROR(L383/J383,0)</f>
        <v>0.68271604938271613</v>
      </c>
      <c r="P383" s="14">
        <f>IFERROR(L383/G383,0)</f>
        <v>0.44239999999999874</v>
      </c>
      <c r="S383" s="61">
        <v>2</v>
      </c>
    </row>
    <row r="384" spans="1:19" x14ac:dyDescent="0.3">
      <c r="A384" s="9" t="s">
        <v>996</v>
      </c>
      <c r="B384" s="9" t="s">
        <v>18</v>
      </c>
      <c r="C384" s="9" t="s">
        <v>184</v>
      </c>
      <c r="D384" s="52">
        <v>46111</v>
      </c>
      <c r="E384" s="48">
        <v>0.70138888888888884</v>
      </c>
      <c r="F384" s="48">
        <v>0.71458333333333324</v>
      </c>
      <c r="G384" s="43">
        <f>(F384-E384)*1440</f>
        <v>18.999999999999932</v>
      </c>
      <c r="H384" s="9" t="s">
        <v>604</v>
      </c>
      <c r="I384" s="9" t="s">
        <v>1226</v>
      </c>
      <c r="J384" s="44">
        <v>8.48</v>
      </c>
      <c r="K384" s="60">
        <v>7.96</v>
      </c>
      <c r="L384" s="56">
        <v>6.04</v>
      </c>
      <c r="M384" s="14">
        <f>K384-L384</f>
        <v>1.92</v>
      </c>
      <c r="N384" s="15">
        <f>IFERROR(M384/K384,0)</f>
        <v>0.24120603015075376</v>
      </c>
      <c r="O384" s="14">
        <f>IFERROR(L384/J384,0)</f>
        <v>0.71226415094339623</v>
      </c>
      <c r="P384" s="14">
        <f>IFERROR(L384/G384,0)</f>
        <v>0.3178947368421064</v>
      </c>
    </row>
    <row r="385" spans="1:19" x14ac:dyDescent="0.3">
      <c r="A385" s="9" t="s">
        <v>1000</v>
      </c>
      <c r="B385" s="9" t="s">
        <v>18</v>
      </c>
      <c r="C385" s="9" t="s">
        <v>184</v>
      </c>
      <c r="D385" s="52">
        <v>46111</v>
      </c>
      <c r="E385" s="48">
        <v>0.82013888888888886</v>
      </c>
      <c r="F385" s="48">
        <v>0.83194444444444438</v>
      </c>
      <c r="G385" s="43">
        <f>(F385-E385)*1440</f>
        <v>16.99999999999994</v>
      </c>
      <c r="H385" s="9" t="s">
        <v>1232</v>
      </c>
      <c r="I385" s="9" t="s">
        <v>1233</v>
      </c>
      <c r="J385" s="44">
        <v>7.22</v>
      </c>
      <c r="K385" s="60">
        <v>6.95</v>
      </c>
      <c r="L385" s="56">
        <v>5.21</v>
      </c>
      <c r="M385" s="14">
        <f>K385-L385</f>
        <v>1.7400000000000002</v>
      </c>
      <c r="N385" s="15">
        <f>IFERROR(M385/K385,0)</f>
        <v>0.25035971223021586</v>
      </c>
      <c r="O385" s="14">
        <f>IFERROR(L385/J385,0)</f>
        <v>0.72160664819944598</v>
      </c>
      <c r="P385" s="14">
        <f>IFERROR(L385/G385,0)</f>
        <v>0.30647058823529522</v>
      </c>
      <c r="S385" s="61">
        <v>0.5</v>
      </c>
    </row>
    <row r="386" spans="1:19" x14ac:dyDescent="0.3">
      <c r="A386" s="9" t="s">
        <v>999</v>
      </c>
      <c r="B386" s="9" t="s">
        <v>18</v>
      </c>
      <c r="C386" s="9" t="s">
        <v>184</v>
      </c>
      <c r="D386" s="52">
        <v>46111</v>
      </c>
      <c r="E386" s="48">
        <v>0.80347222222222225</v>
      </c>
      <c r="F386" s="48">
        <v>0.81666666666666676</v>
      </c>
      <c r="G386" s="43">
        <f>(F386-E386)*1440</f>
        <v>19.000000000000092</v>
      </c>
      <c r="H386" s="9" t="s">
        <v>1230</v>
      </c>
      <c r="I386" s="9" t="s">
        <v>1231</v>
      </c>
      <c r="J386" s="44">
        <v>8.5399999999999991</v>
      </c>
      <c r="K386" s="60">
        <v>7.94</v>
      </c>
      <c r="L386" s="56">
        <v>6.49</v>
      </c>
      <c r="M386" s="14">
        <f>K386-L386</f>
        <v>1.4500000000000002</v>
      </c>
      <c r="N386" s="15">
        <f>IFERROR(M386/K386,0)</f>
        <v>0.18261964735516373</v>
      </c>
      <c r="O386" s="14">
        <f>IFERROR(L386/J386,0)</f>
        <v>0.75995316159250592</v>
      </c>
      <c r="P386" s="14">
        <f>IFERROR(L386/G386,0)</f>
        <v>0.34157894736841943</v>
      </c>
      <c r="S386" s="61">
        <v>0.5</v>
      </c>
    </row>
    <row r="387" spans="1:19" x14ac:dyDescent="0.3">
      <c r="A387" s="9" t="s">
        <v>997</v>
      </c>
      <c r="B387" s="9" t="s">
        <v>538</v>
      </c>
      <c r="C387" s="9" t="s">
        <v>184</v>
      </c>
      <c r="D387" s="52">
        <v>46111</v>
      </c>
      <c r="E387" s="48">
        <v>0.74861111111111101</v>
      </c>
      <c r="F387" s="48">
        <v>0.75902777777777775</v>
      </c>
      <c r="G387" s="43">
        <f>(F387-E387)*1440</f>
        <v>15.000000000000107</v>
      </c>
      <c r="H387" s="9" t="s">
        <v>1227</v>
      </c>
      <c r="I387" s="9" t="s">
        <v>1228</v>
      </c>
      <c r="J387" s="44">
        <v>6.58</v>
      </c>
      <c r="K387" s="60">
        <v>6.15</v>
      </c>
      <c r="L387" s="56">
        <v>5.97</v>
      </c>
      <c r="M387" s="14">
        <f>K387-L387</f>
        <v>0.1800000000000006</v>
      </c>
      <c r="N387" s="15">
        <f>IFERROR(M387/K387,0)</f>
        <v>2.9268292682926925E-2</v>
      </c>
      <c r="O387" s="14">
        <f>IFERROR(L387/J387,0)</f>
        <v>0.90729483282674772</v>
      </c>
      <c r="P387" s="14">
        <f>IFERROR(L387/G387,0)</f>
        <v>0.39799999999999713</v>
      </c>
    </row>
    <row r="388" spans="1:19" x14ac:dyDescent="0.3">
      <c r="A388" s="9" t="s">
        <v>993</v>
      </c>
      <c r="B388" s="9" t="s">
        <v>18</v>
      </c>
      <c r="C388" s="9" t="s">
        <v>184</v>
      </c>
      <c r="D388" s="52">
        <v>46111</v>
      </c>
      <c r="E388" s="48">
        <v>0.5708333333333333</v>
      </c>
      <c r="F388" s="48">
        <v>0.57986111111111105</v>
      </c>
      <c r="G388" s="43">
        <f>(F388-E388)*1440</f>
        <v>12.999999999999954</v>
      </c>
      <c r="H388" s="9" t="s">
        <v>1120</v>
      </c>
      <c r="I388" s="9" t="s">
        <v>1223</v>
      </c>
      <c r="J388" s="44">
        <v>7.55</v>
      </c>
      <c r="K388" s="60">
        <v>9</v>
      </c>
      <c r="L388" s="56">
        <v>7.11</v>
      </c>
      <c r="M388" s="14">
        <f>K388-L388</f>
        <v>1.8899999999999997</v>
      </c>
      <c r="N388" s="15">
        <f>IFERROR(M388/K388,0)</f>
        <v>0.20999999999999996</v>
      </c>
      <c r="O388" s="14">
        <f>IFERROR(L388/J388,0)</f>
        <v>0.94172185430463584</v>
      </c>
      <c r="P388" s="14">
        <f>IFERROR(L388/G388,0)</f>
        <v>0.54692307692307884</v>
      </c>
    </row>
    <row r="389" spans="1:19" x14ac:dyDescent="0.3">
      <c r="A389" s="9" t="s">
        <v>989</v>
      </c>
      <c r="B389" s="9" t="s">
        <v>26</v>
      </c>
      <c r="C389" s="9" t="s">
        <v>26</v>
      </c>
      <c r="D389" s="52">
        <v>46111</v>
      </c>
      <c r="E389" s="48">
        <v>0.61944444444444446</v>
      </c>
      <c r="F389" s="48">
        <v>0.62638888888888888</v>
      </c>
      <c r="G389" s="43">
        <f>(F389-E389)*1440</f>
        <v>9.9999999999999645</v>
      </c>
      <c r="H389" s="9" t="s">
        <v>1216</v>
      </c>
      <c r="I389" s="9" t="s">
        <v>1120</v>
      </c>
      <c r="J389" s="44">
        <v>2.9</v>
      </c>
      <c r="K389" s="60">
        <v>3.96</v>
      </c>
      <c r="L389" s="56">
        <v>3.63</v>
      </c>
      <c r="M389" s="14">
        <f>K389-L389</f>
        <v>0.33000000000000007</v>
      </c>
      <c r="N389" s="15">
        <f>IFERROR(M389/K389,0)</f>
        <v>8.3333333333333356E-2</v>
      </c>
      <c r="O389" s="14">
        <f>IFERROR(L389/J389,0)</f>
        <v>1.2517241379310344</v>
      </c>
      <c r="P389" s="14">
        <f>IFERROR(L389/G389,0)</f>
        <v>0.36300000000000127</v>
      </c>
    </row>
    <row r="390" spans="1:19" x14ac:dyDescent="0.3">
      <c r="A390" s="9" t="s">
        <v>1002</v>
      </c>
      <c r="B390" s="9" t="s">
        <v>538</v>
      </c>
      <c r="C390" s="9" t="s">
        <v>230</v>
      </c>
      <c r="D390" s="52">
        <v>46111</v>
      </c>
      <c r="E390" s="48">
        <v>0.87083333333333324</v>
      </c>
      <c r="F390" s="48">
        <v>0.87361111111111101</v>
      </c>
      <c r="G390" s="43">
        <f>(F390-E390)*1440</f>
        <v>3.9999999999999858</v>
      </c>
      <c r="H390" s="9" t="s">
        <v>1120</v>
      </c>
      <c r="I390" s="9" t="s">
        <v>1234</v>
      </c>
      <c r="J390" s="44">
        <v>2.35</v>
      </c>
      <c r="K390" s="60">
        <v>5.91</v>
      </c>
      <c r="L390" s="56">
        <v>4.5</v>
      </c>
      <c r="M390" s="14">
        <f>K390-L390</f>
        <v>1.4100000000000001</v>
      </c>
      <c r="N390" s="15">
        <f>IFERROR(M390/K390,0)</f>
        <v>0.23857868020304571</v>
      </c>
      <c r="O390" s="14">
        <f>IFERROR(L390/J390,0)</f>
        <v>1.9148936170212765</v>
      </c>
      <c r="P390" s="14">
        <f>IFERROR(L390/G390,0)</f>
        <v>1.125000000000004</v>
      </c>
    </row>
    <row r="391" spans="1:19" x14ac:dyDescent="0.3">
      <c r="A391" s="9" t="s">
        <v>1004</v>
      </c>
      <c r="B391" s="9" t="s">
        <v>538</v>
      </c>
      <c r="C391" s="9" t="s">
        <v>184</v>
      </c>
      <c r="D391" s="52">
        <v>46112</v>
      </c>
      <c r="E391" s="48">
        <v>0.56597222222222221</v>
      </c>
      <c r="F391" s="48">
        <v>0.58124999999999993</v>
      </c>
      <c r="G391" s="43">
        <f>(F391-E391)*1440</f>
        <v>21.999999999999922</v>
      </c>
      <c r="H391" s="9" t="s">
        <v>1236</v>
      </c>
      <c r="I391" s="9" t="s">
        <v>1237</v>
      </c>
      <c r="J391" s="44">
        <v>18.09</v>
      </c>
      <c r="K391" s="60">
        <v>9.9600000000000009</v>
      </c>
      <c r="L391" s="56">
        <v>6.82</v>
      </c>
      <c r="M391" s="14">
        <f>K391-L391</f>
        <v>3.1400000000000006</v>
      </c>
      <c r="N391" s="15">
        <f>IFERROR(M391/K391,0)</f>
        <v>0.31526104417670686</v>
      </c>
      <c r="O391" s="14">
        <f>IFERROR(L391/J391,0)</f>
        <v>0.37700386954118298</v>
      </c>
      <c r="P391" s="14">
        <f>IFERROR(L391/G391,0)</f>
        <v>0.31000000000000111</v>
      </c>
    </row>
    <row r="392" spans="1:19" x14ac:dyDescent="0.3">
      <c r="A392" s="9" t="s">
        <v>1022</v>
      </c>
      <c r="B392" s="9" t="s">
        <v>26</v>
      </c>
      <c r="C392" s="9" t="s">
        <v>27</v>
      </c>
      <c r="D392" s="52">
        <v>46112</v>
      </c>
      <c r="E392" s="48">
        <v>0.68194444444444446</v>
      </c>
      <c r="F392" s="48">
        <v>0.69652777777777775</v>
      </c>
      <c r="G392" s="43">
        <f>(F392-E392)*1440</f>
        <v>20.999999999999925</v>
      </c>
      <c r="H392" s="9" t="s">
        <v>1262</v>
      </c>
      <c r="I392" s="9" t="s">
        <v>902</v>
      </c>
      <c r="J392" s="44">
        <v>12.9</v>
      </c>
      <c r="K392" s="60">
        <v>8.6300000000000008</v>
      </c>
      <c r="L392" s="56">
        <v>6.47</v>
      </c>
      <c r="M392" s="14">
        <f>K392-L392</f>
        <v>2.160000000000001</v>
      </c>
      <c r="N392" s="15">
        <f>IFERROR(M392/K392,0)</f>
        <v>0.25028968713789118</v>
      </c>
      <c r="O392" s="14">
        <f>IFERROR(L392/J392,0)</f>
        <v>0.50155038759689918</v>
      </c>
      <c r="P392" s="14">
        <f>IFERROR(L392/G392,0)</f>
        <v>0.3080952380952392</v>
      </c>
    </row>
    <row r="393" spans="1:19" x14ac:dyDescent="0.3">
      <c r="A393" s="9" t="s">
        <v>1020</v>
      </c>
      <c r="B393" s="9" t="s">
        <v>26</v>
      </c>
      <c r="C393" s="9" t="s">
        <v>27</v>
      </c>
      <c r="D393" s="52">
        <v>46112</v>
      </c>
      <c r="E393" s="48">
        <v>0.55625000000000002</v>
      </c>
      <c r="F393" s="48">
        <v>0.56597222222222221</v>
      </c>
      <c r="G393" s="43">
        <f>(F393-E393)*1440</f>
        <v>13.99999999999995</v>
      </c>
      <c r="H393" s="9" t="s">
        <v>1260</v>
      </c>
      <c r="I393" s="9" t="s">
        <v>1261</v>
      </c>
      <c r="J393" s="44">
        <v>11</v>
      </c>
      <c r="K393" s="60">
        <v>7.39</v>
      </c>
      <c r="L393" s="56">
        <v>5.54</v>
      </c>
      <c r="M393" s="14">
        <f>K393-L393</f>
        <v>1.8499999999999996</v>
      </c>
      <c r="N393" s="15">
        <f>IFERROR(M393/K393,0)</f>
        <v>0.25033829499323407</v>
      </c>
      <c r="O393" s="14">
        <f>IFERROR(L393/J393,0)</f>
        <v>0.50363636363636366</v>
      </c>
      <c r="P393" s="14">
        <f>IFERROR(L393/G393,0)</f>
        <v>0.39571428571428713</v>
      </c>
    </row>
    <row r="394" spans="1:19" x14ac:dyDescent="0.3">
      <c r="A394" s="9" t="s">
        <v>1024</v>
      </c>
      <c r="B394" s="9" t="s">
        <v>26</v>
      </c>
      <c r="C394" s="9" t="s">
        <v>27</v>
      </c>
      <c r="D394" s="52">
        <v>46112</v>
      </c>
      <c r="E394" s="48">
        <v>0.79375000000000007</v>
      </c>
      <c r="F394" s="48">
        <v>0.80625000000000002</v>
      </c>
      <c r="G394" s="43">
        <f>(F394-E394)*1440</f>
        <v>17.999999999999936</v>
      </c>
      <c r="H394" s="9" t="s">
        <v>1265</v>
      </c>
      <c r="I394" s="9" t="s">
        <v>1266</v>
      </c>
      <c r="J394" s="44">
        <v>13.9</v>
      </c>
      <c r="K394" s="60">
        <v>9.6300000000000008</v>
      </c>
      <c r="L394" s="56">
        <v>7.22</v>
      </c>
      <c r="M394" s="14">
        <f>K394-L394</f>
        <v>2.410000000000001</v>
      </c>
      <c r="N394" s="15">
        <f>IFERROR(M394/K394,0)</f>
        <v>0.25025960539979242</v>
      </c>
      <c r="O394" s="14">
        <f>IFERROR(L394/J394,0)</f>
        <v>0.51942446043165469</v>
      </c>
      <c r="P394" s="14">
        <f>IFERROR(L394/G394,0)</f>
        <v>0.40111111111111253</v>
      </c>
    </row>
    <row r="395" spans="1:19" x14ac:dyDescent="0.3">
      <c r="A395" s="9" t="s">
        <v>1005</v>
      </c>
      <c r="B395" s="9" t="s">
        <v>18</v>
      </c>
      <c r="C395" s="9" t="s">
        <v>196</v>
      </c>
      <c r="D395" s="52">
        <v>46112</v>
      </c>
      <c r="E395" s="48">
        <v>0.58402777777777781</v>
      </c>
      <c r="F395" s="48">
        <v>0.59236111111111112</v>
      </c>
      <c r="G395" s="43">
        <f>(F395-E395)*1440</f>
        <v>11.999999999999957</v>
      </c>
      <c r="H395" s="9" t="s">
        <v>1238</v>
      </c>
      <c r="I395" s="9" t="s">
        <v>1239</v>
      </c>
      <c r="J395" s="44">
        <v>9.31</v>
      </c>
      <c r="K395" s="60">
        <v>6.98</v>
      </c>
      <c r="L395" s="56">
        <v>5.07</v>
      </c>
      <c r="M395" s="14">
        <f>K395-L395</f>
        <v>1.9100000000000001</v>
      </c>
      <c r="N395" s="15">
        <f>IFERROR(M395/K395,0)</f>
        <v>0.27363896848137537</v>
      </c>
      <c r="O395" s="14">
        <f>IFERROR(L395/J395,0)</f>
        <v>0.54457572502685281</v>
      </c>
      <c r="P395" s="14">
        <f>IFERROR(L395/G395,0)</f>
        <v>0.42250000000000154</v>
      </c>
    </row>
    <row r="396" spans="1:19" x14ac:dyDescent="0.3">
      <c r="A396" s="9" t="s">
        <v>1018</v>
      </c>
      <c r="B396" s="9" t="s">
        <v>18</v>
      </c>
      <c r="C396" s="9" t="s">
        <v>184</v>
      </c>
      <c r="D396" s="52">
        <v>46112</v>
      </c>
      <c r="E396" s="48">
        <v>0.90694444444444444</v>
      </c>
      <c r="F396" s="48">
        <v>0.9194444444444444</v>
      </c>
      <c r="G396" s="43">
        <f>(F396-E396)*1440</f>
        <v>17.999999999999936</v>
      </c>
      <c r="H396" s="9" t="s">
        <v>1207</v>
      </c>
      <c r="I396" s="9" t="s">
        <v>1221</v>
      </c>
      <c r="J396" s="44">
        <v>18.309999999999999</v>
      </c>
      <c r="K396" s="60">
        <v>11.95</v>
      </c>
      <c r="L396" s="56">
        <v>10.06</v>
      </c>
      <c r="M396" s="14">
        <f>K396-L396</f>
        <v>1.8899999999999988</v>
      </c>
      <c r="N396" s="15">
        <f>IFERROR(M396/K396,0)</f>
        <v>0.15815899581589948</v>
      </c>
      <c r="O396" s="14">
        <f>IFERROR(L396/J396,0)</f>
        <v>0.54942654287274717</v>
      </c>
      <c r="P396" s="14">
        <f>IFERROR(L396/G396,0)</f>
        <v>0.55888888888889088</v>
      </c>
    </row>
    <row r="397" spans="1:19" x14ac:dyDescent="0.3">
      <c r="A397" s="9" t="s">
        <v>1008</v>
      </c>
      <c r="B397" s="9" t="s">
        <v>538</v>
      </c>
      <c r="C397" s="9" t="s">
        <v>184</v>
      </c>
      <c r="D397" s="52">
        <v>46112</v>
      </c>
      <c r="E397" s="48">
        <v>0.65555555555555556</v>
      </c>
      <c r="F397" s="48">
        <v>0.66249999999999998</v>
      </c>
      <c r="G397" s="43">
        <f>(F397-E397)*1440</f>
        <v>9.9999999999999645</v>
      </c>
      <c r="H397" s="9" t="s">
        <v>1243</v>
      </c>
      <c r="I397" s="9" t="s">
        <v>1244</v>
      </c>
      <c r="J397" s="44">
        <v>6.2</v>
      </c>
      <c r="K397" s="60">
        <v>4.93</v>
      </c>
      <c r="L397" s="56">
        <v>3.44</v>
      </c>
      <c r="M397" s="14">
        <f>K397-L397</f>
        <v>1.4899999999999998</v>
      </c>
      <c r="N397" s="15">
        <f>IFERROR(M397/K397,0)</f>
        <v>0.30223123732251517</v>
      </c>
      <c r="O397" s="14">
        <f>IFERROR(L397/J397,0)</f>
        <v>0.55483870967741933</v>
      </c>
      <c r="P397" s="14">
        <f>IFERROR(L397/G397,0)</f>
        <v>0.34400000000000119</v>
      </c>
    </row>
    <row r="398" spans="1:19" x14ac:dyDescent="0.3">
      <c r="A398" s="9" t="s">
        <v>1015</v>
      </c>
      <c r="B398" s="9" t="s">
        <v>18</v>
      </c>
      <c r="C398" s="9" t="s">
        <v>184</v>
      </c>
      <c r="D398" s="52">
        <v>46112</v>
      </c>
      <c r="E398" s="48">
        <v>0.84305555555555556</v>
      </c>
      <c r="F398" s="48">
        <v>0.85069444444444453</v>
      </c>
      <c r="G398" s="43">
        <f>(F398-E398)*1440</f>
        <v>11.000000000000121</v>
      </c>
      <c r="H398" s="9" t="s">
        <v>1254</v>
      </c>
      <c r="I398" s="9" t="s">
        <v>1255</v>
      </c>
      <c r="J398" s="44">
        <v>8</v>
      </c>
      <c r="K398" s="60">
        <v>6.94</v>
      </c>
      <c r="L398" s="56">
        <v>4.51</v>
      </c>
      <c r="M398" s="14">
        <f>K398-L398</f>
        <v>2.4300000000000006</v>
      </c>
      <c r="N398" s="15">
        <f>IFERROR(M398/K398,0)</f>
        <v>0.35014409221902026</v>
      </c>
      <c r="O398" s="14">
        <f>IFERROR(L398/J398,0)</f>
        <v>0.56374999999999997</v>
      </c>
      <c r="P398" s="14">
        <f>IFERROR(L398/G398,0)</f>
        <v>0.40999999999999548</v>
      </c>
    </row>
    <row r="399" spans="1:19" x14ac:dyDescent="0.3">
      <c r="A399" s="9" t="s">
        <v>1007</v>
      </c>
      <c r="B399" s="9" t="s">
        <v>18</v>
      </c>
      <c r="C399" s="9" t="s">
        <v>196</v>
      </c>
      <c r="D399" s="52">
        <v>46112</v>
      </c>
      <c r="E399" s="48">
        <v>0.64374999999999993</v>
      </c>
      <c r="F399" s="48">
        <v>0.65208333333333335</v>
      </c>
      <c r="G399" s="43">
        <f>(F399-E399)*1440</f>
        <v>12.000000000000117</v>
      </c>
      <c r="H399" s="9" t="s">
        <v>1241</v>
      </c>
      <c r="I399" s="9" t="s">
        <v>1242</v>
      </c>
      <c r="J399" s="44">
        <v>7.94</v>
      </c>
      <c r="K399" s="60">
        <v>5.98</v>
      </c>
      <c r="L399" s="56">
        <v>4.79</v>
      </c>
      <c r="M399" s="14">
        <f>K399-L399</f>
        <v>1.1900000000000004</v>
      </c>
      <c r="N399" s="15">
        <f>IFERROR(M399/K399,0)</f>
        <v>0.19899665551839471</v>
      </c>
      <c r="O399" s="14">
        <f>IFERROR(L399/J399,0)</f>
        <v>0.60327455919395467</v>
      </c>
      <c r="P399" s="14">
        <f>IFERROR(L399/G399,0)</f>
        <v>0.39916666666666278</v>
      </c>
      <c r="S399" s="61">
        <v>0.5</v>
      </c>
    </row>
    <row r="400" spans="1:19" x14ac:dyDescent="0.3">
      <c r="A400" s="9" t="s">
        <v>1009</v>
      </c>
      <c r="B400" s="9" t="s">
        <v>538</v>
      </c>
      <c r="C400" s="9" t="s">
        <v>184</v>
      </c>
      <c r="D400" s="52">
        <v>46112</v>
      </c>
      <c r="E400" s="48">
        <v>0.72222222222222221</v>
      </c>
      <c r="F400" s="48">
        <v>0.73125000000000007</v>
      </c>
      <c r="G400" s="43">
        <f>(F400-E400)*1440</f>
        <v>13.000000000000114</v>
      </c>
      <c r="H400" s="9" t="s">
        <v>648</v>
      </c>
      <c r="I400" s="9" t="s">
        <v>1245</v>
      </c>
      <c r="J400" s="44">
        <v>7.93</v>
      </c>
      <c r="K400" s="60">
        <v>6.96</v>
      </c>
      <c r="L400" s="56">
        <v>4.8600000000000003</v>
      </c>
      <c r="M400" s="14">
        <f>K400-L400</f>
        <v>2.0999999999999996</v>
      </c>
      <c r="N400" s="15">
        <f>IFERROR(M400/K400,0)</f>
        <v>0.30172413793103442</v>
      </c>
      <c r="O400" s="14">
        <f>IFERROR(L400/J400,0)</f>
        <v>0.61286254728877687</v>
      </c>
      <c r="P400" s="14">
        <f>IFERROR(L400/G400,0)</f>
        <v>0.37384615384615061</v>
      </c>
    </row>
    <row r="401" spans="1:17" x14ac:dyDescent="0.3">
      <c r="A401" s="9" t="s">
        <v>1017</v>
      </c>
      <c r="B401" s="9" t="s">
        <v>18</v>
      </c>
      <c r="C401" s="9" t="s">
        <v>184</v>
      </c>
      <c r="D401" s="52">
        <v>46112</v>
      </c>
      <c r="E401" s="48">
        <v>0.87569444444444444</v>
      </c>
      <c r="F401" s="48">
        <v>0.88611111111111107</v>
      </c>
      <c r="G401" s="43">
        <f>(F401-E401)*1440</f>
        <v>14.999999999999947</v>
      </c>
      <c r="H401" s="9" t="s">
        <v>1257</v>
      </c>
      <c r="I401" s="9" t="s">
        <v>604</v>
      </c>
      <c r="J401" s="44">
        <v>8.41</v>
      </c>
      <c r="K401" s="60">
        <v>5.94</v>
      </c>
      <c r="L401" s="56">
        <v>5.22</v>
      </c>
      <c r="M401" s="14">
        <f>K401-L401</f>
        <v>0.72000000000000064</v>
      </c>
      <c r="N401" s="15">
        <f>IFERROR(M401/K401,0)</f>
        <v>0.12121212121212131</v>
      </c>
      <c r="O401" s="14">
        <f>IFERROR(L401/J401,0)</f>
        <v>0.6206896551724137</v>
      </c>
      <c r="P401" s="14">
        <f>IFERROR(L401/G401,0)</f>
        <v>0.3480000000000012</v>
      </c>
    </row>
    <row r="402" spans="1:17" x14ac:dyDescent="0.3">
      <c r="A402" s="9" t="s">
        <v>1011</v>
      </c>
      <c r="B402" s="9" t="s">
        <v>18</v>
      </c>
      <c r="C402" s="9" t="s">
        <v>184</v>
      </c>
      <c r="D402" s="52">
        <v>46112</v>
      </c>
      <c r="E402" s="48">
        <v>0.75486111111111109</v>
      </c>
      <c r="F402" s="48">
        <v>0.76527777777777783</v>
      </c>
      <c r="G402" s="43">
        <f>(F402-E402)*1440</f>
        <v>15.000000000000107</v>
      </c>
      <c r="H402" s="9" t="s">
        <v>725</v>
      </c>
      <c r="I402" s="9" t="s">
        <v>1247</v>
      </c>
      <c r="J402" s="44">
        <v>8.2100000000000009</v>
      </c>
      <c r="K402" s="60">
        <v>7.95</v>
      </c>
      <c r="L402" s="56">
        <v>5.17</v>
      </c>
      <c r="M402" s="14">
        <f>K402-L402</f>
        <v>2.7800000000000002</v>
      </c>
      <c r="N402" s="15">
        <f>IFERROR(M402/K402,0)</f>
        <v>0.349685534591195</v>
      </c>
      <c r="O402" s="14">
        <f>IFERROR(L402/J402,0)</f>
        <v>0.6297198538367843</v>
      </c>
      <c r="P402" s="14">
        <f>IFERROR(L402/G402,0)</f>
        <v>0.34466666666666423</v>
      </c>
    </row>
    <row r="403" spans="1:17" x14ac:dyDescent="0.3">
      <c r="A403" s="9" t="s">
        <v>1019</v>
      </c>
      <c r="B403" s="9" t="s">
        <v>26</v>
      </c>
      <c r="C403" s="9" t="s">
        <v>26</v>
      </c>
      <c r="D403" s="52">
        <v>46112</v>
      </c>
      <c r="E403" s="48">
        <v>0.5444444444444444</v>
      </c>
      <c r="F403" s="48">
        <v>0.55208333333333337</v>
      </c>
      <c r="G403" s="43">
        <f>(F403-E403)*1440</f>
        <v>11.000000000000121</v>
      </c>
      <c r="H403" s="9" t="s">
        <v>1258</v>
      </c>
      <c r="I403" s="9" t="s">
        <v>1259</v>
      </c>
      <c r="J403" s="44">
        <v>5.9</v>
      </c>
      <c r="K403" s="60">
        <v>4.24</v>
      </c>
      <c r="L403" s="56">
        <v>3.74</v>
      </c>
      <c r="M403" s="14">
        <f>K403-L403</f>
        <v>0.5</v>
      </c>
      <c r="N403" s="15">
        <f>IFERROR(M403/K403,0)</f>
        <v>0.11792452830188678</v>
      </c>
      <c r="O403" s="14">
        <f>IFERROR(L403/J403,0)</f>
        <v>0.63389830508474576</v>
      </c>
      <c r="P403" s="14">
        <f>IFERROR(L403/G403,0)</f>
        <v>0.33999999999999631</v>
      </c>
    </row>
    <row r="404" spans="1:17" x14ac:dyDescent="0.3">
      <c r="A404" s="9" t="s">
        <v>1014</v>
      </c>
      <c r="B404" s="9" t="s">
        <v>18</v>
      </c>
      <c r="C404" s="9" t="s">
        <v>196</v>
      </c>
      <c r="D404" s="52">
        <v>46112</v>
      </c>
      <c r="E404" s="48">
        <v>0.83194444444444438</v>
      </c>
      <c r="F404" s="48">
        <v>0.84027777777777779</v>
      </c>
      <c r="G404" s="43">
        <f>(F404-E404)*1440</f>
        <v>12.000000000000117</v>
      </c>
      <c r="H404" s="9" t="s">
        <v>1252</v>
      </c>
      <c r="I404" s="9" t="s">
        <v>1253</v>
      </c>
      <c r="J404" s="44">
        <v>7.57</v>
      </c>
      <c r="K404" s="60">
        <v>7.98</v>
      </c>
      <c r="L404" s="56">
        <v>6.03</v>
      </c>
      <c r="M404" s="14">
        <f>K404-L404</f>
        <v>1.9500000000000002</v>
      </c>
      <c r="N404" s="15">
        <f>IFERROR(M404/K404,0)</f>
        <v>0.24436090225563911</v>
      </c>
      <c r="O404" s="14">
        <f>IFERROR(L404/J404,0)</f>
        <v>0.79656538969616908</v>
      </c>
      <c r="P404" s="14">
        <f>IFERROR(L404/G404,0)</f>
        <v>0.50249999999999506</v>
      </c>
    </row>
    <row r="405" spans="1:17" x14ac:dyDescent="0.3">
      <c r="A405" s="9" t="s">
        <v>1013</v>
      </c>
      <c r="B405" s="9" t="s">
        <v>538</v>
      </c>
      <c r="C405" s="9" t="s">
        <v>184</v>
      </c>
      <c r="D405" s="52">
        <v>46112</v>
      </c>
      <c r="E405" s="48">
        <v>0.81805555555555554</v>
      </c>
      <c r="F405" s="48">
        <v>0.82916666666666661</v>
      </c>
      <c r="G405" s="43">
        <f>(F405-E405)*1440</f>
        <v>15.999999999999943</v>
      </c>
      <c r="H405" s="9" t="s">
        <v>1250</v>
      </c>
      <c r="I405" s="9" t="s">
        <v>1251</v>
      </c>
      <c r="J405" s="44">
        <v>7.53</v>
      </c>
      <c r="K405" s="60">
        <v>7.79</v>
      </c>
      <c r="L405" s="56">
        <v>6.05</v>
      </c>
      <c r="M405" s="14">
        <f>K405-L405</f>
        <v>1.7400000000000002</v>
      </c>
      <c r="N405" s="15">
        <f>IFERROR(M405/K405,0)</f>
        <v>0.22336328626444163</v>
      </c>
      <c r="O405" s="14">
        <f>IFERROR(L405/J405,0)</f>
        <v>0.80345285524568388</v>
      </c>
      <c r="P405" s="14">
        <f>IFERROR(L405/G405,0)</f>
        <v>0.37812500000000132</v>
      </c>
    </row>
    <row r="406" spans="1:17" x14ac:dyDescent="0.3">
      <c r="A406" s="9" t="s">
        <v>1021</v>
      </c>
      <c r="B406" s="9" t="s">
        <v>26</v>
      </c>
      <c r="C406" s="9" t="s">
        <v>26</v>
      </c>
      <c r="D406" s="52">
        <v>46112</v>
      </c>
      <c r="E406" s="48">
        <v>0.62708333333333333</v>
      </c>
      <c r="F406" s="48">
        <v>0.63680555555555551</v>
      </c>
      <c r="G406" s="43">
        <f>(F406-E406)*1440</f>
        <v>13.99999999999995</v>
      </c>
      <c r="H406" s="9" t="s">
        <v>1120</v>
      </c>
      <c r="I406" s="9" t="s">
        <v>248</v>
      </c>
      <c r="J406" s="44">
        <v>6.5</v>
      </c>
      <c r="K406" s="60">
        <v>6</v>
      </c>
      <c r="L406" s="56">
        <v>5.5</v>
      </c>
      <c r="M406" s="14">
        <f>K406-L406</f>
        <v>0.5</v>
      </c>
      <c r="N406" s="15">
        <f>IFERROR(M406/K406,0)</f>
        <v>8.3333333333333329E-2</v>
      </c>
      <c r="O406" s="14">
        <f>IFERROR(L406/J406,0)</f>
        <v>0.84615384615384615</v>
      </c>
      <c r="P406" s="14">
        <f>IFERROR(L406/G406,0)</f>
        <v>0.39285714285714424</v>
      </c>
    </row>
    <row r="407" spans="1:17" x14ac:dyDescent="0.3">
      <c r="A407" s="9" t="s">
        <v>1016</v>
      </c>
      <c r="B407" s="9" t="s">
        <v>18</v>
      </c>
      <c r="C407" s="9" t="s">
        <v>196</v>
      </c>
      <c r="D407" s="52">
        <v>46112</v>
      </c>
      <c r="E407" s="48">
        <v>0.86111111111111116</v>
      </c>
      <c r="F407" s="48">
        <v>0.86805555555555547</v>
      </c>
      <c r="G407" s="43">
        <f>(F407-E407)*1440</f>
        <v>9.9999999999998046</v>
      </c>
      <c r="H407" s="9" t="s">
        <v>698</v>
      </c>
      <c r="I407" s="9" t="s">
        <v>1256</v>
      </c>
      <c r="J407" s="44">
        <v>5.47</v>
      </c>
      <c r="K407" s="60">
        <v>5.97</v>
      </c>
      <c r="L407" s="56">
        <v>4.63</v>
      </c>
      <c r="M407" s="14">
        <f>K407-L407</f>
        <v>1.3399999999999999</v>
      </c>
      <c r="N407" s="15">
        <f>IFERROR(M407/K407,0)</f>
        <v>0.22445561139028475</v>
      </c>
      <c r="O407" s="14">
        <f>IFERROR(L407/J407,0)</f>
        <v>0.84643510054844606</v>
      </c>
      <c r="P407" s="14">
        <f>IFERROR(L407/G407,0)</f>
        <v>0.46300000000000902</v>
      </c>
    </row>
    <row r="408" spans="1:17" x14ac:dyDescent="0.3">
      <c r="A408" s="9" t="s">
        <v>1023</v>
      </c>
      <c r="B408" s="9" t="s">
        <v>26</v>
      </c>
      <c r="C408" s="9" t="s">
        <v>26</v>
      </c>
      <c r="D408" s="52">
        <v>46112</v>
      </c>
      <c r="E408" s="48">
        <v>0.69861111111111107</v>
      </c>
      <c r="F408" s="48">
        <v>0.70972222222222225</v>
      </c>
      <c r="G408" s="43">
        <f>(F408-E408)*1440</f>
        <v>16.000000000000103</v>
      </c>
      <c r="H408" s="9" t="s">
        <v>1263</v>
      </c>
      <c r="I408" s="9" t="s">
        <v>1264</v>
      </c>
      <c r="J408" s="44">
        <v>5.4</v>
      </c>
      <c r="K408" s="60">
        <v>4.7300000000000004</v>
      </c>
      <c r="L408" s="56">
        <v>4.87</v>
      </c>
      <c r="M408" s="14">
        <f>K408-L408</f>
        <v>-0.13999999999999968</v>
      </c>
      <c r="N408" s="15">
        <f>IFERROR(M408/K408,0)</f>
        <v>-2.9598308668076039E-2</v>
      </c>
      <c r="O408" s="14">
        <f>IFERROR(L408/J408,0)</f>
        <v>0.90185185185185179</v>
      </c>
      <c r="P408" s="14">
        <f>IFERROR(L408/G408,0)</f>
        <v>0.30437499999999806</v>
      </c>
    </row>
    <row r="409" spans="1:17" x14ac:dyDescent="0.3">
      <c r="A409" s="9" t="s">
        <v>1010</v>
      </c>
      <c r="B409" s="9" t="s">
        <v>18</v>
      </c>
      <c r="C409" s="9" t="s">
        <v>184</v>
      </c>
      <c r="D409" s="52">
        <v>46112</v>
      </c>
      <c r="E409" s="48">
        <v>0.73263888888888884</v>
      </c>
      <c r="F409" s="48">
        <v>0.74375000000000002</v>
      </c>
      <c r="G409" s="43">
        <f>(F409-E409)*1440</f>
        <v>16.000000000000103</v>
      </c>
      <c r="H409" s="9" t="s">
        <v>1246</v>
      </c>
      <c r="I409" s="9" t="s">
        <v>234</v>
      </c>
      <c r="J409" s="44">
        <v>8.64</v>
      </c>
      <c r="K409" s="60">
        <v>11.95</v>
      </c>
      <c r="L409" s="56">
        <v>9.1300000000000008</v>
      </c>
      <c r="M409" s="14">
        <f>K409-L409</f>
        <v>2.8199999999999985</v>
      </c>
      <c r="N409" s="15">
        <f>IFERROR(M409/K409,0)</f>
        <v>0.23598326359832625</v>
      </c>
      <c r="O409" s="14">
        <f>IFERROR(L409/J409,0)</f>
        <v>1.056712962962963</v>
      </c>
      <c r="P409" s="14">
        <f>IFERROR(L409/G409,0)</f>
        <v>0.57062499999999639</v>
      </c>
    </row>
    <row r="410" spans="1:17" x14ac:dyDescent="0.3">
      <c r="A410" s="9" t="s">
        <v>1006</v>
      </c>
      <c r="B410" s="9" t="s">
        <v>18</v>
      </c>
      <c r="C410" s="9" t="s">
        <v>184</v>
      </c>
      <c r="D410" s="52">
        <v>46112</v>
      </c>
      <c r="E410" s="48">
        <v>0.6069444444444444</v>
      </c>
      <c r="F410" s="48">
        <v>0.61875000000000002</v>
      </c>
      <c r="G410" s="43">
        <f>(F410-E410)*1440</f>
        <v>17.000000000000099</v>
      </c>
      <c r="H410" s="9" t="s">
        <v>1240</v>
      </c>
      <c r="I410" s="9" t="s">
        <v>1120</v>
      </c>
      <c r="J410" s="44">
        <v>5.56</v>
      </c>
      <c r="K410" s="60">
        <v>8.4700000000000006</v>
      </c>
      <c r="L410" s="56">
        <v>5.96</v>
      </c>
      <c r="M410" s="14">
        <f>K410-L410</f>
        <v>2.5100000000000007</v>
      </c>
      <c r="N410" s="15">
        <f>IFERROR(M410/K410,0)</f>
        <v>0.29634002361275097</v>
      </c>
      <c r="O410" s="14">
        <f>IFERROR(L410/J410,0)</f>
        <v>1.0719424460431655</v>
      </c>
      <c r="P410" s="14">
        <f>IFERROR(L410/G410,0)</f>
        <v>0.35058823529411559</v>
      </c>
    </row>
    <row r="411" spans="1:17" x14ac:dyDescent="0.3">
      <c r="A411" s="9" t="s">
        <v>1012</v>
      </c>
      <c r="B411" s="9" t="s">
        <v>18</v>
      </c>
      <c r="C411" s="9" t="s">
        <v>184</v>
      </c>
      <c r="D411" s="52">
        <v>46112</v>
      </c>
      <c r="E411" s="48">
        <v>0.80763888888888891</v>
      </c>
      <c r="F411" s="48">
        <v>0.8125</v>
      </c>
      <c r="G411" s="43">
        <f>(F411-E411)*1440</f>
        <v>6.9999999999999751</v>
      </c>
      <c r="H411" s="9" t="s">
        <v>1248</v>
      </c>
      <c r="I411" s="9" t="s">
        <v>1249</v>
      </c>
      <c r="J411" s="44">
        <v>2.7</v>
      </c>
      <c r="K411" s="60">
        <v>3.95</v>
      </c>
      <c r="L411" s="56">
        <v>3.38</v>
      </c>
      <c r="M411" s="14">
        <f>K411-L411</f>
        <v>0.57000000000000028</v>
      </c>
      <c r="N411" s="15">
        <f>IFERROR(M411/K411,0)</f>
        <v>0.14430379746835451</v>
      </c>
      <c r="O411" s="14">
        <f>IFERROR(L411/J411,0)</f>
        <v>1.2518518518518518</v>
      </c>
      <c r="P411" s="14">
        <f>IFERROR(L411/G411,0)</f>
        <v>0.48285714285714454</v>
      </c>
    </row>
    <row r="412" spans="1:17" x14ac:dyDescent="0.3">
      <c r="A412" s="9" t="s">
        <v>1031</v>
      </c>
      <c r="B412" s="9" t="s">
        <v>18</v>
      </c>
      <c r="C412" s="9" t="s">
        <v>184</v>
      </c>
      <c r="D412" s="52">
        <v>46119</v>
      </c>
      <c r="E412" s="48">
        <v>0.84236111111111101</v>
      </c>
      <c r="F412" s="48">
        <v>0.8569444444444444</v>
      </c>
      <c r="G412" s="43">
        <f>(F412-E412)*1440</f>
        <v>21.000000000000085</v>
      </c>
      <c r="H412" s="9" t="s">
        <v>1276</v>
      </c>
      <c r="I412" s="9" t="s">
        <v>1114</v>
      </c>
      <c r="J412" s="44">
        <v>19.420000000000002</v>
      </c>
      <c r="K412" s="60">
        <v>10.94</v>
      </c>
      <c r="L412" s="56">
        <v>7.45</v>
      </c>
      <c r="M412" s="14">
        <f>K412-L412</f>
        <v>3.4899999999999993</v>
      </c>
      <c r="N412" s="15">
        <f>IFERROR(M412/K412,0)</f>
        <v>0.31901279707495422</v>
      </c>
      <c r="O412" s="14">
        <f>IFERROR(L412/J412,0)</f>
        <v>0.38362512873326465</v>
      </c>
      <c r="P412" s="14">
        <f>IFERROR(L412/G412,0)</f>
        <v>0.35476190476190334</v>
      </c>
      <c r="Q412" s="64">
        <v>0.7</v>
      </c>
    </row>
    <row r="413" spans="1:17" x14ac:dyDescent="0.3">
      <c r="A413" s="9" t="s">
        <v>1025</v>
      </c>
      <c r="B413" s="9" t="s">
        <v>538</v>
      </c>
      <c r="C413" s="9" t="s">
        <v>184</v>
      </c>
      <c r="D413" s="52">
        <v>46119</v>
      </c>
      <c r="E413" s="48">
        <v>0.53819444444444442</v>
      </c>
      <c r="F413" s="48">
        <v>0.55138888888888882</v>
      </c>
      <c r="G413" s="43">
        <f>(F413-E413)*1440</f>
        <v>18.999999999999932</v>
      </c>
      <c r="H413" s="9" t="s">
        <v>1267</v>
      </c>
      <c r="I413" s="9" t="s">
        <v>1268</v>
      </c>
      <c r="J413" s="44">
        <v>16.96</v>
      </c>
      <c r="K413" s="60">
        <v>10.93</v>
      </c>
      <c r="L413" s="56">
        <v>7.21</v>
      </c>
      <c r="M413" s="14">
        <f>K413-L413</f>
        <v>3.7199999999999998</v>
      </c>
      <c r="N413" s="15">
        <f>IFERROR(M413/K413,0)</f>
        <v>0.34034766697163771</v>
      </c>
      <c r="O413" s="14">
        <f>IFERROR(L413/J413,0)</f>
        <v>0.42511792452830188</v>
      </c>
      <c r="P413" s="14">
        <f>IFERROR(L413/G413,0)</f>
        <v>0.37947368421052768</v>
      </c>
    </row>
    <row r="414" spans="1:17" x14ac:dyDescent="0.3">
      <c r="A414" s="9" t="s">
        <v>1030</v>
      </c>
      <c r="B414" s="9" t="s">
        <v>18</v>
      </c>
      <c r="C414" s="9" t="s">
        <v>184</v>
      </c>
      <c r="D414" s="52">
        <v>46119</v>
      </c>
      <c r="E414" s="48">
        <v>0.82013888888888886</v>
      </c>
      <c r="F414" s="48">
        <v>0.83263888888888893</v>
      </c>
      <c r="G414" s="43">
        <f>(F414-E414)*1440</f>
        <v>18.000000000000096</v>
      </c>
      <c r="H414" s="9" t="s">
        <v>1274</v>
      </c>
      <c r="I414" s="9" t="s">
        <v>1275</v>
      </c>
      <c r="J414" s="44">
        <v>18.02</v>
      </c>
      <c r="K414" s="60">
        <v>12.65</v>
      </c>
      <c r="L414" s="56">
        <v>8.0399999999999991</v>
      </c>
      <c r="M414" s="14">
        <f>K414-L414</f>
        <v>4.6100000000000012</v>
      </c>
      <c r="N414" s="15">
        <f>IFERROR(M414/K414,0)</f>
        <v>0.36442687747035579</v>
      </c>
      <c r="O414" s="14">
        <f>IFERROR(L414/J414,0)</f>
        <v>0.44617092119866814</v>
      </c>
      <c r="P414" s="14">
        <f>IFERROR(L414/G414,0)</f>
        <v>0.44666666666666421</v>
      </c>
      <c r="Q414" s="64">
        <v>0.4</v>
      </c>
    </row>
    <row r="415" spans="1:17" x14ac:dyDescent="0.3">
      <c r="A415" s="9" t="s">
        <v>1041</v>
      </c>
      <c r="B415" s="9" t="s">
        <v>26</v>
      </c>
      <c r="C415" s="9" t="s">
        <v>27</v>
      </c>
      <c r="D415" s="52">
        <v>46119</v>
      </c>
      <c r="E415" s="48">
        <v>0.66111111111111109</v>
      </c>
      <c r="F415" s="48">
        <v>0.67291666666666661</v>
      </c>
      <c r="G415" s="43">
        <f>(F415-E415)*1440</f>
        <v>16.99999999999994</v>
      </c>
      <c r="H415" s="9" t="s">
        <v>1290</v>
      </c>
      <c r="I415" s="9" t="s">
        <v>1291</v>
      </c>
      <c r="J415" s="44">
        <v>8.5</v>
      </c>
      <c r="K415" s="60">
        <v>5.62</v>
      </c>
      <c r="L415" s="56">
        <v>4.21</v>
      </c>
      <c r="M415" s="14">
        <f>K415-L415</f>
        <v>1.4100000000000001</v>
      </c>
      <c r="N415" s="15">
        <f>IFERROR(M415/K415,0)</f>
        <v>0.25088967971530252</v>
      </c>
      <c r="O415" s="14">
        <f>IFERROR(L415/J415,0)</f>
        <v>0.49529411764705883</v>
      </c>
      <c r="P415" s="14">
        <f>IFERROR(L415/G415,0)</f>
        <v>0.2476470588235303</v>
      </c>
    </row>
    <row r="416" spans="1:17" x14ac:dyDescent="0.3">
      <c r="A416" s="9" t="s">
        <v>1043</v>
      </c>
      <c r="B416" s="9" t="s">
        <v>26</v>
      </c>
      <c r="C416" s="9" t="s">
        <v>27</v>
      </c>
      <c r="D416" s="52">
        <v>46119</v>
      </c>
      <c r="E416" s="48">
        <v>0.69444444444444453</v>
      </c>
      <c r="F416" s="48">
        <v>0.70624999999999993</v>
      </c>
      <c r="G416" s="43">
        <f>(F416-E416)*1440</f>
        <v>16.99999999999978</v>
      </c>
      <c r="H416" s="9" t="s">
        <v>671</v>
      </c>
      <c r="I416" s="9" t="s">
        <v>1294</v>
      </c>
      <c r="J416" s="44">
        <v>15</v>
      </c>
      <c r="K416" s="60">
        <v>10.09</v>
      </c>
      <c r="L416" s="56">
        <v>7.57</v>
      </c>
      <c r="M416" s="14">
        <f>K416-L416</f>
        <v>2.5199999999999996</v>
      </c>
      <c r="N416" s="15">
        <f>IFERROR(M416/K416,0)</f>
        <v>0.24975222993062435</v>
      </c>
      <c r="O416" s="14">
        <f>IFERROR(L416/J416,0)</f>
        <v>0.50466666666666671</v>
      </c>
      <c r="P416" s="14">
        <f>IFERROR(L416/G416,0)</f>
        <v>0.44529411764706461</v>
      </c>
    </row>
    <row r="417" spans="1:18" x14ac:dyDescent="0.3">
      <c r="A417" s="9" t="s">
        <v>1033</v>
      </c>
      <c r="B417" s="9" t="s">
        <v>18</v>
      </c>
      <c r="C417" s="9" t="s">
        <v>184</v>
      </c>
      <c r="D417" s="52">
        <v>46119</v>
      </c>
      <c r="E417" s="48">
        <v>0.88055555555555554</v>
      </c>
      <c r="F417" s="48">
        <v>0.8930555555555556</v>
      </c>
      <c r="G417" s="43">
        <f>(F417-E417)*1440</f>
        <v>18.000000000000096</v>
      </c>
      <c r="H417" s="9" t="s">
        <v>1279</v>
      </c>
      <c r="I417" s="9" t="s">
        <v>1201</v>
      </c>
      <c r="J417" s="44">
        <v>12.95</v>
      </c>
      <c r="K417" s="60">
        <v>7.93</v>
      </c>
      <c r="L417" s="56">
        <v>6.56</v>
      </c>
      <c r="M417" s="14">
        <f>K417-L417</f>
        <v>1.37</v>
      </c>
      <c r="N417" s="15">
        <f>IFERROR(M417/K417,0)</f>
        <v>0.17276166456494327</v>
      </c>
      <c r="O417" s="14">
        <f>IFERROR(L417/J417,0)</f>
        <v>0.50656370656370653</v>
      </c>
      <c r="P417" s="14">
        <f>IFERROR(L417/G417,0)</f>
        <v>0.36444444444444246</v>
      </c>
    </row>
    <row r="418" spans="1:18" x14ac:dyDescent="0.3">
      <c r="A418" s="9" t="s">
        <v>1042</v>
      </c>
      <c r="B418" s="9" t="s">
        <v>26</v>
      </c>
      <c r="C418" s="9" t="s">
        <v>27</v>
      </c>
      <c r="D418" s="52">
        <v>46119</v>
      </c>
      <c r="E418" s="48">
        <v>0.67499999999999993</v>
      </c>
      <c r="F418" s="48">
        <v>0.68611111111111101</v>
      </c>
      <c r="G418" s="43">
        <f>(F418-E418)*1440</f>
        <v>15.999999999999943</v>
      </c>
      <c r="H418" s="9" t="s">
        <v>1292</v>
      </c>
      <c r="I418" s="9" t="s">
        <v>1293</v>
      </c>
      <c r="J418" s="44">
        <v>11.5</v>
      </c>
      <c r="K418" s="60">
        <v>7.33</v>
      </c>
      <c r="L418" s="56">
        <v>6.05</v>
      </c>
      <c r="M418" s="14">
        <f>K418-L418</f>
        <v>1.2800000000000002</v>
      </c>
      <c r="N418" s="15">
        <f>IFERROR(M418/K418,0)</f>
        <v>0.17462482946794</v>
      </c>
      <c r="O418" s="14">
        <f>IFERROR(L418/J418,0)</f>
        <v>0.52608695652173909</v>
      </c>
      <c r="P418" s="14">
        <f>IFERROR(L418/G418,0)</f>
        <v>0.37812500000000132</v>
      </c>
    </row>
    <row r="419" spans="1:18" x14ac:dyDescent="0.3">
      <c r="A419" s="9" t="s">
        <v>1034</v>
      </c>
      <c r="B419" s="9" t="s">
        <v>26</v>
      </c>
      <c r="C419" s="9" t="s">
        <v>26</v>
      </c>
      <c r="D419" s="52">
        <v>46119</v>
      </c>
      <c r="E419" s="48">
        <v>0.5625</v>
      </c>
      <c r="F419" s="48">
        <v>0.57638888888888895</v>
      </c>
      <c r="G419" s="43">
        <f>(F419-E419)*1440</f>
        <v>20.000000000000089</v>
      </c>
      <c r="H419" s="9" t="s">
        <v>1280</v>
      </c>
      <c r="I419" s="9" t="s">
        <v>1281</v>
      </c>
      <c r="J419" s="44">
        <v>11</v>
      </c>
      <c r="K419" s="60">
        <v>6.49</v>
      </c>
      <c r="L419" s="56">
        <v>6.08</v>
      </c>
      <c r="M419" s="14">
        <f>K419-L419</f>
        <v>0.41000000000000014</v>
      </c>
      <c r="N419" s="15">
        <f>IFERROR(M419/K419,0)</f>
        <v>6.3174114021571665E-2</v>
      </c>
      <c r="O419" s="14">
        <f>IFERROR(L419/J419,0)</f>
        <v>0.55272727272727273</v>
      </c>
      <c r="P419" s="14">
        <f>IFERROR(L419/G419,0)</f>
        <v>0.30399999999999866</v>
      </c>
    </row>
    <row r="420" spans="1:18" x14ac:dyDescent="0.3">
      <c r="A420" s="9" t="s">
        <v>1027</v>
      </c>
      <c r="B420" s="9" t="s">
        <v>18</v>
      </c>
      <c r="C420" s="9" t="s">
        <v>184</v>
      </c>
      <c r="D420" s="52">
        <v>46119</v>
      </c>
      <c r="E420" s="48">
        <v>0.63750000000000007</v>
      </c>
      <c r="F420" s="48">
        <v>0.64444444444444449</v>
      </c>
      <c r="G420" s="43">
        <f>(F420-E420)*1440</f>
        <v>9.9999999999999645</v>
      </c>
      <c r="H420" s="9" t="s">
        <v>1270</v>
      </c>
      <c r="I420" s="9" t="s">
        <v>214</v>
      </c>
      <c r="J420" s="44">
        <v>5.78</v>
      </c>
      <c r="K420" s="60">
        <v>4.9400000000000004</v>
      </c>
      <c r="L420" s="56">
        <v>3.25</v>
      </c>
      <c r="M420" s="14">
        <f>K420-L420</f>
        <v>1.6900000000000004</v>
      </c>
      <c r="N420" s="15">
        <f>IFERROR(M420/K420,0)</f>
        <v>0.3421052631578948</v>
      </c>
      <c r="O420" s="14">
        <f>IFERROR(L420/J420,0)</f>
        <v>0.56228373702422141</v>
      </c>
      <c r="P420" s="14">
        <f>IFERROR(L420/G420,0)</f>
        <v>0.32500000000000118</v>
      </c>
    </row>
    <row r="421" spans="1:18" x14ac:dyDescent="0.3">
      <c r="A421" s="9" t="s">
        <v>1044</v>
      </c>
      <c r="B421" s="9" t="s">
        <v>26</v>
      </c>
      <c r="C421" s="9" t="s">
        <v>27</v>
      </c>
      <c r="D421" s="52">
        <v>46119</v>
      </c>
      <c r="E421" s="48">
        <v>0.71597222222222223</v>
      </c>
      <c r="F421" s="48">
        <v>0.7270833333333333</v>
      </c>
      <c r="G421" s="43">
        <f>(F421-E421)*1440</f>
        <v>15.999999999999943</v>
      </c>
      <c r="H421" s="9" t="s">
        <v>1295</v>
      </c>
      <c r="I421" s="9" t="s">
        <v>827</v>
      </c>
      <c r="J421" s="44">
        <v>8.8000000000000007</v>
      </c>
      <c r="K421" s="60">
        <v>6.78</v>
      </c>
      <c r="L421" s="56">
        <v>5.08</v>
      </c>
      <c r="M421" s="14">
        <f>K421-L421</f>
        <v>1.7000000000000002</v>
      </c>
      <c r="N421" s="15">
        <f>IFERROR(M421/K421,0)</f>
        <v>0.2507374631268437</v>
      </c>
      <c r="O421" s="14">
        <f>IFERROR(L421/J421,0)</f>
        <v>0.57727272727272727</v>
      </c>
      <c r="P421" s="14">
        <f>IFERROR(L421/G421,0)</f>
        <v>0.31750000000000111</v>
      </c>
    </row>
    <row r="422" spans="1:18" x14ac:dyDescent="0.3">
      <c r="A422" s="9" t="s">
        <v>1039</v>
      </c>
      <c r="B422" s="9" t="s">
        <v>26</v>
      </c>
      <c r="C422" s="9" t="s">
        <v>27</v>
      </c>
      <c r="D422" s="52">
        <v>46119</v>
      </c>
      <c r="E422" s="48">
        <v>0.62013888888888891</v>
      </c>
      <c r="F422" s="48">
        <v>0.62847222222222221</v>
      </c>
      <c r="G422" s="43">
        <f>(F422-E422)*1440</f>
        <v>11.999999999999957</v>
      </c>
      <c r="H422" s="9" t="s">
        <v>1286</v>
      </c>
      <c r="I422" s="9" t="s">
        <v>1287</v>
      </c>
      <c r="J422" s="44">
        <v>9.6</v>
      </c>
      <c r="K422" s="60">
        <v>7.45</v>
      </c>
      <c r="L422" s="56">
        <v>5.59</v>
      </c>
      <c r="M422" s="14">
        <f>K422-L422</f>
        <v>1.8600000000000003</v>
      </c>
      <c r="N422" s="15">
        <f>IFERROR(M422/K422,0)</f>
        <v>0.24966442953020138</v>
      </c>
      <c r="O422" s="14">
        <f>IFERROR(L422/J422,0)</f>
        <v>0.58229166666666665</v>
      </c>
      <c r="P422" s="14">
        <f>IFERROR(L422/G422,0)</f>
        <v>0.46583333333333499</v>
      </c>
    </row>
    <row r="423" spans="1:18" x14ac:dyDescent="0.3">
      <c r="A423" s="9" t="s">
        <v>1032</v>
      </c>
      <c r="B423" s="9" t="s">
        <v>18</v>
      </c>
      <c r="C423" s="9" t="s">
        <v>184</v>
      </c>
      <c r="D423" s="52">
        <v>46119</v>
      </c>
      <c r="E423" s="48">
        <v>0.85902777777777783</v>
      </c>
      <c r="F423" s="48">
        <v>0.86875000000000002</v>
      </c>
      <c r="G423" s="43">
        <f>(F423-E423)*1440</f>
        <v>13.99999999999995</v>
      </c>
      <c r="H423" s="9" t="s">
        <v>1277</v>
      </c>
      <c r="I423" s="9" t="s">
        <v>1278</v>
      </c>
      <c r="J423" s="44">
        <v>7.26</v>
      </c>
      <c r="K423" s="60">
        <v>5.96</v>
      </c>
      <c r="L423" s="56">
        <v>4.6100000000000003</v>
      </c>
      <c r="M423" s="14">
        <f>K423-L423</f>
        <v>1.3499999999999996</v>
      </c>
      <c r="N423" s="15">
        <f>IFERROR(M423/K423,0)</f>
        <v>0.22651006711409391</v>
      </c>
      <c r="O423" s="14">
        <f>IFERROR(L423/J423,0)</f>
        <v>0.63498622589531684</v>
      </c>
      <c r="P423" s="14">
        <f>IFERROR(L423/G423,0)</f>
        <v>0.32928571428571546</v>
      </c>
    </row>
    <row r="424" spans="1:18" x14ac:dyDescent="0.3">
      <c r="A424" s="9" t="s">
        <v>1045</v>
      </c>
      <c r="B424" s="9" t="s">
        <v>26</v>
      </c>
      <c r="C424" s="9" t="s">
        <v>27</v>
      </c>
      <c r="D424" s="52">
        <v>46119</v>
      </c>
      <c r="E424" s="48">
        <v>0.7597222222222223</v>
      </c>
      <c r="F424" s="48">
        <v>0.76944444444444438</v>
      </c>
      <c r="G424" s="43">
        <f>(F424-E424)*1440</f>
        <v>13.99999999999979</v>
      </c>
      <c r="H424" s="9" t="s">
        <v>1296</v>
      </c>
      <c r="I424" s="9" t="s">
        <v>1297</v>
      </c>
      <c r="J424" s="44">
        <v>8.1999999999999993</v>
      </c>
      <c r="K424" s="60">
        <v>7</v>
      </c>
      <c r="L424" s="56">
        <v>5.25</v>
      </c>
      <c r="M424" s="14">
        <f>K424-L424</f>
        <v>1.75</v>
      </c>
      <c r="N424" s="15">
        <f>IFERROR(M424/K424,0)</f>
        <v>0.25</v>
      </c>
      <c r="O424" s="14">
        <f>IFERROR(L424/J424,0)</f>
        <v>0.6402439024390244</v>
      </c>
      <c r="P424" s="14">
        <f>IFERROR(L424/G424,0)</f>
        <v>0.37500000000000561</v>
      </c>
    </row>
    <row r="425" spans="1:18" x14ac:dyDescent="0.3">
      <c r="A425" s="9" t="s">
        <v>1040</v>
      </c>
      <c r="B425" s="9" t="s">
        <v>26</v>
      </c>
      <c r="C425" s="9" t="s">
        <v>26</v>
      </c>
      <c r="D425" s="52">
        <v>46119</v>
      </c>
      <c r="E425" s="48">
        <v>0.65138888888888891</v>
      </c>
      <c r="F425" s="48">
        <v>0.65763888888888888</v>
      </c>
      <c r="G425" s="43">
        <f>(F425-E425)*1440</f>
        <v>8.999999999999968</v>
      </c>
      <c r="H425" s="9" t="s">
        <v>1288</v>
      </c>
      <c r="I425" s="9" t="s">
        <v>1289</v>
      </c>
      <c r="J425" s="44">
        <v>6.7</v>
      </c>
      <c r="K425" s="60">
        <v>4.4400000000000004</v>
      </c>
      <c r="L425" s="56">
        <v>4.58</v>
      </c>
      <c r="M425" s="14">
        <f>K425-L425</f>
        <v>-0.13999999999999968</v>
      </c>
      <c r="N425" s="15">
        <f>IFERROR(M425/K425,0)</f>
        <v>-3.1531531531531459E-2</v>
      </c>
      <c r="O425" s="14">
        <f>IFERROR(L425/J425,0)</f>
        <v>0.68358208955223876</v>
      </c>
      <c r="P425" s="14">
        <f>IFERROR(L425/G425,0)</f>
        <v>0.50888888888889072</v>
      </c>
    </row>
    <row r="426" spans="1:18" x14ac:dyDescent="0.3">
      <c r="A426" s="9" t="s">
        <v>1026</v>
      </c>
      <c r="B426" s="9" t="s">
        <v>18</v>
      </c>
      <c r="C426" s="9" t="s">
        <v>184</v>
      </c>
      <c r="D426" s="52">
        <v>46119</v>
      </c>
      <c r="E426" s="48">
        <v>0.59791666666666665</v>
      </c>
      <c r="F426" s="48">
        <v>0.60555555555555551</v>
      </c>
      <c r="G426" s="43">
        <f>(F426-E426)*1440</f>
        <v>10.999999999999961</v>
      </c>
      <c r="H426" s="9" t="s">
        <v>576</v>
      </c>
      <c r="I426" s="9" t="s">
        <v>1269</v>
      </c>
      <c r="J426" s="44">
        <v>6.22</v>
      </c>
      <c r="K426" s="60">
        <v>5.94</v>
      </c>
      <c r="L426" s="56">
        <v>4.3600000000000003</v>
      </c>
      <c r="M426" s="14">
        <f>K426-L426</f>
        <v>1.58</v>
      </c>
      <c r="N426" s="15">
        <f>IFERROR(M426/K426,0)</f>
        <v>0.265993265993266</v>
      </c>
      <c r="O426" s="14">
        <f>IFERROR(L426/J426,0)</f>
        <v>0.70096463022508049</v>
      </c>
      <c r="P426" s="14">
        <f>IFERROR(L426/G426,0)</f>
        <v>0.39636363636363781</v>
      </c>
    </row>
    <row r="427" spans="1:18" x14ac:dyDescent="0.3">
      <c r="A427" s="9" t="s">
        <v>1047</v>
      </c>
      <c r="B427" s="9" t="s">
        <v>26</v>
      </c>
      <c r="C427" s="9" t="s">
        <v>26</v>
      </c>
      <c r="D427" s="52">
        <v>46119</v>
      </c>
      <c r="E427" s="48">
        <v>0.78402777777777777</v>
      </c>
      <c r="F427" s="48">
        <v>0.80833333333333324</v>
      </c>
      <c r="G427" s="43">
        <f>(F427-E427)*1440</f>
        <v>34.999999999999872</v>
      </c>
      <c r="H427" s="9" t="s">
        <v>1299</v>
      </c>
      <c r="I427" s="9" t="s">
        <v>805</v>
      </c>
      <c r="J427" s="44">
        <v>13.6</v>
      </c>
      <c r="K427" s="60">
        <v>10.6</v>
      </c>
      <c r="L427" s="56">
        <v>9.94</v>
      </c>
      <c r="M427" s="14">
        <f>K427-L427</f>
        <v>0.66000000000000014</v>
      </c>
      <c r="N427" s="15">
        <f>IFERROR(M427/K427,0)</f>
        <v>6.226415094339624E-2</v>
      </c>
      <c r="O427" s="14">
        <f>IFERROR(L427/J427,0)</f>
        <v>0.73088235294117643</v>
      </c>
      <c r="P427" s="14">
        <f>IFERROR(L427/G427,0)</f>
        <v>0.28400000000000103</v>
      </c>
      <c r="R427" s="57">
        <v>1.24</v>
      </c>
    </row>
    <row r="428" spans="1:18" x14ac:dyDescent="0.3">
      <c r="A428" s="9" t="s">
        <v>1035</v>
      </c>
      <c r="B428" s="9" t="s">
        <v>26</v>
      </c>
      <c r="C428" s="9" t="s">
        <v>27</v>
      </c>
      <c r="D428" s="52">
        <v>46119</v>
      </c>
      <c r="E428" s="48">
        <v>0.57847222222222217</v>
      </c>
      <c r="F428" s="48">
        <v>0.58472222222222225</v>
      </c>
      <c r="G428" s="43">
        <f>(F428-E428)*1440</f>
        <v>9.0000000000001279</v>
      </c>
      <c r="H428" s="9" t="s">
        <v>1282</v>
      </c>
      <c r="I428" s="9" t="s">
        <v>633</v>
      </c>
      <c r="J428" s="44">
        <v>5</v>
      </c>
      <c r="K428" s="60">
        <v>4.54</v>
      </c>
      <c r="L428" s="56">
        <v>3.75</v>
      </c>
      <c r="M428" s="14">
        <f>K428-L428</f>
        <v>0.79</v>
      </c>
      <c r="N428" s="15">
        <f>IFERROR(M428/K428,0)</f>
        <v>0.17400881057268724</v>
      </c>
      <c r="O428" s="14">
        <f>IFERROR(L428/J428,0)</f>
        <v>0.75</v>
      </c>
      <c r="P428" s="14">
        <f>IFERROR(L428/G428,0)</f>
        <v>0.41666666666666075</v>
      </c>
    </row>
    <row r="429" spans="1:18" x14ac:dyDescent="0.3">
      <c r="A429" s="9" t="s">
        <v>1028</v>
      </c>
      <c r="B429" s="9" t="s">
        <v>18</v>
      </c>
      <c r="C429" s="9" t="s">
        <v>184</v>
      </c>
      <c r="D429" s="52">
        <v>46119</v>
      </c>
      <c r="E429" s="48">
        <v>0.7270833333333333</v>
      </c>
      <c r="F429" s="48">
        <v>0.74375000000000002</v>
      </c>
      <c r="G429" s="43">
        <f>(F429-E429)*1440</f>
        <v>24.000000000000075</v>
      </c>
      <c r="H429" s="9" t="s">
        <v>725</v>
      </c>
      <c r="I429" s="9" t="s">
        <v>1271</v>
      </c>
      <c r="J429" s="44">
        <v>8.34</v>
      </c>
      <c r="K429" s="60">
        <v>9.98</v>
      </c>
      <c r="L429" s="56">
        <v>7.93</v>
      </c>
      <c r="M429" s="14">
        <f>K429-L429</f>
        <v>2.0500000000000007</v>
      </c>
      <c r="N429" s="15">
        <f>IFERROR(M429/K429,0)</f>
        <v>0.20541082164328664</v>
      </c>
      <c r="O429" s="14">
        <f>IFERROR(L429/J429,0)</f>
        <v>0.95083932853717024</v>
      </c>
      <c r="P429" s="14">
        <f>IFERROR(L429/G429,0)</f>
        <v>0.33041666666666564</v>
      </c>
    </row>
    <row r="430" spans="1:18" x14ac:dyDescent="0.3">
      <c r="A430" s="9" t="s">
        <v>1037</v>
      </c>
      <c r="B430" s="9" t="s">
        <v>26</v>
      </c>
      <c r="C430" s="9" t="s">
        <v>26</v>
      </c>
      <c r="D430" s="52">
        <v>46119</v>
      </c>
      <c r="E430" s="48">
        <v>0.59027777777777779</v>
      </c>
      <c r="F430" s="48">
        <v>0.59583333333333333</v>
      </c>
      <c r="G430" s="43">
        <f>(F430-E430)*1440</f>
        <v>7.9999999999999716</v>
      </c>
      <c r="H430" s="9" t="s">
        <v>1285</v>
      </c>
      <c r="I430" s="9" t="s">
        <v>243</v>
      </c>
      <c r="J430" s="44">
        <v>3.4</v>
      </c>
      <c r="K430" s="60">
        <v>3.96</v>
      </c>
      <c r="L430" s="56">
        <v>3.3</v>
      </c>
      <c r="M430" s="14">
        <f>K430-L430</f>
        <v>0.66000000000000014</v>
      </c>
      <c r="N430" s="15">
        <f>IFERROR(M430/K430,0)</f>
        <v>0.16666666666666671</v>
      </c>
      <c r="O430" s="14">
        <f>IFERROR(L430/J430,0)</f>
        <v>0.97058823529411764</v>
      </c>
      <c r="P430" s="14">
        <f>IFERROR(L430/G430,0)</f>
        <v>0.41250000000000142</v>
      </c>
    </row>
    <row r="431" spans="1:18" x14ac:dyDescent="0.3">
      <c r="A431" s="9" t="s">
        <v>1046</v>
      </c>
      <c r="B431" s="9" t="s">
        <v>26</v>
      </c>
      <c r="C431" s="9" t="s">
        <v>26</v>
      </c>
      <c r="D431" s="52">
        <v>46119</v>
      </c>
      <c r="E431" s="48">
        <v>0.77430555555555547</v>
      </c>
      <c r="F431" s="48">
        <v>0.78055555555555556</v>
      </c>
      <c r="G431" s="43">
        <f>(F431-E431)*1440</f>
        <v>9.0000000000001279</v>
      </c>
      <c r="H431" s="9" t="s">
        <v>1298</v>
      </c>
      <c r="I431" s="9" t="s">
        <v>729</v>
      </c>
      <c r="J431" s="44">
        <v>3.6</v>
      </c>
      <c r="K431" s="60">
        <v>6.95</v>
      </c>
      <c r="L431" s="56">
        <v>6.52</v>
      </c>
      <c r="M431" s="14">
        <f>K431-L431</f>
        <v>0.4300000000000006</v>
      </c>
      <c r="N431" s="15">
        <f>IFERROR(M431/K431,0)</f>
        <v>6.1870503597122387E-2</v>
      </c>
      <c r="O431" s="14">
        <f>IFERROR(L431/J431,0)</f>
        <v>1.8111111111111109</v>
      </c>
      <c r="P431" s="14">
        <f>IFERROR(L431/G431,0)</f>
        <v>0.72444444444443412</v>
      </c>
      <c r="R431" s="57">
        <v>3.27</v>
      </c>
    </row>
    <row r="432" spans="1:18" x14ac:dyDescent="0.3">
      <c r="A432" s="9" t="s">
        <v>1036</v>
      </c>
      <c r="B432" s="9" t="s">
        <v>26</v>
      </c>
      <c r="C432" s="9" t="s">
        <v>26</v>
      </c>
      <c r="D432" s="52">
        <v>46119</v>
      </c>
      <c r="E432" s="48">
        <v>0.58611111111111114</v>
      </c>
      <c r="F432" s="48">
        <v>0.58958333333333335</v>
      </c>
      <c r="G432" s="43">
        <f>(F432-E432)*1440</f>
        <v>4.9999999999999822</v>
      </c>
      <c r="H432" s="9" t="s">
        <v>1283</v>
      </c>
      <c r="I432" s="9" t="s">
        <v>1284</v>
      </c>
      <c r="J432" s="44">
        <v>1.6</v>
      </c>
      <c r="K432" s="60">
        <v>4</v>
      </c>
      <c r="L432" s="56">
        <v>4.29</v>
      </c>
      <c r="M432" s="14">
        <f>K432-L432</f>
        <v>-0.29000000000000004</v>
      </c>
      <c r="N432" s="15">
        <f>IFERROR(M432/K432,0)</f>
        <v>-7.2500000000000009E-2</v>
      </c>
      <c r="O432" s="14">
        <f>IFERROR(L432/J432,0)</f>
        <v>2.6812499999999999</v>
      </c>
      <c r="P432" s="14">
        <f>IFERROR(L432/G432,0)</f>
        <v>0.85800000000000309</v>
      </c>
      <c r="R432" s="57">
        <v>1.32</v>
      </c>
    </row>
    <row r="433" spans="1:17" x14ac:dyDescent="0.3">
      <c r="A433" s="9" t="s">
        <v>1029</v>
      </c>
      <c r="B433" s="9" t="s">
        <v>538</v>
      </c>
      <c r="C433" s="9" t="s">
        <v>196</v>
      </c>
      <c r="D433" s="52">
        <v>46119</v>
      </c>
      <c r="E433" s="48">
        <v>0.74861111111111101</v>
      </c>
      <c r="F433" s="48">
        <v>0.75208333333333333</v>
      </c>
      <c r="G433" s="43">
        <f>(F433-E433)*1440</f>
        <v>5.0000000000001421</v>
      </c>
      <c r="H433" s="9" t="s">
        <v>1272</v>
      </c>
      <c r="I433" s="9" t="s">
        <v>1273</v>
      </c>
      <c r="J433" s="44">
        <v>1.41</v>
      </c>
      <c r="K433" s="60">
        <v>5.97</v>
      </c>
      <c r="L433" s="56">
        <v>4.03</v>
      </c>
      <c r="M433" s="14">
        <f>K433-L433</f>
        <v>1.9399999999999995</v>
      </c>
      <c r="N433" s="15">
        <f>IFERROR(M433/K433,0)</f>
        <v>0.32495812395309875</v>
      </c>
      <c r="O433" s="14">
        <f>IFERROR(L433/J433,0)</f>
        <v>2.8581560283687946</v>
      </c>
      <c r="P433" s="14">
        <f>IFERROR(L433/G433,0)</f>
        <v>0.80599999999997718</v>
      </c>
    </row>
    <row r="434" spans="1:17" x14ac:dyDescent="0.3">
      <c r="A434" s="9" t="s">
        <v>1038</v>
      </c>
      <c r="B434" s="9" t="s">
        <v>26</v>
      </c>
      <c r="C434" s="9" t="s">
        <v>27</v>
      </c>
      <c r="D434" s="52">
        <v>46119</v>
      </c>
      <c r="E434" s="48">
        <v>0.61388888888888882</v>
      </c>
      <c r="F434" s="48">
        <v>0.6166666666666667</v>
      </c>
      <c r="G434" s="43">
        <f>(F434-E434)*1440</f>
        <v>4.0000000000001457</v>
      </c>
      <c r="H434" s="9" t="s">
        <v>681</v>
      </c>
      <c r="I434" s="9" t="s">
        <v>880</v>
      </c>
      <c r="J434" s="44">
        <v>0.6</v>
      </c>
      <c r="K434" s="60">
        <v>4.24</v>
      </c>
      <c r="L434" s="56">
        <v>3.18</v>
      </c>
      <c r="M434" s="14">
        <f>K434-L434</f>
        <v>1.06</v>
      </c>
      <c r="N434" s="15">
        <f>IFERROR(M434/K434,0)</f>
        <v>0.25</v>
      </c>
      <c r="O434" s="14">
        <f>IFERROR(L434/J434,0)</f>
        <v>5.3000000000000007</v>
      </c>
      <c r="P434" s="14">
        <f>IFERROR(L434/G434,0)</f>
        <v>0.79499999999997106</v>
      </c>
    </row>
    <row r="435" spans="1:17" x14ac:dyDescent="0.3">
      <c r="A435" s="9" t="s">
        <v>1057</v>
      </c>
      <c r="B435" s="9" t="s">
        <v>538</v>
      </c>
      <c r="C435" s="9" t="s">
        <v>184</v>
      </c>
      <c r="D435" s="52">
        <v>46120</v>
      </c>
      <c r="E435" s="48">
        <v>0.79861111111111116</v>
      </c>
      <c r="F435" s="48">
        <v>0.81111111111111101</v>
      </c>
      <c r="G435" s="43">
        <f>(F435-E435)*1440</f>
        <v>17.999999999999776</v>
      </c>
      <c r="H435" s="9" t="s">
        <v>1311</v>
      </c>
      <c r="I435" s="9" t="s">
        <v>1312</v>
      </c>
      <c r="J435" s="44">
        <v>12.12</v>
      </c>
      <c r="K435" s="60">
        <v>6.95</v>
      </c>
      <c r="L435" s="56">
        <v>5.0999999999999996</v>
      </c>
      <c r="M435" s="14">
        <f>K435-L435</f>
        <v>1.8500000000000005</v>
      </c>
      <c r="N435" s="15">
        <f>IFERROR(M435/K435,0)</f>
        <v>0.2661870503597123</v>
      </c>
      <c r="O435" s="14">
        <f>IFERROR(L435/J435,0)</f>
        <v>0.42079207920792078</v>
      </c>
      <c r="P435" s="14">
        <f>IFERROR(L435/G435,0)</f>
        <v>0.28333333333333682</v>
      </c>
    </row>
    <row r="436" spans="1:17" x14ac:dyDescent="0.3">
      <c r="A436" s="9" t="s">
        <v>1059</v>
      </c>
      <c r="B436" s="9" t="s">
        <v>18</v>
      </c>
      <c r="C436" s="9" t="s">
        <v>184</v>
      </c>
      <c r="D436" s="52">
        <v>46120</v>
      </c>
      <c r="E436" s="48">
        <v>0.85069444444444453</v>
      </c>
      <c r="F436" s="48">
        <v>0.86319444444444438</v>
      </c>
      <c r="G436" s="43">
        <f>(F436-E436)*1440</f>
        <v>17.999999999999776</v>
      </c>
      <c r="H436" s="9" t="s">
        <v>585</v>
      </c>
      <c r="I436" s="9" t="s">
        <v>1120</v>
      </c>
      <c r="J436" s="44">
        <v>14.31</v>
      </c>
      <c r="K436" s="60">
        <v>8.93</v>
      </c>
      <c r="L436" s="56">
        <v>6.2</v>
      </c>
      <c r="M436" s="14">
        <f>K436-L436</f>
        <v>2.7299999999999995</v>
      </c>
      <c r="N436" s="15">
        <f>IFERROR(M436/K436,0)</f>
        <v>0.30571108622620374</v>
      </c>
      <c r="O436" s="14">
        <f>IFERROR(L436/J436,0)</f>
        <v>0.43326345213137668</v>
      </c>
      <c r="P436" s="14">
        <f>IFERROR(L436/G436,0)</f>
        <v>0.34444444444444872</v>
      </c>
    </row>
    <row r="437" spans="1:17" x14ac:dyDescent="0.3">
      <c r="A437" s="9" t="s">
        <v>1052</v>
      </c>
      <c r="B437" s="9" t="s">
        <v>18</v>
      </c>
      <c r="C437" s="9" t="s">
        <v>196</v>
      </c>
      <c r="D437" s="52">
        <v>46120</v>
      </c>
      <c r="E437" s="48">
        <v>0.53402777777777777</v>
      </c>
      <c r="F437" s="48">
        <v>0.54513888888888895</v>
      </c>
      <c r="G437" s="43">
        <f>(F437-E437)*1440</f>
        <v>16.000000000000103</v>
      </c>
      <c r="H437" s="9" t="s">
        <v>1221</v>
      </c>
      <c r="I437" s="9" t="s">
        <v>1306</v>
      </c>
      <c r="J437" s="44">
        <v>17.96</v>
      </c>
      <c r="K437" s="60">
        <v>11.98</v>
      </c>
      <c r="L437" s="56">
        <v>7.79</v>
      </c>
      <c r="M437" s="14">
        <f>K437-L437</f>
        <v>4.1900000000000004</v>
      </c>
      <c r="N437" s="15">
        <f>IFERROR(M437/K437,0)</f>
        <v>0.34974958263772959</v>
      </c>
      <c r="O437" s="14">
        <f>IFERROR(L437/J437,0)</f>
        <v>0.43374164810690419</v>
      </c>
      <c r="P437" s="14">
        <f>IFERROR(L437/G437,0)</f>
        <v>0.48687499999999689</v>
      </c>
    </row>
    <row r="438" spans="1:17" x14ac:dyDescent="0.3">
      <c r="A438" s="9" t="s">
        <v>1051</v>
      </c>
      <c r="B438" s="9" t="s">
        <v>26</v>
      </c>
      <c r="C438" s="9" t="s">
        <v>27</v>
      </c>
      <c r="D438" s="52">
        <v>46120</v>
      </c>
      <c r="E438" s="48">
        <v>0.75555555555555554</v>
      </c>
      <c r="F438" s="48">
        <v>0.77777777777777779</v>
      </c>
      <c r="G438" s="43">
        <f>(F438-E438)*1440</f>
        <v>32.000000000000043</v>
      </c>
      <c r="H438" s="9" t="s">
        <v>1304</v>
      </c>
      <c r="I438" s="9" t="s">
        <v>1305</v>
      </c>
      <c r="J438" s="44">
        <v>27.9</v>
      </c>
      <c r="K438" s="60">
        <v>16.260000000000002</v>
      </c>
      <c r="L438" s="56">
        <v>12.49</v>
      </c>
      <c r="M438" s="14">
        <f>K438-L438</f>
        <v>3.7700000000000014</v>
      </c>
      <c r="N438" s="15">
        <f>IFERROR(M438/K438,0)</f>
        <v>0.23185731857318578</v>
      </c>
      <c r="O438" s="14">
        <f>IFERROR(L438/J438,0)</f>
        <v>0.44767025089605739</v>
      </c>
      <c r="P438" s="14">
        <f>IFERROR(L438/G438,0)</f>
        <v>0.39031249999999951</v>
      </c>
    </row>
    <row r="439" spans="1:17" x14ac:dyDescent="0.3">
      <c r="A439" s="9" t="s">
        <v>1055</v>
      </c>
      <c r="B439" s="9" t="s">
        <v>538</v>
      </c>
      <c r="C439" s="9" t="s">
        <v>184</v>
      </c>
      <c r="D439" s="52">
        <v>46120</v>
      </c>
      <c r="E439" s="48">
        <v>0.6791666666666667</v>
      </c>
      <c r="F439" s="48">
        <v>0.71250000000000002</v>
      </c>
      <c r="G439" s="43">
        <f>(F439-E439)*1440</f>
        <v>47.999999999999986</v>
      </c>
      <c r="H439" s="9" t="s">
        <v>1119</v>
      </c>
      <c r="I439" s="9" t="s">
        <v>1310</v>
      </c>
      <c r="J439" s="44">
        <v>31.44</v>
      </c>
      <c r="K439" s="60">
        <v>24.54</v>
      </c>
      <c r="L439" s="56">
        <v>15.24</v>
      </c>
      <c r="M439" s="14">
        <f>K439-L439</f>
        <v>9.2999999999999989</v>
      </c>
      <c r="N439" s="15">
        <f>IFERROR(M439/K439,0)</f>
        <v>0.3789731051344743</v>
      </c>
      <c r="O439" s="14">
        <f>IFERROR(L439/J439,0)</f>
        <v>0.48473282442748089</v>
      </c>
      <c r="P439" s="14">
        <f>IFERROR(L439/G439,0)</f>
        <v>0.31750000000000012</v>
      </c>
      <c r="Q439" s="64">
        <v>1.6</v>
      </c>
    </row>
    <row r="440" spans="1:17" x14ac:dyDescent="0.3">
      <c r="A440" s="9" t="s">
        <v>1058</v>
      </c>
      <c r="B440" s="9" t="s">
        <v>18</v>
      </c>
      <c r="C440" s="9" t="s">
        <v>184</v>
      </c>
      <c r="D440" s="52">
        <v>46120</v>
      </c>
      <c r="E440" s="48">
        <v>0.81736111111111109</v>
      </c>
      <c r="F440" s="48">
        <v>0.82916666666666661</v>
      </c>
      <c r="G440" s="43">
        <f>(F440-E440)*1440</f>
        <v>16.99999999999994</v>
      </c>
      <c r="H440" s="9" t="s">
        <v>1120</v>
      </c>
      <c r="I440" s="9" t="s">
        <v>1313</v>
      </c>
      <c r="J440" s="44">
        <v>13.76</v>
      </c>
      <c r="K440" s="60">
        <v>12.99</v>
      </c>
      <c r="L440" s="56">
        <v>7.75</v>
      </c>
      <c r="M440" s="14">
        <f>K440-L440</f>
        <v>5.24</v>
      </c>
      <c r="N440" s="15">
        <f>IFERROR(M440/K440,0)</f>
        <v>0.403387220939184</v>
      </c>
      <c r="O440" s="14">
        <f>IFERROR(L440/J440,0)</f>
        <v>0.56322674418604657</v>
      </c>
      <c r="P440" s="14">
        <f>IFERROR(L440/G440,0)</f>
        <v>0.45588235294117807</v>
      </c>
    </row>
    <row r="441" spans="1:17" x14ac:dyDescent="0.3">
      <c r="A441" s="9" t="s">
        <v>1048</v>
      </c>
      <c r="B441" s="9" t="s">
        <v>26</v>
      </c>
      <c r="C441" s="9" t="s">
        <v>26</v>
      </c>
      <c r="D441" s="52">
        <v>46120</v>
      </c>
      <c r="E441" s="48">
        <v>0.55069444444444449</v>
      </c>
      <c r="F441" s="48">
        <v>0.56180555555555556</v>
      </c>
      <c r="G441" s="43">
        <f>(F441-E441)*1440</f>
        <v>15.999999999999943</v>
      </c>
      <c r="H441" s="9" t="s">
        <v>1300</v>
      </c>
      <c r="I441" s="9" t="s">
        <v>1301</v>
      </c>
      <c r="J441" s="44">
        <v>11.7</v>
      </c>
      <c r="K441" s="60">
        <v>7.22</v>
      </c>
      <c r="L441" s="56">
        <v>6.77</v>
      </c>
      <c r="M441" s="14">
        <f>K441-L441</f>
        <v>0.45000000000000018</v>
      </c>
      <c r="N441" s="15">
        <f>IFERROR(M441/K441,0)</f>
        <v>6.2326869806094212E-2</v>
      </c>
      <c r="O441" s="14">
        <f>IFERROR(L441/J441,0)</f>
        <v>0.57863247863247869</v>
      </c>
      <c r="P441" s="14">
        <f>IFERROR(L441/G441,0)</f>
        <v>0.42312500000000147</v>
      </c>
    </row>
    <row r="442" spans="1:17" x14ac:dyDescent="0.3">
      <c r="A442" s="9" t="s">
        <v>1053</v>
      </c>
      <c r="B442" s="9" t="s">
        <v>538</v>
      </c>
      <c r="C442" s="9" t="s">
        <v>196</v>
      </c>
      <c r="D442" s="52">
        <v>46120</v>
      </c>
      <c r="E442" s="48">
        <v>0.56458333333333333</v>
      </c>
      <c r="F442" s="48">
        <v>0.57013888888888886</v>
      </c>
      <c r="G442" s="43">
        <f>(F442-E442)*1440</f>
        <v>7.9999999999999716</v>
      </c>
      <c r="H442" s="9" t="s">
        <v>1307</v>
      </c>
      <c r="I442" s="9" t="s">
        <v>1308</v>
      </c>
      <c r="J442" s="44">
        <v>5.72</v>
      </c>
      <c r="K442" s="60">
        <v>4.97</v>
      </c>
      <c r="L442" s="56">
        <v>4.05</v>
      </c>
      <c r="M442" s="14">
        <f>K442-L442</f>
        <v>0.91999999999999993</v>
      </c>
      <c r="N442" s="15">
        <f>IFERROR(M442/K442,0)</f>
        <v>0.18511066398390341</v>
      </c>
      <c r="O442" s="14">
        <f>IFERROR(L442/J442,0)</f>
        <v>0.70804195804195802</v>
      </c>
      <c r="P442" s="14">
        <f>IFERROR(L442/G442,0)</f>
        <v>0.50625000000000175</v>
      </c>
    </row>
    <row r="443" spans="1:17" x14ac:dyDescent="0.3">
      <c r="A443" s="9" t="s">
        <v>1049</v>
      </c>
      <c r="B443" s="9" t="s">
        <v>26</v>
      </c>
      <c r="C443" s="9" t="s">
        <v>26</v>
      </c>
      <c r="D443" s="52">
        <v>46120</v>
      </c>
      <c r="E443" s="48">
        <v>0.62430555555555556</v>
      </c>
      <c r="F443" s="48">
        <v>0.64722222222222225</v>
      </c>
      <c r="G443" s="43">
        <f>(F443-E443)*1440</f>
        <v>33.000000000000043</v>
      </c>
      <c r="H443" s="9" t="s">
        <v>1302</v>
      </c>
      <c r="I443" s="9" t="s">
        <v>611</v>
      </c>
      <c r="J443" s="44">
        <v>8.9</v>
      </c>
      <c r="K443" s="60">
        <v>8.8800000000000008</v>
      </c>
      <c r="L443" s="56">
        <v>7.33</v>
      </c>
      <c r="M443" s="14">
        <f>K443-L443</f>
        <v>1.5500000000000007</v>
      </c>
      <c r="N443" s="15">
        <f>IFERROR(M443/K443,0)</f>
        <v>0.17454954954954963</v>
      </c>
      <c r="O443" s="14">
        <f>IFERROR(L443/J443,0)</f>
        <v>0.82359550561797745</v>
      </c>
      <c r="P443" s="14">
        <f>IFERROR(L443/G443,0)</f>
        <v>0.22212121212121183</v>
      </c>
    </row>
    <row r="444" spans="1:17" x14ac:dyDescent="0.3">
      <c r="A444" s="9" t="s">
        <v>1054</v>
      </c>
      <c r="B444" s="9" t="s">
        <v>538</v>
      </c>
      <c r="C444" s="9" t="s">
        <v>184</v>
      </c>
      <c r="D444" s="52">
        <v>46120</v>
      </c>
      <c r="E444" s="48">
        <v>0.59166666666666667</v>
      </c>
      <c r="F444" s="48">
        <v>0.61041666666666672</v>
      </c>
      <c r="G444" s="43">
        <f>(F444-E444)*1440</f>
        <v>27.000000000000064</v>
      </c>
      <c r="H444" s="9" t="s">
        <v>1120</v>
      </c>
      <c r="I444" s="9" t="s">
        <v>1309</v>
      </c>
      <c r="J444" s="44">
        <v>10.06</v>
      </c>
      <c r="K444" s="60">
        <v>11.89</v>
      </c>
      <c r="L444" s="56">
        <v>8.6199999999999992</v>
      </c>
      <c r="M444" s="14">
        <f>K444-L444</f>
        <v>3.2700000000000014</v>
      </c>
      <c r="N444" s="15">
        <f>IFERROR(M444/K444,0)</f>
        <v>0.27502102607232981</v>
      </c>
      <c r="O444" s="14">
        <f>IFERROR(L444/J444,0)</f>
        <v>0.8568588469184889</v>
      </c>
      <c r="P444" s="14">
        <f>IFERROR(L444/G444,0)</f>
        <v>0.31925925925925847</v>
      </c>
    </row>
    <row r="445" spans="1:17" x14ac:dyDescent="0.3">
      <c r="A445" s="9" t="s">
        <v>1056</v>
      </c>
      <c r="B445" s="9" t="s">
        <v>18</v>
      </c>
      <c r="C445" s="9" t="s">
        <v>230</v>
      </c>
      <c r="D445" s="52">
        <v>46120</v>
      </c>
      <c r="E445" s="48">
        <v>0.77500000000000002</v>
      </c>
      <c r="F445" s="48">
        <v>0.79513888888888884</v>
      </c>
      <c r="G445" s="43">
        <f>(F445-E445)*1440</f>
        <v>28.999999999999897</v>
      </c>
      <c r="H445" s="9" t="s">
        <v>1305</v>
      </c>
      <c r="I445" s="9" t="s">
        <v>1311</v>
      </c>
      <c r="J445" s="44">
        <v>11.82</v>
      </c>
      <c r="K445" s="60">
        <v>12.57</v>
      </c>
      <c r="L445" s="56">
        <v>11</v>
      </c>
      <c r="M445" s="14">
        <f>K445-L445</f>
        <v>1.5700000000000003</v>
      </c>
      <c r="N445" s="15">
        <f>IFERROR(M445/K445,0)</f>
        <v>0.12490055688146383</v>
      </c>
      <c r="O445" s="14">
        <f>IFERROR(L445/J445,0)</f>
        <v>0.93062605752961081</v>
      </c>
      <c r="P445" s="14">
        <f>IFERROR(L445/G445,0)</f>
        <v>0.37931034482758758</v>
      </c>
    </row>
    <row r="446" spans="1:17" x14ac:dyDescent="0.3">
      <c r="A446" s="9" t="s">
        <v>1060</v>
      </c>
      <c r="B446" s="9" t="s">
        <v>18</v>
      </c>
      <c r="C446" s="9" t="s">
        <v>184</v>
      </c>
      <c r="D446" s="52">
        <v>46120</v>
      </c>
      <c r="E446" s="48">
        <v>0.86875000000000002</v>
      </c>
      <c r="F446" s="48">
        <v>0.88194444444444453</v>
      </c>
      <c r="G446" s="43">
        <f>(F446-E446)*1440</f>
        <v>19.000000000000092</v>
      </c>
      <c r="H446" s="9" t="s">
        <v>1120</v>
      </c>
      <c r="I446" s="9" t="s">
        <v>827</v>
      </c>
      <c r="J446" s="44">
        <v>6.18</v>
      </c>
      <c r="K446" s="60">
        <v>8.41</v>
      </c>
      <c r="L446" s="56">
        <v>6.56</v>
      </c>
      <c r="M446" s="14">
        <f>K446-L446</f>
        <v>1.8500000000000005</v>
      </c>
      <c r="N446" s="15">
        <f>IFERROR(M446/K446,0)</f>
        <v>0.2199762187871582</v>
      </c>
      <c r="O446" s="14">
        <f>IFERROR(L446/J446,0)</f>
        <v>1.0614886731391586</v>
      </c>
      <c r="P446" s="14">
        <f>IFERROR(L446/G446,0)</f>
        <v>0.34526315789473516</v>
      </c>
    </row>
    <row r="447" spans="1:17" x14ac:dyDescent="0.3">
      <c r="A447" s="9" t="s">
        <v>1050</v>
      </c>
      <c r="B447" s="9" t="s">
        <v>26</v>
      </c>
      <c r="C447" s="9" t="s">
        <v>26</v>
      </c>
      <c r="D447" s="52">
        <v>46120</v>
      </c>
      <c r="E447" s="48">
        <v>0.65416666666666667</v>
      </c>
      <c r="F447" s="48">
        <v>0.67847222222222225</v>
      </c>
      <c r="G447" s="43">
        <f>(F447-E447)*1440</f>
        <v>35.000000000000036</v>
      </c>
      <c r="H447" s="9" t="s">
        <v>1120</v>
      </c>
      <c r="I447" s="9" t="s">
        <v>1303</v>
      </c>
      <c r="J447" s="44">
        <v>8.8000000000000007</v>
      </c>
      <c r="K447" s="60">
        <v>12.07</v>
      </c>
      <c r="L447" s="56">
        <v>10.039999999999999</v>
      </c>
      <c r="M447" s="14">
        <f>K447-L447</f>
        <v>2.0300000000000011</v>
      </c>
      <c r="N447" s="15">
        <f>IFERROR(M447/K447,0)</f>
        <v>0.16818558409279213</v>
      </c>
      <c r="O447" s="14">
        <f>IFERROR(L447/J447,0)</f>
        <v>1.1409090909090907</v>
      </c>
      <c r="P447" s="14">
        <f>IFERROR(L447/G447,0)</f>
        <v>0.28685714285714253</v>
      </c>
    </row>
    <row r="448" spans="1:17" x14ac:dyDescent="0.3">
      <c r="A448" s="9" t="s">
        <v>1066</v>
      </c>
      <c r="B448" s="9" t="s">
        <v>18</v>
      </c>
      <c r="C448" s="9" t="s">
        <v>184</v>
      </c>
      <c r="D448" s="52">
        <v>46121</v>
      </c>
      <c r="E448" s="48">
        <v>0.89861111111111114</v>
      </c>
      <c r="F448" s="48">
        <v>0.90972222222222221</v>
      </c>
      <c r="G448" s="43">
        <f>(F448-E448)*1440</f>
        <v>15.999999999999943</v>
      </c>
      <c r="H448" s="9" t="s">
        <v>604</v>
      </c>
      <c r="I448" s="9" t="s">
        <v>749</v>
      </c>
      <c r="J448" s="44">
        <v>18.329999999999998</v>
      </c>
      <c r="K448" s="60">
        <v>10.94</v>
      </c>
      <c r="L448" s="56">
        <v>7.18</v>
      </c>
      <c r="M448" s="14">
        <f>K448-L448</f>
        <v>3.76</v>
      </c>
      <c r="N448" s="15">
        <f>IFERROR(M448/K448,0)</f>
        <v>0.3436928702010969</v>
      </c>
      <c r="O448" s="14">
        <f>IFERROR(L448/J448,0)</f>
        <v>0.39170758319694493</v>
      </c>
      <c r="P448" s="14">
        <f>IFERROR(L448/G448,0)</f>
        <v>0.44875000000000159</v>
      </c>
    </row>
    <row r="449" spans="1:19" x14ac:dyDescent="0.3">
      <c r="A449" s="9" t="s">
        <v>1067</v>
      </c>
      <c r="B449" s="9" t="s">
        <v>26</v>
      </c>
      <c r="C449" s="9" t="s">
        <v>26</v>
      </c>
      <c r="D449" s="52">
        <v>46121</v>
      </c>
      <c r="E449" s="48">
        <v>0.54305555555555551</v>
      </c>
      <c r="F449" s="48">
        <v>0.56041666666666667</v>
      </c>
      <c r="G449" s="43">
        <f>(F449-E449)*1440</f>
        <v>25.000000000000071</v>
      </c>
      <c r="H449" s="9" t="s">
        <v>1321</v>
      </c>
      <c r="I449" s="9" t="s">
        <v>1322</v>
      </c>
      <c r="J449" s="44">
        <v>24.1</v>
      </c>
      <c r="K449" s="60">
        <v>12.02</v>
      </c>
      <c r="L449" s="56">
        <v>11.26</v>
      </c>
      <c r="M449" s="14">
        <f>K449-L449</f>
        <v>0.75999999999999979</v>
      </c>
      <c r="N449" s="15">
        <f>IFERROR(M449/K449,0)</f>
        <v>6.3227953410981683E-2</v>
      </c>
      <c r="O449" s="14">
        <f>IFERROR(L449/J449,0)</f>
        <v>0.46721991701244808</v>
      </c>
      <c r="P449" s="14">
        <f>IFERROR(L449/G449,0)</f>
        <v>0.45039999999999869</v>
      </c>
    </row>
    <row r="450" spans="1:19" x14ac:dyDescent="0.3">
      <c r="A450" s="9" t="s">
        <v>1062</v>
      </c>
      <c r="B450" s="9" t="s">
        <v>18</v>
      </c>
      <c r="C450" s="9" t="s">
        <v>184</v>
      </c>
      <c r="D450" s="52">
        <v>46121</v>
      </c>
      <c r="E450" s="48">
        <v>0.62430555555555556</v>
      </c>
      <c r="F450" s="48">
        <v>0.63680555555555551</v>
      </c>
      <c r="G450" s="43">
        <f>(F450-E450)*1440</f>
        <v>17.999999999999936</v>
      </c>
      <c r="H450" s="9" t="s">
        <v>536</v>
      </c>
      <c r="I450" s="9" t="s">
        <v>1316</v>
      </c>
      <c r="J450" s="44">
        <v>10.94</v>
      </c>
      <c r="K450" s="60">
        <v>8.9600000000000009</v>
      </c>
      <c r="L450" s="56">
        <v>5.82</v>
      </c>
      <c r="M450" s="14">
        <f>K450-L450</f>
        <v>3.1400000000000006</v>
      </c>
      <c r="N450" s="15">
        <f>IFERROR(M450/K450,0)</f>
        <v>0.3504464285714286</v>
      </c>
      <c r="O450" s="14">
        <f>IFERROR(L450/J450,0)</f>
        <v>0.53199268738574046</v>
      </c>
      <c r="P450" s="14">
        <f>IFERROR(L450/G450,0)</f>
        <v>0.32333333333333447</v>
      </c>
    </row>
    <row r="451" spans="1:19" x14ac:dyDescent="0.3">
      <c r="A451" s="9" t="s">
        <v>1068</v>
      </c>
      <c r="B451" s="9" t="s">
        <v>26</v>
      </c>
      <c r="C451" s="9" t="s">
        <v>27</v>
      </c>
      <c r="D451" s="52">
        <v>46121</v>
      </c>
      <c r="E451" s="48">
        <v>0.5625</v>
      </c>
      <c r="F451" s="48">
        <v>0.57361111111111118</v>
      </c>
      <c r="G451" s="43">
        <f>(F451-E451)*1440</f>
        <v>16.000000000000103</v>
      </c>
      <c r="H451" s="9" t="s">
        <v>1323</v>
      </c>
      <c r="I451" s="9" t="s">
        <v>1324</v>
      </c>
      <c r="J451" s="44">
        <v>9.9</v>
      </c>
      <c r="K451" s="60">
        <v>7.5</v>
      </c>
      <c r="L451" s="56">
        <v>5.62</v>
      </c>
      <c r="M451" s="14">
        <f>K451-L451</f>
        <v>1.88</v>
      </c>
      <c r="N451" s="15">
        <f>IFERROR(M451/K451,0)</f>
        <v>0.25066666666666665</v>
      </c>
      <c r="O451" s="14">
        <f>IFERROR(L451/J451,0)</f>
        <v>0.56767676767676767</v>
      </c>
      <c r="P451" s="14">
        <f>IFERROR(L451/G451,0)</f>
        <v>0.35124999999999773</v>
      </c>
    </row>
    <row r="452" spans="1:19" x14ac:dyDescent="0.3">
      <c r="A452" s="9" t="s">
        <v>1069</v>
      </c>
      <c r="B452" s="9" t="s">
        <v>26</v>
      </c>
      <c r="C452" s="9" t="s">
        <v>27</v>
      </c>
      <c r="D452" s="52">
        <v>46121</v>
      </c>
      <c r="E452" s="48">
        <v>0.57361111111111118</v>
      </c>
      <c r="F452" s="48">
        <v>0.58958333333333335</v>
      </c>
      <c r="G452" s="43">
        <f>(F452-E452)*1440</f>
        <v>22.999999999999918</v>
      </c>
      <c r="H452" s="9" t="s">
        <v>1325</v>
      </c>
      <c r="I452" s="9" t="s">
        <v>1326</v>
      </c>
      <c r="J452" s="44">
        <v>13.2</v>
      </c>
      <c r="K452" s="60">
        <v>10.26</v>
      </c>
      <c r="L452" s="56">
        <v>8.4600000000000009</v>
      </c>
      <c r="M452" s="14">
        <f>K452-L452</f>
        <v>1.7999999999999989</v>
      </c>
      <c r="N452" s="15">
        <f>IFERROR(M452/K452,0)</f>
        <v>0.17543859649122798</v>
      </c>
      <c r="O452" s="14">
        <f>IFERROR(L452/J452,0)</f>
        <v>0.64090909090909098</v>
      </c>
      <c r="P452" s="14">
        <f>IFERROR(L452/G452,0)</f>
        <v>0.36782608695652308</v>
      </c>
      <c r="R452" s="57">
        <v>0.96</v>
      </c>
    </row>
    <row r="453" spans="1:19" x14ac:dyDescent="0.3">
      <c r="A453" s="9" t="s">
        <v>1065</v>
      </c>
      <c r="B453" s="9" t="s">
        <v>538</v>
      </c>
      <c r="C453" s="9" t="s">
        <v>184</v>
      </c>
      <c r="D453" s="52">
        <v>46121</v>
      </c>
      <c r="E453" s="48">
        <v>0.68958333333333333</v>
      </c>
      <c r="F453" s="48">
        <v>0.70486111111111116</v>
      </c>
      <c r="G453" s="43">
        <f>(F453-E453)*1440</f>
        <v>22.000000000000082</v>
      </c>
      <c r="H453" s="9" t="s">
        <v>1320</v>
      </c>
      <c r="I453" s="9" t="s">
        <v>854</v>
      </c>
      <c r="J453" s="44">
        <v>10.94</v>
      </c>
      <c r="K453" s="60">
        <v>8.2200000000000006</v>
      </c>
      <c r="L453" s="56">
        <v>7.65</v>
      </c>
      <c r="M453" s="14">
        <f>K453-L453</f>
        <v>0.57000000000000028</v>
      </c>
      <c r="N453" s="15">
        <f>IFERROR(M453/K453,0)</f>
        <v>6.9343065693430683E-2</v>
      </c>
      <c r="O453" s="14">
        <f>IFERROR(L453/J453,0)</f>
        <v>0.69926873857404026</v>
      </c>
      <c r="P453" s="14">
        <f>IFERROR(L453/G453,0)</f>
        <v>0.34772727272727144</v>
      </c>
    </row>
    <row r="454" spans="1:19" x14ac:dyDescent="0.3">
      <c r="A454" s="9" t="s">
        <v>1063</v>
      </c>
      <c r="B454" s="9" t="s">
        <v>18</v>
      </c>
      <c r="C454" s="9" t="s">
        <v>184</v>
      </c>
      <c r="D454" s="52">
        <v>46121</v>
      </c>
      <c r="E454" s="48">
        <v>0.64027777777777783</v>
      </c>
      <c r="F454" s="48">
        <v>0.65138888888888891</v>
      </c>
      <c r="G454" s="43">
        <f>(F454-E454)*1440</f>
        <v>15.999999999999943</v>
      </c>
      <c r="H454" s="9" t="s">
        <v>1317</v>
      </c>
      <c r="I454" s="9" t="s">
        <v>531</v>
      </c>
      <c r="J454" s="44">
        <v>8.07</v>
      </c>
      <c r="K454" s="60">
        <v>6.02</v>
      </c>
      <c r="L454" s="56">
        <v>5.84</v>
      </c>
      <c r="M454" s="14">
        <f>K454-L454</f>
        <v>0.17999999999999972</v>
      </c>
      <c r="N454" s="15">
        <f>IFERROR(M454/K454,0)</f>
        <v>2.9900332225913578E-2</v>
      </c>
      <c r="O454" s="14">
        <f>IFERROR(L454/J454,0)</f>
        <v>0.72366790582403961</v>
      </c>
      <c r="P454" s="14">
        <f>IFERROR(L454/G454,0)</f>
        <v>0.36500000000000127</v>
      </c>
    </row>
    <row r="455" spans="1:19" x14ac:dyDescent="0.3">
      <c r="A455" s="9" t="s">
        <v>1061</v>
      </c>
      <c r="B455" s="9" t="s">
        <v>538</v>
      </c>
      <c r="C455" s="9" t="s">
        <v>184</v>
      </c>
      <c r="D455" s="52">
        <v>46121</v>
      </c>
      <c r="E455" s="48">
        <v>0.60069444444444442</v>
      </c>
      <c r="F455" s="48">
        <v>0.61319444444444449</v>
      </c>
      <c r="G455" s="43">
        <f>(F455-E455)*1440</f>
        <v>18.000000000000096</v>
      </c>
      <c r="H455" s="9" t="s">
        <v>1314</v>
      </c>
      <c r="I455" s="9" t="s">
        <v>1315</v>
      </c>
      <c r="J455" s="44">
        <v>12.35</v>
      </c>
      <c r="K455" s="60">
        <v>13.93</v>
      </c>
      <c r="L455" s="56">
        <v>9.0500000000000007</v>
      </c>
      <c r="M455" s="14">
        <f>K455-L455</f>
        <v>4.879999999999999</v>
      </c>
      <c r="N455" s="15">
        <f>IFERROR(M455/K455,0)</f>
        <v>0.35032304379038043</v>
      </c>
      <c r="O455" s="14">
        <f>IFERROR(L455/J455,0)</f>
        <v>0.73279352226720651</v>
      </c>
      <c r="P455" s="14">
        <f>IFERROR(L455/G455,0)</f>
        <v>0.5027777777777751</v>
      </c>
    </row>
    <row r="456" spans="1:19" x14ac:dyDescent="0.3">
      <c r="A456" s="9" t="s">
        <v>1070</v>
      </c>
      <c r="B456" s="9" t="s">
        <v>26</v>
      </c>
      <c r="C456" s="9" t="s">
        <v>26</v>
      </c>
      <c r="D456" s="52">
        <v>46121</v>
      </c>
      <c r="E456" s="48">
        <v>0.66180555555555554</v>
      </c>
      <c r="F456" s="48">
        <v>0.6777777777777777</v>
      </c>
      <c r="G456" s="43">
        <f>(F456-E456)*1440</f>
        <v>22.999999999999918</v>
      </c>
      <c r="H456" s="9" t="s">
        <v>570</v>
      </c>
      <c r="I456" s="9" t="s">
        <v>1327</v>
      </c>
      <c r="J456" s="44">
        <v>9.4</v>
      </c>
      <c r="K456" s="60">
        <v>7.41</v>
      </c>
      <c r="L456" s="56">
        <v>6.94</v>
      </c>
      <c r="M456" s="14">
        <f>K456-L456</f>
        <v>0.46999999999999975</v>
      </c>
      <c r="N456" s="15">
        <f>IFERROR(M456/K456,0)</f>
        <v>6.3427800269905493E-2</v>
      </c>
      <c r="O456" s="14">
        <f>IFERROR(L456/J456,0)</f>
        <v>0.73829787234042554</v>
      </c>
      <c r="P456" s="14">
        <f>IFERROR(L456/G456,0)</f>
        <v>0.30173913043478368</v>
      </c>
      <c r="R456" s="57">
        <v>0.86</v>
      </c>
    </row>
    <row r="457" spans="1:19" x14ac:dyDescent="0.3">
      <c r="A457" s="9" t="s">
        <v>1073</v>
      </c>
      <c r="B457" s="9" t="s">
        <v>26</v>
      </c>
      <c r="C457" s="9" t="s">
        <v>27</v>
      </c>
      <c r="D457" s="52">
        <v>46121</v>
      </c>
      <c r="E457" s="48">
        <v>0.80833333333333324</v>
      </c>
      <c r="F457" s="48">
        <v>0.82638888888888884</v>
      </c>
      <c r="G457" s="43">
        <f>(F457-E457)*1440</f>
        <v>26.000000000000068</v>
      </c>
      <c r="H457" s="9" t="s">
        <v>1329</v>
      </c>
      <c r="I457" s="9" t="s">
        <v>1330</v>
      </c>
      <c r="J457" s="44">
        <v>11.6</v>
      </c>
      <c r="K457" s="60">
        <v>12.24</v>
      </c>
      <c r="L457" s="56">
        <v>9.18</v>
      </c>
      <c r="M457" s="14">
        <f>K457-L457</f>
        <v>3.0600000000000005</v>
      </c>
      <c r="N457" s="15">
        <f>IFERROR(M457/K457,0)</f>
        <v>0.25000000000000006</v>
      </c>
      <c r="O457" s="14">
        <f>IFERROR(L457/J457,0)</f>
        <v>0.79137931034482756</v>
      </c>
      <c r="P457" s="14">
        <f>IFERROR(L457/G457,0)</f>
        <v>0.35307692307692212</v>
      </c>
      <c r="R457" s="57">
        <v>4.13</v>
      </c>
    </row>
    <row r="458" spans="1:19" x14ac:dyDescent="0.3">
      <c r="A458" s="9" t="s">
        <v>1075</v>
      </c>
      <c r="B458" s="9" t="s">
        <v>26</v>
      </c>
      <c r="C458" s="9" t="s">
        <v>27</v>
      </c>
      <c r="D458" s="52">
        <v>46121</v>
      </c>
      <c r="E458" s="48">
        <v>0.84166666666666667</v>
      </c>
      <c r="F458" s="48">
        <v>0.85069444444444453</v>
      </c>
      <c r="G458" s="43">
        <f>(F458-E458)*1440</f>
        <v>13.000000000000114</v>
      </c>
      <c r="H458" s="9" t="s">
        <v>214</v>
      </c>
      <c r="I458" s="9" t="s">
        <v>1332</v>
      </c>
      <c r="J458" s="44">
        <v>5.0999999999999996</v>
      </c>
      <c r="K458" s="60">
        <v>5.83</v>
      </c>
      <c r="L458" s="56">
        <v>4.37</v>
      </c>
      <c r="M458" s="14">
        <f>K458-L458</f>
        <v>1.46</v>
      </c>
      <c r="N458" s="15">
        <f>IFERROR(M458/K458,0)</f>
        <v>0.2504288164665523</v>
      </c>
      <c r="O458" s="14">
        <f>IFERROR(L458/J458,0)</f>
        <v>0.85686274509803928</v>
      </c>
      <c r="P458" s="14">
        <f>IFERROR(L458/G458,0)</f>
        <v>0.33615384615384325</v>
      </c>
      <c r="R458" s="57">
        <v>1.35</v>
      </c>
    </row>
    <row r="459" spans="1:19" x14ac:dyDescent="0.3">
      <c r="A459" s="9" t="s">
        <v>1076</v>
      </c>
      <c r="B459" s="9" t="s">
        <v>26</v>
      </c>
      <c r="C459" s="9" t="s">
        <v>27</v>
      </c>
      <c r="D459" s="52">
        <v>46121</v>
      </c>
      <c r="E459" s="48">
        <v>0.86111111111111116</v>
      </c>
      <c r="F459" s="48">
        <v>0.87638888888888899</v>
      </c>
      <c r="G459" s="43">
        <f>(F459-E459)*1440</f>
        <v>22.000000000000082</v>
      </c>
      <c r="H459" s="9" t="s">
        <v>690</v>
      </c>
      <c r="I459" s="9" t="s">
        <v>1333</v>
      </c>
      <c r="J459" s="44">
        <v>8.8000000000000007</v>
      </c>
      <c r="K459" s="60">
        <v>10.66</v>
      </c>
      <c r="L459" s="56">
        <v>7.99</v>
      </c>
      <c r="M459" s="14">
        <f>K459-L459</f>
        <v>2.67</v>
      </c>
      <c r="N459" s="15">
        <f>IFERROR(M459/K459,0)</f>
        <v>0.25046904315196999</v>
      </c>
      <c r="O459" s="14">
        <f>IFERROR(L459/J459,0)</f>
        <v>0.90795454545454546</v>
      </c>
      <c r="P459" s="14">
        <f>IFERROR(L459/G459,0)</f>
        <v>0.36318181818181683</v>
      </c>
      <c r="R459" s="57">
        <v>3.44</v>
      </c>
    </row>
    <row r="460" spans="1:19" x14ac:dyDescent="0.3">
      <c r="A460" s="9" t="s">
        <v>1074</v>
      </c>
      <c r="B460" s="9" t="s">
        <v>26</v>
      </c>
      <c r="C460" s="9" t="s">
        <v>27</v>
      </c>
      <c r="D460" s="52">
        <v>46121</v>
      </c>
      <c r="E460" s="48">
        <v>0.8305555555555556</v>
      </c>
      <c r="F460" s="48">
        <v>0.84027777777777779</v>
      </c>
      <c r="G460" s="43">
        <f>(F460-E460)*1440</f>
        <v>13.99999999999995</v>
      </c>
      <c r="H460" s="9" t="s">
        <v>1331</v>
      </c>
      <c r="I460" s="9" t="s">
        <v>214</v>
      </c>
      <c r="J460" s="44">
        <v>7.8</v>
      </c>
      <c r="K460" s="60">
        <v>6.63</v>
      </c>
      <c r="L460" s="56">
        <v>7.1</v>
      </c>
      <c r="M460" s="14">
        <f>K460-L460</f>
        <v>-0.46999999999999975</v>
      </c>
      <c r="N460" s="15">
        <f>IFERROR(M460/K460,0)</f>
        <v>-7.0889894419306154E-2</v>
      </c>
      <c r="O460" s="14">
        <f>IFERROR(L460/J460,0)</f>
        <v>0.91025641025641024</v>
      </c>
      <c r="P460" s="14">
        <f>IFERROR(L460/G460,0)</f>
        <v>0.50714285714285889</v>
      </c>
      <c r="R460" s="57">
        <v>2.2200000000000002</v>
      </c>
    </row>
    <row r="461" spans="1:19" x14ac:dyDescent="0.3">
      <c r="A461" s="9" t="s">
        <v>1072</v>
      </c>
      <c r="B461" s="9" t="s">
        <v>26</v>
      </c>
      <c r="C461" s="9" t="s">
        <v>27</v>
      </c>
      <c r="D461" s="52">
        <v>46121</v>
      </c>
      <c r="E461" s="48">
        <v>0.73611111111111116</v>
      </c>
      <c r="F461" s="48">
        <v>0.75</v>
      </c>
      <c r="G461" s="43">
        <f>(F461-E461)*1440</f>
        <v>19.999999999999929</v>
      </c>
      <c r="H461" s="9" t="s">
        <v>214</v>
      </c>
      <c r="I461" s="9" t="s">
        <v>211</v>
      </c>
      <c r="J461" s="44">
        <v>10.1</v>
      </c>
      <c r="K461" s="60">
        <v>12.02</v>
      </c>
      <c r="L461" s="56">
        <v>9.26</v>
      </c>
      <c r="M461" s="14">
        <f>K461-L461</f>
        <v>2.76</v>
      </c>
      <c r="N461" s="15">
        <f>IFERROR(M461/K461,0)</f>
        <v>0.22961730449251247</v>
      </c>
      <c r="O461" s="14">
        <f>IFERROR(L461/J461,0)</f>
        <v>0.91683168316831687</v>
      </c>
      <c r="P461" s="14">
        <f>IFERROR(L461/G461,0)</f>
        <v>0.46300000000000163</v>
      </c>
      <c r="R461" s="57">
        <v>3.73</v>
      </c>
      <c r="S461" s="61">
        <v>1</v>
      </c>
    </row>
    <row r="462" spans="1:19" x14ac:dyDescent="0.3">
      <c r="A462" s="9" t="s">
        <v>1071</v>
      </c>
      <c r="B462" s="9" t="s">
        <v>26</v>
      </c>
      <c r="C462" s="9" t="s">
        <v>27</v>
      </c>
      <c r="D462" s="52">
        <v>46121</v>
      </c>
      <c r="E462" s="48">
        <v>0.71944444444444444</v>
      </c>
      <c r="F462" s="48">
        <v>0.73472222222222217</v>
      </c>
      <c r="G462" s="43">
        <f>(F462-E462)*1440</f>
        <v>21.999999999999922</v>
      </c>
      <c r="H462" s="9" t="s">
        <v>1328</v>
      </c>
      <c r="I462" s="9" t="s">
        <v>214</v>
      </c>
      <c r="J462" s="44">
        <v>8.5</v>
      </c>
      <c r="K462" s="60">
        <v>10.43</v>
      </c>
      <c r="L462" s="56">
        <v>7.82</v>
      </c>
      <c r="M462" s="14">
        <f>K462-L462</f>
        <v>2.6099999999999994</v>
      </c>
      <c r="N462" s="15">
        <f>IFERROR(M462/K462,0)</f>
        <v>0.25023969319271328</v>
      </c>
      <c r="O462" s="14">
        <f>IFERROR(L462/J462,0)</f>
        <v>0.92</v>
      </c>
      <c r="P462" s="14">
        <f>IFERROR(L462/G462,0)</f>
        <v>0.35545454545454674</v>
      </c>
      <c r="R462" s="57">
        <v>3.02</v>
      </c>
    </row>
    <row r="463" spans="1:19" x14ac:dyDescent="0.3">
      <c r="A463" s="9" t="s">
        <v>1064</v>
      </c>
      <c r="B463" s="9" t="s">
        <v>18</v>
      </c>
      <c r="C463" s="9" t="s">
        <v>196</v>
      </c>
      <c r="D463" s="52">
        <v>46121</v>
      </c>
      <c r="E463" s="48">
        <v>0.67847222222222225</v>
      </c>
      <c r="F463" s="48">
        <v>0.6875</v>
      </c>
      <c r="G463" s="43">
        <f>(F463-E463)*1440</f>
        <v>12.999999999999954</v>
      </c>
      <c r="H463" s="9" t="s">
        <v>1318</v>
      </c>
      <c r="I463" s="9" t="s">
        <v>1319</v>
      </c>
      <c r="J463" s="44">
        <v>5.47</v>
      </c>
      <c r="K463" s="60">
        <v>12.97</v>
      </c>
      <c r="L463" s="56">
        <v>8.7799999999999994</v>
      </c>
      <c r="M463" s="14">
        <f>K463-L463</f>
        <v>4.1900000000000013</v>
      </c>
      <c r="N463" s="15">
        <f>IFERROR(M463/K463,0)</f>
        <v>0.32305319969159607</v>
      </c>
      <c r="O463" s="14">
        <f>IFERROR(L463/J463,0)</f>
        <v>1.6051188299817185</v>
      </c>
      <c r="P463" s="14">
        <f>IFERROR(L463/G463,0)</f>
        <v>0.67538461538461769</v>
      </c>
    </row>
    <row r="464" spans="1:19" x14ac:dyDescent="0.3">
      <c r="A464" s="9" t="s">
        <v>1079</v>
      </c>
      <c r="B464" s="9" t="s">
        <v>18</v>
      </c>
      <c r="C464" s="9" t="s">
        <v>184</v>
      </c>
      <c r="D464" s="52">
        <v>46122</v>
      </c>
      <c r="E464" s="48">
        <v>0.5625</v>
      </c>
      <c r="F464" s="48">
        <v>0.57708333333333328</v>
      </c>
      <c r="G464" s="43">
        <f>(F464-E464)*1440</f>
        <v>20.999999999999925</v>
      </c>
      <c r="H464" s="9" t="s">
        <v>1338</v>
      </c>
      <c r="I464" s="9" t="s">
        <v>1339</v>
      </c>
      <c r="J464" s="44">
        <v>21.78</v>
      </c>
      <c r="K464" s="60">
        <v>11.94</v>
      </c>
      <c r="L464" s="56">
        <v>8.26</v>
      </c>
      <c r="M464" s="14">
        <f>K464-L464</f>
        <v>3.6799999999999997</v>
      </c>
      <c r="N464" s="15">
        <f>IFERROR(M464/K464,0)</f>
        <v>0.3082077051926298</v>
      </c>
      <c r="O464" s="14">
        <f>IFERROR(L464/J464,0)</f>
        <v>0.37924701561065194</v>
      </c>
      <c r="P464" s="14">
        <f>IFERROR(L464/G464,0)</f>
        <v>0.3933333333333347</v>
      </c>
    </row>
    <row r="465" spans="1:19" x14ac:dyDescent="0.3">
      <c r="A465" s="9" t="s">
        <v>1087</v>
      </c>
      <c r="B465" s="9" t="s">
        <v>18</v>
      </c>
      <c r="C465" s="9" t="s">
        <v>184</v>
      </c>
      <c r="D465" s="52">
        <v>46122</v>
      </c>
      <c r="E465" s="48">
        <v>0.84583333333333333</v>
      </c>
      <c r="F465" s="48">
        <v>0.87708333333333333</v>
      </c>
      <c r="G465" s="43">
        <f>(F465-E465)*1440</f>
        <v>45</v>
      </c>
      <c r="H465" s="9" t="s">
        <v>1352</v>
      </c>
      <c r="I465" s="9" t="s">
        <v>1353</v>
      </c>
      <c r="J465" s="44">
        <v>19.57</v>
      </c>
      <c r="K465" s="60">
        <v>13.93</v>
      </c>
      <c r="L465" s="56">
        <v>9.17</v>
      </c>
      <c r="M465" s="14">
        <f>K465-L465</f>
        <v>4.76</v>
      </c>
      <c r="N465" s="15">
        <f>IFERROR(M465/K465,0)</f>
        <v>0.34170854271356782</v>
      </c>
      <c r="O465" s="14">
        <f>IFERROR(L465/J465,0)</f>
        <v>0.46857434849259066</v>
      </c>
      <c r="P465" s="14">
        <f>IFERROR(L465/G465,0)</f>
        <v>0.20377777777777778</v>
      </c>
    </row>
    <row r="466" spans="1:19" x14ac:dyDescent="0.3">
      <c r="A466" s="9" t="s">
        <v>1084</v>
      </c>
      <c r="B466" s="9" t="s">
        <v>18</v>
      </c>
      <c r="C466" s="9" t="s">
        <v>230</v>
      </c>
      <c r="D466" s="52">
        <v>46122</v>
      </c>
      <c r="E466" s="48">
        <v>0.68541666666666667</v>
      </c>
      <c r="F466" s="48">
        <v>0.71458333333333324</v>
      </c>
      <c r="G466" s="43">
        <f>(F466-E466)*1440</f>
        <v>41.999999999999851</v>
      </c>
      <c r="H466" s="9" t="s">
        <v>1347</v>
      </c>
      <c r="I466" s="9" t="s">
        <v>1348</v>
      </c>
      <c r="J466" s="44">
        <v>28.51</v>
      </c>
      <c r="K466" s="60">
        <v>17.350000000000001</v>
      </c>
      <c r="L466" s="56">
        <v>15.35</v>
      </c>
      <c r="M466" s="14">
        <f>K466-L466</f>
        <v>2.0000000000000018</v>
      </c>
      <c r="N466" s="15">
        <f>IFERROR(M466/K466,0)</f>
        <v>0.11527377521613842</v>
      </c>
      <c r="O466" s="14">
        <f>IFERROR(L466/J466,0)</f>
        <v>0.53840757628902136</v>
      </c>
      <c r="P466" s="14">
        <f>IFERROR(L466/G466,0)</f>
        <v>0.36547619047619179</v>
      </c>
      <c r="Q466" s="64">
        <v>1.6</v>
      </c>
    </row>
    <row r="467" spans="1:19" x14ac:dyDescent="0.3">
      <c r="A467" s="9" t="s">
        <v>1077</v>
      </c>
      <c r="B467" s="9" t="s">
        <v>26</v>
      </c>
      <c r="C467" s="9" t="s">
        <v>27</v>
      </c>
      <c r="D467" s="52">
        <v>46122</v>
      </c>
      <c r="E467" s="48">
        <v>0.58194444444444449</v>
      </c>
      <c r="F467" s="48">
        <v>0.59236111111111112</v>
      </c>
      <c r="G467" s="43">
        <f>(F467-E467)*1440</f>
        <v>14.999999999999947</v>
      </c>
      <c r="H467" s="9" t="s">
        <v>1334</v>
      </c>
      <c r="I467" s="9" t="s">
        <v>1335</v>
      </c>
      <c r="J467" s="44">
        <v>7.3</v>
      </c>
      <c r="K467" s="60">
        <v>5.28</v>
      </c>
      <c r="L467" s="56">
        <v>3.96</v>
      </c>
      <c r="M467" s="14">
        <f>K467-L467</f>
        <v>1.3200000000000003</v>
      </c>
      <c r="N467" s="15">
        <f>IFERROR(M467/K467,0)</f>
        <v>0.25000000000000006</v>
      </c>
      <c r="O467" s="14">
        <f>IFERROR(L467/J467,0)</f>
        <v>0.54246575342465753</v>
      </c>
      <c r="P467" s="14">
        <f>IFERROR(L467/G467,0)</f>
        <v>0.26400000000000096</v>
      </c>
    </row>
    <row r="468" spans="1:19" x14ac:dyDescent="0.3">
      <c r="A468" s="9" t="s">
        <v>1082</v>
      </c>
      <c r="B468" s="9" t="s">
        <v>18</v>
      </c>
      <c r="C468" s="9" t="s">
        <v>196</v>
      </c>
      <c r="D468" s="52">
        <v>46122</v>
      </c>
      <c r="E468" s="48">
        <v>0.63750000000000007</v>
      </c>
      <c r="F468" s="48">
        <v>0.66249999999999998</v>
      </c>
      <c r="G468" s="43">
        <f>(F468-E468)*1440</f>
        <v>35.999999999999872</v>
      </c>
      <c r="H468" s="9" t="s">
        <v>1343</v>
      </c>
      <c r="I468" s="9" t="s">
        <v>1344</v>
      </c>
      <c r="J468" s="44">
        <v>29.8</v>
      </c>
      <c r="K468" s="60">
        <v>20.97</v>
      </c>
      <c r="L468" s="56">
        <v>17.5</v>
      </c>
      <c r="M468" s="14">
        <f>K468-L468</f>
        <v>3.4699999999999989</v>
      </c>
      <c r="N468" s="15">
        <f>IFERROR(M468/K468,0)</f>
        <v>0.16547448736289933</v>
      </c>
      <c r="O468" s="14">
        <f>IFERROR(L468/J468,0)</f>
        <v>0.58724832214765099</v>
      </c>
      <c r="P468" s="14">
        <f>IFERROR(L468/G468,0)</f>
        <v>0.48611111111111283</v>
      </c>
      <c r="Q468" s="64">
        <v>1.6</v>
      </c>
      <c r="S468" s="61">
        <v>2</v>
      </c>
    </row>
    <row r="469" spans="1:19" x14ac:dyDescent="0.3">
      <c r="A469" s="9" t="s">
        <v>1085</v>
      </c>
      <c r="B469" s="9" t="s">
        <v>18</v>
      </c>
      <c r="C469" s="9" t="s">
        <v>184</v>
      </c>
      <c r="D469" s="52">
        <v>46122</v>
      </c>
      <c r="E469" s="48">
        <v>0.77083333333333337</v>
      </c>
      <c r="F469" s="48">
        <v>0.79166666666666663</v>
      </c>
      <c r="G469" s="43">
        <f>(F469-E469)*1440</f>
        <v>29.999999999999893</v>
      </c>
      <c r="H469" s="9" t="s">
        <v>1349</v>
      </c>
      <c r="I469" s="9" t="s">
        <v>1114</v>
      </c>
      <c r="J469" s="44">
        <v>11.79</v>
      </c>
      <c r="K469" s="60">
        <v>8.94</v>
      </c>
      <c r="L469" s="56">
        <v>7.22</v>
      </c>
      <c r="M469" s="14">
        <f>K469-L469</f>
        <v>1.7199999999999998</v>
      </c>
      <c r="N469" s="15">
        <f>IFERROR(M469/K469,0)</f>
        <v>0.19239373601789708</v>
      </c>
      <c r="O469" s="14">
        <f>IFERROR(L469/J469,0)</f>
        <v>0.6123833757421544</v>
      </c>
      <c r="P469" s="14">
        <f>IFERROR(L469/G469,0)</f>
        <v>0.2406666666666675</v>
      </c>
    </row>
    <row r="470" spans="1:19" x14ac:dyDescent="0.3">
      <c r="A470" s="9" t="s">
        <v>1086</v>
      </c>
      <c r="B470" s="9" t="s">
        <v>538</v>
      </c>
      <c r="C470" s="9" t="s">
        <v>184</v>
      </c>
      <c r="D470" s="52">
        <v>46122</v>
      </c>
      <c r="E470" s="48">
        <v>0.79583333333333339</v>
      </c>
      <c r="F470" s="48">
        <v>0.81111111111111101</v>
      </c>
      <c r="G470" s="43">
        <f>(F470-E470)*1440</f>
        <v>21.999999999999762</v>
      </c>
      <c r="H470" s="9" t="s">
        <v>1350</v>
      </c>
      <c r="I470" s="9" t="s">
        <v>1351</v>
      </c>
      <c r="J470" s="44">
        <v>11.46</v>
      </c>
      <c r="K470" s="60">
        <v>7.93</v>
      </c>
      <c r="L470" s="56">
        <v>7.23</v>
      </c>
      <c r="M470" s="14">
        <f>K470-L470</f>
        <v>0.69999999999999929</v>
      </c>
      <c r="N470" s="15">
        <f>IFERROR(M470/K470,0)</f>
        <v>8.8272383354350475E-2</v>
      </c>
      <c r="O470" s="14">
        <f>IFERROR(L470/J470,0)</f>
        <v>0.63089005235602091</v>
      </c>
      <c r="P470" s="14">
        <f>IFERROR(L470/G470,0)</f>
        <v>0.32863636363636722</v>
      </c>
    </row>
    <row r="471" spans="1:19" x14ac:dyDescent="0.3">
      <c r="A471" s="9" t="s">
        <v>1080</v>
      </c>
      <c r="B471" s="9" t="s">
        <v>18</v>
      </c>
      <c r="C471" s="9" t="s">
        <v>184</v>
      </c>
      <c r="D471" s="52">
        <v>46122</v>
      </c>
      <c r="E471" s="48">
        <v>0.59444444444444444</v>
      </c>
      <c r="F471" s="48">
        <v>0.6118055555555556</v>
      </c>
      <c r="G471" s="43">
        <f>(F471-E471)*1440</f>
        <v>25.000000000000071</v>
      </c>
      <c r="H471" s="9" t="s">
        <v>1340</v>
      </c>
      <c r="I471" s="9" t="s">
        <v>604</v>
      </c>
      <c r="J471" s="44">
        <v>9.0500000000000007</v>
      </c>
      <c r="K471" s="60">
        <v>6.94</v>
      </c>
      <c r="L471" s="56">
        <v>6.36</v>
      </c>
      <c r="M471" s="14">
        <f>K471-L471</f>
        <v>0.58000000000000007</v>
      </c>
      <c r="N471" s="15">
        <f>IFERROR(M471/K471,0)</f>
        <v>8.3573487031700297E-2</v>
      </c>
      <c r="O471" s="14">
        <f>IFERROR(L471/J471,0)</f>
        <v>0.70276243093922652</v>
      </c>
      <c r="P471" s="14">
        <f>IFERROR(L471/G471,0)</f>
        <v>0.25439999999999929</v>
      </c>
    </row>
    <row r="472" spans="1:19" x14ac:dyDescent="0.3">
      <c r="A472" s="9" t="s">
        <v>1081</v>
      </c>
      <c r="B472" s="9" t="s">
        <v>18</v>
      </c>
      <c r="C472" s="9" t="s">
        <v>184</v>
      </c>
      <c r="D472" s="52">
        <v>46122</v>
      </c>
      <c r="E472" s="48">
        <v>0.61527777777777781</v>
      </c>
      <c r="F472" s="48">
        <v>0.63472222222222219</v>
      </c>
      <c r="G472" s="43">
        <f>(F472-E472)*1440</f>
        <v>27.999999999999901</v>
      </c>
      <c r="H472" s="9" t="s">
        <v>1341</v>
      </c>
      <c r="I472" s="9" t="s">
        <v>1342</v>
      </c>
      <c r="J472" s="44">
        <v>9.17</v>
      </c>
      <c r="K472" s="60">
        <v>9.9499999999999993</v>
      </c>
      <c r="L472" s="56">
        <v>8.2899999999999991</v>
      </c>
      <c r="M472" s="14">
        <f>K472-L472</f>
        <v>1.6600000000000001</v>
      </c>
      <c r="N472" s="15">
        <f>IFERROR(M472/K472,0)</f>
        <v>0.16683417085427138</v>
      </c>
      <c r="O472" s="14">
        <f>IFERROR(L472/J472,0)</f>
        <v>0.90403489640130852</v>
      </c>
      <c r="P472" s="14">
        <f>IFERROR(L472/G472,0)</f>
        <v>0.2960714285714296</v>
      </c>
    </row>
    <row r="473" spans="1:19" x14ac:dyDescent="0.3">
      <c r="A473" s="9" t="s">
        <v>1078</v>
      </c>
      <c r="B473" s="9" t="s">
        <v>26</v>
      </c>
      <c r="C473" s="9" t="s">
        <v>26</v>
      </c>
      <c r="D473" s="52">
        <v>46122</v>
      </c>
      <c r="E473" s="48">
        <v>0.7270833333333333</v>
      </c>
      <c r="F473" s="48">
        <v>0.74861111111111101</v>
      </c>
      <c r="G473" s="43">
        <f>(F473-E473)*1440</f>
        <v>30.99999999999989</v>
      </c>
      <c r="H473" s="9" t="s">
        <v>1336</v>
      </c>
      <c r="I473" s="9" t="s">
        <v>1337</v>
      </c>
      <c r="J473" s="44">
        <v>9.6</v>
      </c>
      <c r="K473" s="60">
        <v>11.14</v>
      </c>
      <c r="L473" s="56">
        <v>9.19</v>
      </c>
      <c r="M473" s="14">
        <f>K473-L473</f>
        <v>1.9500000000000011</v>
      </c>
      <c r="N473" s="15">
        <f>IFERROR(M473/K473,0)</f>
        <v>0.17504488330341123</v>
      </c>
      <c r="O473" s="14">
        <f>IFERROR(L473/J473,0)</f>
        <v>0.95729166666666665</v>
      </c>
      <c r="P473" s="14">
        <f>IFERROR(L473/G473,0)</f>
        <v>0.29645161290322686</v>
      </c>
    </row>
    <row r="474" spans="1:19" x14ac:dyDescent="0.3">
      <c r="A474" s="9" t="s">
        <v>1083</v>
      </c>
      <c r="B474" s="9" t="s">
        <v>18</v>
      </c>
      <c r="C474" s="9" t="s">
        <v>184</v>
      </c>
      <c r="D474" s="52">
        <v>46122</v>
      </c>
      <c r="E474" s="48">
        <v>0.67986111111111114</v>
      </c>
      <c r="F474" s="48">
        <v>0.68541666666666667</v>
      </c>
      <c r="G474" s="43">
        <f>(F474-E474)*1440</f>
        <v>7.9999999999999716</v>
      </c>
      <c r="H474" s="9" t="s">
        <v>1345</v>
      </c>
      <c r="I474" s="9" t="s">
        <v>1346</v>
      </c>
      <c r="J474" s="44">
        <v>3.46</v>
      </c>
      <c r="K474" s="60">
        <v>3.95</v>
      </c>
      <c r="L474" s="56">
        <v>3.38</v>
      </c>
      <c r="M474" s="14">
        <f>K474-L474</f>
        <v>0.57000000000000028</v>
      </c>
      <c r="N474" s="15">
        <f>IFERROR(M474/K474,0)</f>
        <v>0.14430379746835451</v>
      </c>
      <c r="O474" s="14">
        <f>IFERROR(L474/J474,0)</f>
        <v>0.97687861271676302</v>
      </c>
      <c r="P474" s="14">
        <f>IFERROR(L474/G474,0)</f>
        <v>0.42250000000000149</v>
      </c>
    </row>
    <row r="475" spans="1:19" x14ac:dyDescent="0.3">
      <c r="A475" s="9" t="s">
        <v>1105</v>
      </c>
      <c r="B475" s="9" t="s">
        <v>26</v>
      </c>
      <c r="C475" s="9" t="s">
        <v>26</v>
      </c>
      <c r="D475" s="52">
        <v>46123</v>
      </c>
      <c r="E475" s="48">
        <v>0.72013888888888899</v>
      </c>
      <c r="F475" s="48">
        <v>0.73958333333333337</v>
      </c>
      <c r="G475" s="43">
        <f>(F475-E475)*1440</f>
        <v>27.999999999999901</v>
      </c>
      <c r="H475" s="9" t="s">
        <v>1370</v>
      </c>
      <c r="I475" s="9" t="s">
        <v>251</v>
      </c>
      <c r="J475" s="44">
        <v>19.8</v>
      </c>
      <c r="K475" s="60">
        <v>9.9600000000000009</v>
      </c>
      <c r="L475" s="56">
        <v>7.47</v>
      </c>
      <c r="M475" s="14">
        <f>K475-L475</f>
        <v>2.4900000000000011</v>
      </c>
      <c r="N475" s="15">
        <f>IFERROR(M475/K475,0)</f>
        <v>0.25000000000000011</v>
      </c>
      <c r="O475" s="14">
        <f>IFERROR(L475/J475,0)</f>
        <v>0.37727272727272726</v>
      </c>
      <c r="P475" s="14">
        <f>IFERROR(L475/G475,0)</f>
        <v>0.26678571428571524</v>
      </c>
    </row>
    <row r="476" spans="1:19" x14ac:dyDescent="0.3">
      <c r="A476" s="9" t="s">
        <v>1098</v>
      </c>
      <c r="B476" s="9" t="s">
        <v>18</v>
      </c>
      <c r="C476" s="9" t="s">
        <v>184</v>
      </c>
      <c r="D476" s="52">
        <v>46123</v>
      </c>
      <c r="E476" s="48">
        <v>0.90486111111111101</v>
      </c>
      <c r="F476" s="48">
        <v>0.9159722222222223</v>
      </c>
      <c r="G476" s="43">
        <f>(F476-E476)*1440</f>
        <v>16.000000000000263</v>
      </c>
      <c r="H476" s="9" t="s">
        <v>1207</v>
      </c>
      <c r="I476" s="9" t="s">
        <v>1221</v>
      </c>
      <c r="J476" s="44">
        <v>17.739999999999998</v>
      </c>
      <c r="K476" s="60">
        <v>10.93</v>
      </c>
      <c r="L476" s="56">
        <v>7.1</v>
      </c>
      <c r="M476" s="14">
        <f>K476-L476</f>
        <v>3.83</v>
      </c>
      <c r="N476" s="15">
        <f>IFERROR(M476/K476,0)</f>
        <v>0.3504117108874657</v>
      </c>
      <c r="O476" s="14">
        <f>IFERROR(L476/J476,0)</f>
        <v>0.4002254791431793</v>
      </c>
      <c r="P476" s="14">
        <f>IFERROR(L476/G476,0)</f>
        <v>0.44374999999999271</v>
      </c>
      <c r="S476" s="61">
        <v>2</v>
      </c>
    </row>
    <row r="477" spans="1:19" x14ac:dyDescent="0.3">
      <c r="A477" s="9" t="s">
        <v>1099</v>
      </c>
      <c r="B477" s="9" t="s">
        <v>26</v>
      </c>
      <c r="C477" s="9" t="s">
        <v>26</v>
      </c>
      <c r="D477" s="52">
        <v>46123</v>
      </c>
      <c r="E477" s="48">
        <v>0.3527777777777778</v>
      </c>
      <c r="F477" s="48">
        <v>0.37083333333333335</v>
      </c>
      <c r="G477" s="43">
        <f>(F477-E477)*1440</f>
        <v>25.999999999999986</v>
      </c>
      <c r="H477" s="9" t="s">
        <v>1338</v>
      </c>
      <c r="I477" s="9" t="s">
        <v>616</v>
      </c>
      <c r="J477" s="44">
        <v>29.8</v>
      </c>
      <c r="K477" s="60">
        <v>16.64</v>
      </c>
      <c r="L477" s="56">
        <v>12.48</v>
      </c>
      <c r="M477" s="14">
        <f>K477-L477</f>
        <v>4.16</v>
      </c>
      <c r="N477" s="15">
        <f>IFERROR(M477/K477,0)</f>
        <v>0.25</v>
      </c>
      <c r="O477" s="14">
        <f>IFERROR(L477/J477,0)</f>
        <v>0.41879194630872485</v>
      </c>
      <c r="P477" s="14">
        <f>IFERROR(L477/G477,0)</f>
        <v>0.48000000000000026</v>
      </c>
    </row>
    <row r="478" spans="1:19" x14ac:dyDescent="0.3">
      <c r="A478" s="9" t="s">
        <v>1102</v>
      </c>
      <c r="B478" s="9" t="s">
        <v>26</v>
      </c>
      <c r="C478" s="9" t="s">
        <v>27</v>
      </c>
      <c r="D478" s="52">
        <v>46123</v>
      </c>
      <c r="E478" s="48">
        <v>0.52430555555555558</v>
      </c>
      <c r="F478" s="48">
        <v>0.53541666666666665</v>
      </c>
      <c r="G478" s="43">
        <f>(F478-E478)*1440</f>
        <v>15.999999999999943</v>
      </c>
      <c r="H478" s="9" t="s">
        <v>1238</v>
      </c>
      <c r="I478" s="9" t="s">
        <v>1367</v>
      </c>
      <c r="J478" s="44">
        <v>9.9</v>
      </c>
      <c r="K478" s="60">
        <v>6.23</v>
      </c>
      <c r="L478" s="56">
        <v>4.67</v>
      </c>
      <c r="M478" s="14">
        <f>K478-L478</f>
        <v>1.5600000000000005</v>
      </c>
      <c r="N478" s="15">
        <f>IFERROR(M478/K478,0)</f>
        <v>0.25040128410914936</v>
      </c>
      <c r="O478" s="14">
        <f>IFERROR(L478/J478,0)</f>
        <v>0.4717171717171717</v>
      </c>
      <c r="P478" s="14">
        <f>IFERROR(L478/G478,0)</f>
        <v>0.29187500000000105</v>
      </c>
    </row>
    <row r="479" spans="1:19" x14ac:dyDescent="0.3">
      <c r="A479" s="9" t="s">
        <v>1095</v>
      </c>
      <c r="B479" s="9" t="s">
        <v>18</v>
      </c>
      <c r="C479" s="9" t="s">
        <v>184</v>
      </c>
      <c r="D479" s="52">
        <v>46123</v>
      </c>
      <c r="E479" s="48">
        <v>0.68472222222222223</v>
      </c>
      <c r="F479" s="48">
        <v>0.70000000000000007</v>
      </c>
      <c r="G479" s="43">
        <f>(F479-E479)*1440</f>
        <v>22.000000000000082</v>
      </c>
      <c r="H479" s="9" t="s">
        <v>885</v>
      </c>
      <c r="I479" s="9" t="s">
        <v>1120</v>
      </c>
      <c r="J479" s="44">
        <v>14.66</v>
      </c>
      <c r="K479" s="60">
        <v>8.9499999999999993</v>
      </c>
      <c r="L479" s="56">
        <v>7.28</v>
      </c>
      <c r="M479" s="14">
        <f>K479-L479</f>
        <v>1.669999999999999</v>
      </c>
      <c r="N479" s="15">
        <f>IFERROR(M479/K479,0)</f>
        <v>0.18659217877094963</v>
      </c>
      <c r="O479" s="14">
        <f>IFERROR(L479/J479,0)</f>
        <v>0.49658935879945432</v>
      </c>
      <c r="P479" s="14">
        <f>IFERROR(L479/G479,0)</f>
        <v>0.33090909090908971</v>
      </c>
    </row>
    <row r="480" spans="1:19" x14ac:dyDescent="0.3">
      <c r="A480" s="9" t="s">
        <v>1091</v>
      </c>
      <c r="B480" s="9" t="s">
        <v>538</v>
      </c>
      <c r="C480" s="9" t="s">
        <v>184</v>
      </c>
      <c r="D480" s="52">
        <v>46123</v>
      </c>
      <c r="E480" s="48">
        <v>0.49583333333333335</v>
      </c>
      <c r="F480" s="48">
        <v>0.50486111111111109</v>
      </c>
      <c r="G480" s="43">
        <f>(F480-E480)*1440</f>
        <v>12.999999999999954</v>
      </c>
      <c r="H480" s="9" t="s">
        <v>1358</v>
      </c>
      <c r="I480" s="9" t="s">
        <v>836</v>
      </c>
      <c r="J480" s="44">
        <v>8.36</v>
      </c>
      <c r="K480" s="60">
        <v>5.96</v>
      </c>
      <c r="L480" s="56">
        <v>4.25</v>
      </c>
      <c r="M480" s="14">
        <f>K480-L480</f>
        <v>1.71</v>
      </c>
      <c r="N480" s="15">
        <f>IFERROR(M480/K480,0)</f>
        <v>0.28691275167785235</v>
      </c>
      <c r="O480" s="14">
        <f>IFERROR(L480/J480,0)</f>
        <v>0.50837320574162681</v>
      </c>
      <c r="P480" s="14">
        <f>IFERROR(L480/G480,0)</f>
        <v>0.32692307692307809</v>
      </c>
    </row>
    <row r="481" spans="1:19" x14ac:dyDescent="0.3">
      <c r="A481" s="9" t="s">
        <v>1106</v>
      </c>
      <c r="B481" s="9" t="s">
        <v>26</v>
      </c>
      <c r="C481" s="9" t="s">
        <v>27</v>
      </c>
      <c r="D481" s="52">
        <v>46123</v>
      </c>
      <c r="E481" s="48">
        <v>0.7631944444444444</v>
      </c>
      <c r="F481" s="48">
        <v>0.77638888888888891</v>
      </c>
      <c r="G481" s="43">
        <f>(F481-E481)*1440</f>
        <v>19.000000000000092</v>
      </c>
      <c r="H481" s="9" t="s">
        <v>1371</v>
      </c>
      <c r="I481" s="9" t="s">
        <v>1372</v>
      </c>
      <c r="J481" s="44">
        <v>8.3000000000000007</v>
      </c>
      <c r="K481" s="60">
        <v>6.42</v>
      </c>
      <c r="L481" s="56">
        <v>4.8099999999999996</v>
      </c>
      <c r="M481" s="14">
        <f>K481-L481</f>
        <v>1.6100000000000003</v>
      </c>
      <c r="N481" s="15">
        <f>IFERROR(M481/K481,0)</f>
        <v>0.25077881619937697</v>
      </c>
      <c r="O481" s="14">
        <f>IFERROR(L481/J481,0)</f>
        <v>0.57951807228915653</v>
      </c>
      <c r="P481" s="14">
        <f>IFERROR(L481/G481,0)</f>
        <v>0.25315789473684086</v>
      </c>
    </row>
    <row r="482" spans="1:19" x14ac:dyDescent="0.3">
      <c r="A482" s="9" t="s">
        <v>1088</v>
      </c>
      <c r="B482" s="9" t="s">
        <v>18</v>
      </c>
      <c r="C482" s="9" t="s">
        <v>184</v>
      </c>
      <c r="D482" s="52">
        <v>46123</v>
      </c>
      <c r="E482" s="48">
        <v>0.36944444444444446</v>
      </c>
      <c r="F482" s="48">
        <v>0.3743055555555555</v>
      </c>
      <c r="G482" s="43">
        <f>(F482-E482)*1440</f>
        <v>6.9999999999998952</v>
      </c>
      <c r="H482" s="9" t="s">
        <v>1354</v>
      </c>
      <c r="I482" s="9" t="s">
        <v>1355</v>
      </c>
      <c r="J482" s="44">
        <v>5.76</v>
      </c>
      <c r="K482" s="60">
        <v>4.95</v>
      </c>
      <c r="L482" s="56">
        <v>3.51</v>
      </c>
      <c r="M482" s="14">
        <f>K482-L482</f>
        <v>1.4400000000000004</v>
      </c>
      <c r="N482" s="15">
        <f>IFERROR(M482/K482,0)</f>
        <v>0.29090909090909095</v>
      </c>
      <c r="O482" s="14">
        <f>IFERROR(L482/J482,0)</f>
        <v>0.609375</v>
      </c>
      <c r="P482" s="14">
        <f>IFERROR(L482/G482,0)</f>
        <v>0.50142857142857888</v>
      </c>
      <c r="S482" s="61">
        <v>0.5</v>
      </c>
    </row>
    <row r="483" spans="1:19" x14ac:dyDescent="0.3">
      <c r="A483" s="9" t="s">
        <v>1096</v>
      </c>
      <c r="B483" s="9" t="s">
        <v>18</v>
      </c>
      <c r="C483" s="9" t="s">
        <v>824</v>
      </c>
      <c r="D483" s="52">
        <v>46123</v>
      </c>
      <c r="E483" s="48">
        <v>0.74236111111111114</v>
      </c>
      <c r="F483" s="48">
        <v>0.75416666666666676</v>
      </c>
      <c r="G483" s="43">
        <f>(F483-E483)*1440</f>
        <v>17.000000000000099</v>
      </c>
      <c r="H483" s="9" t="s">
        <v>1361</v>
      </c>
      <c r="I483" s="9" t="s">
        <v>1133</v>
      </c>
      <c r="J483" s="44">
        <v>8.11</v>
      </c>
      <c r="K483" s="60">
        <v>6.95</v>
      </c>
      <c r="L483" s="56">
        <v>5.39</v>
      </c>
      <c r="M483" s="14">
        <f>K483-L483</f>
        <v>1.5600000000000005</v>
      </c>
      <c r="N483" s="15">
        <f>IFERROR(M483/K483,0)</f>
        <v>0.22446043165467633</v>
      </c>
      <c r="O483" s="14">
        <f>IFERROR(L483/J483,0)</f>
        <v>0.66461159062885322</v>
      </c>
      <c r="P483" s="14">
        <f>IFERROR(L483/G483,0)</f>
        <v>0.31705882352940989</v>
      </c>
    </row>
    <row r="484" spans="1:19" x14ac:dyDescent="0.3">
      <c r="A484" s="9" t="s">
        <v>1101</v>
      </c>
      <c r="B484" s="9" t="s">
        <v>26</v>
      </c>
      <c r="C484" s="9" t="s">
        <v>27</v>
      </c>
      <c r="D484" s="52">
        <v>46123</v>
      </c>
      <c r="E484" s="48">
        <v>0.50902777777777775</v>
      </c>
      <c r="F484" s="48">
        <v>0.51736111111111105</v>
      </c>
      <c r="G484" s="43">
        <f>(F484-E484)*1440</f>
        <v>11.999999999999957</v>
      </c>
      <c r="H484" s="9" t="s">
        <v>1365</v>
      </c>
      <c r="I484" s="9" t="s">
        <v>1366</v>
      </c>
      <c r="J484" s="44">
        <v>5.6</v>
      </c>
      <c r="K484" s="60">
        <v>4.75</v>
      </c>
      <c r="L484" s="56">
        <v>3.92</v>
      </c>
      <c r="M484" s="14">
        <f>K484-L484</f>
        <v>0.83000000000000007</v>
      </c>
      <c r="N484" s="15">
        <f>IFERROR(M484/K484,0)</f>
        <v>0.17473684210526316</v>
      </c>
      <c r="O484" s="14">
        <f>IFERROR(L484/J484,0)</f>
        <v>0.70000000000000007</v>
      </c>
      <c r="P484" s="14">
        <f>IFERROR(L484/G484,0)</f>
        <v>0.32666666666666783</v>
      </c>
    </row>
    <row r="485" spans="1:19" x14ac:dyDescent="0.3">
      <c r="A485" s="9" t="s">
        <v>1104</v>
      </c>
      <c r="B485" s="9" t="s">
        <v>26</v>
      </c>
      <c r="C485" s="9" t="s">
        <v>27</v>
      </c>
      <c r="D485" s="52">
        <v>46123</v>
      </c>
      <c r="E485" s="48">
        <v>0.63263888888888886</v>
      </c>
      <c r="F485" s="48">
        <v>0.64097222222222217</v>
      </c>
      <c r="G485" s="43">
        <f>(F485-E485)*1440</f>
        <v>11.999999999999957</v>
      </c>
      <c r="H485" s="9" t="s">
        <v>1369</v>
      </c>
      <c r="I485" s="9" t="s">
        <v>729</v>
      </c>
      <c r="J485" s="44">
        <v>6.3</v>
      </c>
      <c r="K485" s="60">
        <v>5.97</v>
      </c>
      <c r="L485" s="56">
        <v>4.4800000000000004</v>
      </c>
      <c r="M485" s="14">
        <f>K485-L485</f>
        <v>1.4899999999999993</v>
      </c>
      <c r="N485" s="15">
        <f>IFERROR(M485/K485,0)</f>
        <v>0.24958123953098818</v>
      </c>
      <c r="O485" s="14">
        <f>IFERROR(L485/J485,0)</f>
        <v>0.71111111111111125</v>
      </c>
      <c r="P485" s="14">
        <f>IFERROR(L485/G485,0)</f>
        <v>0.37333333333333468</v>
      </c>
    </row>
    <row r="486" spans="1:19" x14ac:dyDescent="0.3">
      <c r="A486" s="9" t="s">
        <v>1097</v>
      </c>
      <c r="B486" s="9" t="s">
        <v>538</v>
      </c>
      <c r="C486" s="9" t="s">
        <v>184</v>
      </c>
      <c r="D486" s="52">
        <v>46123</v>
      </c>
      <c r="E486" s="48">
        <v>0.77500000000000002</v>
      </c>
      <c r="F486" s="48">
        <v>0.78194444444444444</v>
      </c>
      <c r="G486" s="43">
        <f>(F486-E486)*1440</f>
        <v>9.9999999999999645</v>
      </c>
      <c r="H486" s="9" t="s">
        <v>1362</v>
      </c>
      <c r="I486" s="9" t="s">
        <v>1363</v>
      </c>
      <c r="J486" s="44">
        <v>5.41</v>
      </c>
      <c r="K486" s="60">
        <v>5.94</v>
      </c>
      <c r="L486" s="56">
        <v>3.86</v>
      </c>
      <c r="M486" s="14">
        <f>K486-L486</f>
        <v>2.0800000000000005</v>
      </c>
      <c r="N486" s="15">
        <f>IFERROR(M486/K486,0)</f>
        <v>0.35016835016835024</v>
      </c>
      <c r="O486" s="14">
        <f>IFERROR(L486/J486,0)</f>
        <v>0.71349353049907571</v>
      </c>
      <c r="P486" s="14">
        <f>IFERROR(L486/G486,0)</f>
        <v>0.38600000000000134</v>
      </c>
    </row>
    <row r="487" spans="1:19" x14ac:dyDescent="0.3">
      <c r="A487" s="9" t="s">
        <v>1093</v>
      </c>
      <c r="B487" s="9" t="s">
        <v>18</v>
      </c>
      <c r="C487" s="9" t="s">
        <v>184</v>
      </c>
      <c r="D487" s="52">
        <v>46123</v>
      </c>
      <c r="E487" s="48">
        <v>0.64166666666666672</v>
      </c>
      <c r="F487" s="48">
        <v>0.65416666666666667</v>
      </c>
      <c r="G487" s="43">
        <f>(F487-E487)*1440</f>
        <v>17.999999999999936</v>
      </c>
      <c r="H487" s="9" t="s">
        <v>233</v>
      </c>
      <c r="I487" s="9" t="s">
        <v>241</v>
      </c>
      <c r="J487" s="44">
        <v>7.47</v>
      </c>
      <c r="K487" s="60">
        <v>7.94</v>
      </c>
      <c r="L487" s="56">
        <v>5.34</v>
      </c>
      <c r="M487" s="14">
        <f>K487-L487</f>
        <v>2.6000000000000005</v>
      </c>
      <c r="N487" s="15">
        <f>IFERROR(M487/K487,0)</f>
        <v>0.32745591939546603</v>
      </c>
      <c r="O487" s="14">
        <f>IFERROR(L487/J487,0)</f>
        <v>0.71485943775100402</v>
      </c>
      <c r="P487" s="14">
        <f>IFERROR(L487/G487,0)</f>
        <v>0.29666666666666769</v>
      </c>
    </row>
    <row r="488" spans="1:19" x14ac:dyDescent="0.3">
      <c r="A488" s="9" t="s">
        <v>1089</v>
      </c>
      <c r="B488" s="9" t="s">
        <v>18</v>
      </c>
      <c r="C488" s="9" t="s">
        <v>184</v>
      </c>
      <c r="D488" s="52">
        <v>46123</v>
      </c>
      <c r="E488" s="48">
        <v>0.38055555555555554</v>
      </c>
      <c r="F488" s="48">
        <v>0.38611111111111113</v>
      </c>
      <c r="G488" s="43">
        <f>(F488-E488)*1440</f>
        <v>8.0000000000000515</v>
      </c>
      <c r="H488" s="9" t="s">
        <v>1356</v>
      </c>
      <c r="I488" s="9" t="s">
        <v>531</v>
      </c>
      <c r="J488" s="44">
        <v>6.23</v>
      </c>
      <c r="K488" s="60">
        <v>5.99</v>
      </c>
      <c r="L488" s="56">
        <v>4.4800000000000004</v>
      </c>
      <c r="M488" s="14">
        <f>K488-L488</f>
        <v>1.5099999999999998</v>
      </c>
      <c r="N488" s="15">
        <f>IFERROR(M488/K488,0)</f>
        <v>0.25208681135225369</v>
      </c>
      <c r="O488" s="14">
        <f>IFERROR(L488/J488,0)</f>
        <v>0.7191011235955056</v>
      </c>
      <c r="P488" s="14">
        <f>IFERROR(L488/G488,0)</f>
        <v>0.5599999999999965</v>
      </c>
    </row>
    <row r="489" spans="1:19" x14ac:dyDescent="0.3">
      <c r="A489" s="9" t="s">
        <v>1103</v>
      </c>
      <c r="B489" s="9" t="s">
        <v>26</v>
      </c>
      <c r="C489" s="9" t="s">
        <v>27</v>
      </c>
      <c r="D489" s="52">
        <v>46123</v>
      </c>
      <c r="E489" s="48">
        <v>0.59305555555555556</v>
      </c>
      <c r="F489" s="48">
        <v>0.60555555555555551</v>
      </c>
      <c r="G489" s="43">
        <f>(F489-E489)*1440</f>
        <v>17.999999999999936</v>
      </c>
      <c r="H489" s="9" t="s">
        <v>1368</v>
      </c>
      <c r="I489" s="9" t="s">
        <v>530</v>
      </c>
      <c r="J489" s="44">
        <v>8.5</v>
      </c>
      <c r="K489" s="60">
        <v>7.7</v>
      </c>
      <c r="L489" s="56">
        <v>6.35</v>
      </c>
      <c r="M489" s="14">
        <f>K489-L489</f>
        <v>1.3500000000000005</v>
      </c>
      <c r="N489" s="15">
        <f>IFERROR(M489/K489,0)</f>
        <v>0.17532467532467538</v>
      </c>
      <c r="O489" s="14">
        <f>IFERROR(L489/J489,0)</f>
        <v>0.74705882352941178</v>
      </c>
      <c r="P489" s="14">
        <f>IFERROR(L489/G489,0)</f>
        <v>0.35277777777777902</v>
      </c>
    </row>
    <row r="490" spans="1:19" x14ac:dyDescent="0.3">
      <c r="A490" s="9" t="s">
        <v>1092</v>
      </c>
      <c r="B490" s="9" t="s">
        <v>18</v>
      </c>
      <c r="C490" s="9" t="s">
        <v>196</v>
      </c>
      <c r="D490" s="52">
        <v>46123</v>
      </c>
      <c r="E490" s="48">
        <v>0.60555555555555551</v>
      </c>
      <c r="F490" s="48">
        <v>0.62777777777777777</v>
      </c>
      <c r="G490" s="43">
        <f>(F490-E490)*1440</f>
        <v>32.000000000000043</v>
      </c>
      <c r="H490" s="9" t="s">
        <v>584</v>
      </c>
      <c r="I490" s="9" t="s">
        <v>1359</v>
      </c>
      <c r="J490" s="44">
        <v>11.84</v>
      </c>
      <c r="K490" s="60">
        <v>10.98</v>
      </c>
      <c r="L490" s="56">
        <v>9.06</v>
      </c>
      <c r="M490" s="14">
        <f>K490-L490</f>
        <v>1.92</v>
      </c>
      <c r="N490" s="15">
        <f>IFERROR(M490/K490,0)</f>
        <v>0.17486338797814208</v>
      </c>
      <c r="O490" s="14">
        <f>IFERROR(L490/J490,0)</f>
        <v>0.76520270270270274</v>
      </c>
      <c r="P490" s="14">
        <f>IFERROR(L490/G490,0)</f>
        <v>0.28312499999999963</v>
      </c>
    </row>
    <row r="491" spans="1:19" x14ac:dyDescent="0.3">
      <c r="A491" s="9" t="s">
        <v>1094</v>
      </c>
      <c r="B491" s="9" t="s">
        <v>18</v>
      </c>
      <c r="C491" s="9" t="s">
        <v>184</v>
      </c>
      <c r="D491" s="52">
        <v>46123</v>
      </c>
      <c r="E491" s="48">
        <v>0.65763888888888888</v>
      </c>
      <c r="F491" s="48">
        <v>0.67499999999999993</v>
      </c>
      <c r="G491" s="43">
        <f>(F491-E491)*1440</f>
        <v>24.999999999999911</v>
      </c>
      <c r="H491" s="9" t="s">
        <v>1360</v>
      </c>
      <c r="I491" s="9" t="s">
        <v>561</v>
      </c>
      <c r="J491" s="44">
        <v>6.98</v>
      </c>
      <c r="K491" s="60">
        <v>7.95</v>
      </c>
      <c r="L491" s="56">
        <v>6.19</v>
      </c>
      <c r="M491" s="14">
        <f>K491-L491</f>
        <v>1.7599999999999998</v>
      </c>
      <c r="N491" s="15">
        <f>IFERROR(M491/K491,0)</f>
        <v>0.22138364779874212</v>
      </c>
      <c r="O491" s="14">
        <f>IFERROR(L491/J491,0)</f>
        <v>0.88681948424068768</v>
      </c>
      <c r="P491" s="14">
        <f>IFERROR(L491/G491,0)</f>
        <v>0.2476000000000009</v>
      </c>
      <c r="S491" s="61">
        <v>2</v>
      </c>
    </row>
    <row r="492" spans="1:19" x14ac:dyDescent="0.3">
      <c r="A492" s="9" t="s">
        <v>1100</v>
      </c>
      <c r="B492" s="9" t="s">
        <v>26</v>
      </c>
      <c r="C492" s="9" t="s">
        <v>26</v>
      </c>
      <c r="D492" s="52">
        <v>46123</v>
      </c>
      <c r="E492" s="48">
        <v>0.4777777777777778</v>
      </c>
      <c r="F492" s="48">
        <v>0.48958333333333331</v>
      </c>
      <c r="G492" s="43">
        <f>(F492-E492)*1440</f>
        <v>16.99999999999994</v>
      </c>
      <c r="H492" s="9" t="s">
        <v>1364</v>
      </c>
      <c r="I492" s="9" t="s">
        <v>1357</v>
      </c>
      <c r="J492" s="44">
        <v>3.8</v>
      </c>
      <c r="K492" s="60">
        <v>5.82</v>
      </c>
      <c r="L492" s="56">
        <v>4.3600000000000003</v>
      </c>
      <c r="M492" s="14">
        <f>K492-L492</f>
        <v>1.46</v>
      </c>
      <c r="N492" s="15">
        <f>IFERROR(M492/K492,0)</f>
        <v>0.25085910652920962</v>
      </c>
      <c r="O492" s="14">
        <f>IFERROR(L492/J492,0)</f>
        <v>1.1473684210526318</v>
      </c>
      <c r="P492" s="14">
        <f>IFERROR(L492/G492,0)</f>
        <v>0.25647058823529506</v>
      </c>
      <c r="R492" s="57">
        <v>1.34</v>
      </c>
    </row>
    <row r="493" spans="1:19" x14ac:dyDescent="0.3">
      <c r="A493" s="9" t="s">
        <v>1090</v>
      </c>
      <c r="B493" s="9" t="s">
        <v>18</v>
      </c>
      <c r="C493" s="9" t="s">
        <v>184</v>
      </c>
      <c r="D493" s="52">
        <v>46123</v>
      </c>
      <c r="E493" s="48">
        <v>0.48888888888888887</v>
      </c>
      <c r="F493" s="48">
        <v>0.49444444444444446</v>
      </c>
      <c r="G493" s="43">
        <f>(F493-E493)*1440</f>
        <v>8.0000000000000515</v>
      </c>
      <c r="H493" s="9" t="s">
        <v>1357</v>
      </c>
      <c r="I493" s="9" t="s">
        <v>638</v>
      </c>
      <c r="J493" s="44">
        <v>2.44</v>
      </c>
      <c r="K493" s="60">
        <v>4.9400000000000004</v>
      </c>
      <c r="L493" s="56">
        <v>3.3</v>
      </c>
      <c r="M493" s="14">
        <f>K493-L493</f>
        <v>1.6400000000000006</v>
      </c>
      <c r="N493" s="15">
        <f>IFERROR(M493/K493,0)</f>
        <v>0.33198380566801627</v>
      </c>
      <c r="O493" s="14">
        <f>IFERROR(L493/J493,0)</f>
        <v>1.3524590163934427</v>
      </c>
      <c r="P493" s="14">
        <f>IFERROR(L493/G493,0)</f>
        <v>0.41249999999999731</v>
      </c>
    </row>
    <row r="494" spans="1:19" x14ac:dyDescent="0.3">
      <c r="A494" s="9" t="s">
        <v>1383</v>
      </c>
      <c r="B494" s="9" t="s">
        <v>18</v>
      </c>
      <c r="C494" s="9" t="s">
        <v>184</v>
      </c>
      <c r="D494" s="52">
        <v>46124</v>
      </c>
      <c r="E494" s="48">
        <v>0.8833333333333333</v>
      </c>
      <c r="F494" s="48">
        <v>0.90833333333333333</v>
      </c>
      <c r="G494" s="43">
        <f>(F494-E494)*1440</f>
        <v>36.000000000000028</v>
      </c>
      <c r="H494" s="9" t="s">
        <v>1683</v>
      </c>
      <c r="I494" s="9" t="s">
        <v>1684</v>
      </c>
      <c r="J494" s="44">
        <v>35.729999999999997</v>
      </c>
      <c r="K494" s="60">
        <v>20.94</v>
      </c>
      <c r="L494" s="56">
        <v>13.61</v>
      </c>
      <c r="M494" s="14">
        <f>K494-L494</f>
        <v>7.3300000000000018</v>
      </c>
      <c r="N494" s="15">
        <f>IFERROR(M494/K494,0)</f>
        <v>0.35004775549188161</v>
      </c>
      <c r="O494" s="14">
        <f>IFERROR(L494/J494,0)</f>
        <v>0.38091239854464037</v>
      </c>
      <c r="P494" s="14">
        <f>IFERROR(L494/G494,0)</f>
        <v>0.37805555555555526</v>
      </c>
    </row>
    <row r="495" spans="1:19" x14ac:dyDescent="0.3">
      <c r="A495" s="9" t="s">
        <v>1107</v>
      </c>
      <c r="B495" s="9" t="s">
        <v>26</v>
      </c>
      <c r="C495" s="9" t="s">
        <v>27</v>
      </c>
      <c r="D495" s="52">
        <v>46124</v>
      </c>
      <c r="E495" s="48">
        <v>0.3888888888888889</v>
      </c>
      <c r="F495" s="48">
        <v>0.40763888888888888</v>
      </c>
      <c r="G495" s="43">
        <f>(F495-E495)*1440</f>
        <v>26.999999999999986</v>
      </c>
      <c r="H495" s="9" t="s">
        <v>1373</v>
      </c>
      <c r="I495" s="9" t="s">
        <v>1374</v>
      </c>
      <c r="J495" s="44">
        <v>19.100000000000001</v>
      </c>
      <c r="K495" s="60">
        <v>10.87</v>
      </c>
      <c r="L495" s="56">
        <v>8.15</v>
      </c>
      <c r="M495" s="14">
        <f>K495-L495</f>
        <v>2.7199999999999989</v>
      </c>
      <c r="N495" s="15">
        <f>IFERROR(M495/K495,0)</f>
        <v>0.2502299908003679</v>
      </c>
      <c r="O495" s="14">
        <f>IFERROR(L495/J495,0)</f>
        <v>0.42670157068062825</v>
      </c>
      <c r="P495" s="14">
        <f>IFERROR(L495/G495,0)</f>
        <v>0.30185185185185204</v>
      </c>
    </row>
    <row r="496" spans="1:19" x14ac:dyDescent="0.3">
      <c r="A496" s="9" t="s">
        <v>1381</v>
      </c>
      <c r="B496" s="9" t="s">
        <v>538</v>
      </c>
      <c r="C496" s="9" t="s">
        <v>184</v>
      </c>
      <c r="D496" s="52">
        <v>46124</v>
      </c>
      <c r="E496" s="48">
        <v>0.75277777777777777</v>
      </c>
      <c r="F496" s="48">
        <v>0.78055555555555556</v>
      </c>
      <c r="G496" s="43">
        <f>(F496-E496)*1440</f>
        <v>40.000000000000014</v>
      </c>
      <c r="H496" s="9" t="s">
        <v>1680</v>
      </c>
      <c r="I496" s="9" t="s">
        <v>1120</v>
      </c>
      <c r="J496" s="44">
        <v>30.55</v>
      </c>
      <c r="K496" s="60">
        <v>21.96</v>
      </c>
      <c r="L496" s="56">
        <v>13.23</v>
      </c>
      <c r="M496" s="14">
        <f>K496-L496</f>
        <v>8.73</v>
      </c>
      <c r="N496" s="15">
        <f>IFERROR(M496/K496,0)</f>
        <v>0.39754098360655737</v>
      </c>
      <c r="O496" s="14">
        <f>IFERROR(L496/J496,0)</f>
        <v>0.43306055646481179</v>
      </c>
      <c r="P496" s="14">
        <f>IFERROR(L496/G496,0)</f>
        <v>0.33074999999999988</v>
      </c>
      <c r="Q496" s="64">
        <v>1.6</v>
      </c>
    </row>
    <row r="497" spans="1:19" x14ac:dyDescent="0.3">
      <c r="A497" s="9" t="s">
        <v>1110</v>
      </c>
      <c r="B497" s="9" t="s">
        <v>26</v>
      </c>
      <c r="C497" s="9" t="s">
        <v>27</v>
      </c>
      <c r="D497" s="52">
        <v>46124</v>
      </c>
      <c r="E497" s="48">
        <v>0.81111111111111101</v>
      </c>
      <c r="F497" s="48">
        <v>0.82708333333333339</v>
      </c>
      <c r="G497" s="43">
        <f>(F497-E497)*1440</f>
        <v>23.000000000000238</v>
      </c>
      <c r="H497" s="9" t="s">
        <v>1378</v>
      </c>
      <c r="I497" s="9" t="s">
        <v>1379</v>
      </c>
      <c r="J497" s="44">
        <v>16.2</v>
      </c>
      <c r="K497" s="60">
        <v>9.44</v>
      </c>
      <c r="L497" s="56">
        <v>7.08</v>
      </c>
      <c r="M497" s="14">
        <f>K497-L497</f>
        <v>2.3599999999999994</v>
      </c>
      <c r="N497" s="15">
        <f>IFERROR(M497/K497,0)</f>
        <v>0.24999999999999994</v>
      </c>
      <c r="O497" s="14">
        <f>IFERROR(L497/J497,0)</f>
        <v>0.43703703703703706</v>
      </c>
      <c r="P497" s="14">
        <f>IFERROR(L497/G497,0)</f>
        <v>0.30782608695651853</v>
      </c>
    </row>
    <row r="498" spans="1:19" x14ac:dyDescent="0.3">
      <c r="A498" s="9" t="s">
        <v>1113</v>
      </c>
      <c r="B498" s="9" t="s">
        <v>538</v>
      </c>
      <c r="C498" s="9" t="s">
        <v>184</v>
      </c>
      <c r="D498" s="52">
        <v>46124</v>
      </c>
      <c r="E498" s="48">
        <v>0.62638888888888888</v>
      </c>
      <c r="F498" s="48">
        <v>0.64374999999999993</v>
      </c>
      <c r="G498" s="43">
        <f>(F498-E498)*1440</f>
        <v>24.999999999999911</v>
      </c>
      <c r="H498" s="9" t="s">
        <v>699</v>
      </c>
      <c r="I498" s="9" t="s">
        <v>604</v>
      </c>
      <c r="J498" s="44">
        <v>16.36</v>
      </c>
      <c r="K498" s="60">
        <v>11.95</v>
      </c>
      <c r="L498" s="56">
        <v>7.77</v>
      </c>
      <c r="M498" s="14">
        <f>K498-L498</f>
        <v>4.18</v>
      </c>
      <c r="N498" s="15">
        <f>IFERROR(M498/K498,0)</f>
        <v>0.3497907949790795</v>
      </c>
      <c r="O498" s="14">
        <f>IFERROR(L498/J498,0)</f>
        <v>0.47493887530562345</v>
      </c>
      <c r="P498" s="14">
        <f>IFERROR(L498/G498,0)</f>
        <v>0.31080000000000108</v>
      </c>
      <c r="S498" s="61">
        <v>0.5</v>
      </c>
    </row>
    <row r="499" spans="1:19" x14ac:dyDescent="0.3">
      <c r="A499" s="9" t="s">
        <v>1382</v>
      </c>
      <c r="B499" s="9" t="s">
        <v>18</v>
      </c>
      <c r="C499" s="9" t="s">
        <v>184</v>
      </c>
      <c r="D499" s="52">
        <v>46124</v>
      </c>
      <c r="E499" s="48">
        <v>0.82708333333333339</v>
      </c>
      <c r="F499" s="48">
        <v>0.83888888888888891</v>
      </c>
      <c r="G499" s="43">
        <f>(F499-E499)*1440</f>
        <v>16.99999999999994</v>
      </c>
      <c r="H499" s="9" t="s">
        <v>1681</v>
      </c>
      <c r="I499" s="9" t="s">
        <v>1682</v>
      </c>
      <c r="J499" s="44">
        <v>11.05</v>
      </c>
      <c r="K499" s="60">
        <v>8.93</v>
      </c>
      <c r="L499" s="56">
        <v>5.8</v>
      </c>
      <c r="M499" s="14">
        <f>K499-L499</f>
        <v>3.13</v>
      </c>
      <c r="N499" s="15">
        <f>IFERROR(M499/K499,0)</f>
        <v>0.35050391937290032</v>
      </c>
      <c r="O499" s="14">
        <f>IFERROR(L499/J499,0)</f>
        <v>0.52488687782805421</v>
      </c>
      <c r="P499" s="14">
        <f>IFERROR(L499/G499,0)</f>
        <v>0.34117647058823647</v>
      </c>
    </row>
    <row r="500" spans="1:19" x14ac:dyDescent="0.3">
      <c r="A500" s="9" t="s">
        <v>1111</v>
      </c>
      <c r="B500" s="9" t="s">
        <v>18</v>
      </c>
      <c r="C500" s="9" t="s">
        <v>184</v>
      </c>
      <c r="D500" s="52">
        <v>46124</v>
      </c>
      <c r="E500" s="48">
        <v>0.41180555555555554</v>
      </c>
      <c r="F500" s="48">
        <v>0.4201388888888889</v>
      </c>
      <c r="G500" s="43">
        <f>(F500-E500)*1440</f>
        <v>12.000000000000037</v>
      </c>
      <c r="H500" s="9" t="s">
        <v>1380</v>
      </c>
      <c r="I500" s="9" t="s">
        <v>1120</v>
      </c>
      <c r="J500" s="44">
        <v>5.69</v>
      </c>
      <c r="K500" s="60">
        <v>6.93</v>
      </c>
      <c r="L500" s="56">
        <v>4.5</v>
      </c>
      <c r="M500" s="14">
        <f>K500-L500</f>
        <v>2.4299999999999997</v>
      </c>
      <c r="N500" s="15">
        <f>IFERROR(M500/K500,0)</f>
        <v>0.3506493506493506</v>
      </c>
      <c r="O500" s="14">
        <f>IFERROR(L500/J500,0)</f>
        <v>0.79086115992970119</v>
      </c>
      <c r="P500" s="14">
        <f>IFERROR(L500/G500,0)</f>
        <v>0.37499999999999883</v>
      </c>
      <c r="S500" s="61">
        <v>1</v>
      </c>
    </row>
    <row r="501" spans="1:19" x14ac:dyDescent="0.3">
      <c r="A501" s="9" t="s">
        <v>1109</v>
      </c>
      <c r="B501" s="9" t="s">
        <v>26</v>
      </c>
      <c r="C501" s="9" t="s">
        <v>26</v>
      </c>
      <c r="D501" s="52">
        <v>46124</v>
      </c>
      <c r="E501" s="48">
        <v>0.57222222222222219</v>
      </c>
      <c r="F501" s="48">
        <v>0.58680555555555558</v>
      </c>
      <c r="G501" s="43">
        <f>(F501-E501)*1440</f>
        <v>21.000000000000085</v>
      </c>
      <c r="H501" s="9" t="s">
        <v>1120</v>
      </c>
      <c r="I501" s="9" t="s">
        <v>1377</v>
      </c>
      <c r="J501" s="44">
        <v>8.1</v>
      </c>
      <c r="K501" s="60">
        <v>8.2100000000000009</v>
      </c>
      <c r="L501" s="56">
        <v>6.77</v>
      </c>
      <c r="M501" s="14">
        <f>K501-L501</f>
        <v>1.4400000000000013</v>
      </c>
      <c r="N501" s="15">
        <f>IFERROR(M501/K501,0)</f>
        <v>0.17539585870889174</v>
      </c>
      <c r="O501" s="14">
        <f>IFERROR(L501/J501,0)</f>
        <v>0.83580246913580247</v>
      </c>
      <c r="P501" s="14">
        <f>IFERROR(L501/G501,0)</f>
        <v>0.32238095238095105</v>
      </c>
      <c r="R501" s="57">
        <v>1.51</v>
      </c>
    </row>
    <row r="502" spans="1:19" x14ac:dyDescent="0.3">
      <c r="A502" s="9" t="s">
        <v>1112</v>
      </c>
      <c r="B502" s="9" t="s">
        <v>538</v>
      </c>
      <c r="C502" s="9" t="s">
        <v>184</v>
      </c>
      <c r="D502" s="52">
        <v>46124</v>
      </c>
      <c r="E502" s="48">
        <v>0.53680555555555554</v>
      </c>
      <c r="F502" s="48">
        <v>0.55555555555555558</v>
      </c>
      <c r="G502" s="43">
        <f>(F502-E502)*1440</f>
        <v>27.000000000000064</v>
      </c>
      <c r="H502" s="9" t="s">
        <v>1119</v>
      </c>
      <c r="I502" s="9" t="s">
        <v>1120</v>
      </c>
      <c r="J502" s="44">
        <v>11.91</v>
      </c>
      <c r="K502" s="60">
        <v>15.95</v>
      </c>
      <c r="L502" s="56">
        <v>10.94</v>
      </c>
      <c r="M502" s="14">
        <f>K502-L502</f>
        <v>5.01</v>
      </c>
      <c r="N502" s="15">
        <f>IFERROR(M502/K502,0)</f>
        <v>0.31410658307210032</v>
      </c>
      <c r="O502" s="14">
        <f>IFERROR(L502/J502,0)</f>
        <v>0.91855583543240971</v>
      </c>
      <c r="P502" s="14">
        <f>IFERROR(L502/G502,0)</f>
        <v>0.4051851851851842</v>
      </c>
    </row>
    <row r="503" spans="1:19" x14ac:dyDescent="0.3">
      <c r="A503" s="9" t="s">
        <v>1108</v>
      </c>
      <c r="B503" s="9" t="s">
        <v>26</v>
      </c>
      <c r="C503" s="9" t="s">
        <v>27</v>
      </c>
      <c r="D503" s="52">
        <v>46124</v>
      </c>
      <c r="E503" s="48">
        <v>0.40972222222222227</v>
      </c>
      <c r="F503" s="48">
        <v>0.41805555555555557</v>
      </c>
      <c r="G503" s="43">
        <f>(F503-E503)*1440</f>
        <v>11.999999999999957</v>
      </c>
      <c r="H503" s="9" t="s">
        <v>1375</v>
      </c>
      <c r="I503" s="9" t="s">
        <v>1376</v>
      </c>
      <c r="J503" s="44">
        <v>4.9000000000000004</v>
      </c>
      <c r="K503" s="60">
        <v>6.55</v>
      </c>
      <c r="L503" s="56">
        <v>4.91</v>
      </c>
      <c r="M503" s="14">
        <f>K503-L503</f>
        <v>1.6399999999999997</v>
      </c>
      <c r="N503" s="15">
        <f>IFERROR(M503/K503,0)</f>
        <v>0.25038167938931294</v>
      </c>
      <c r="O503" s="14">
        <f>IFERROR(L503/J503,0)</f>
        <v>1.0020408163265306</v>
      </c>
      <c r="P503" s="14">
        <f>IFERROR(L503/G503,0)</f>
        <v>0.40916666666666812</v>
      </c>
      <c r="R503" s="57">
        <v>1.88</v>
      </c>
    </row>
    <row r="504" spans="1:19" x14ac:dyDescent="0.3">
      <c r="A504" s="9" t="s">
        <v>1398</v>
      </c>
      <c r="B504" s="9" t="s">
        <v>26</v>
      </c>
      <c r="C504" s="9" t="s">
        <v>27</v>
      </c>
      <c r="D504" s="52">
        <v>46125</v>
      </c>
      <c r="E504" s="48">
        <v>0.87083333333333324</v>
      </c>
      <c r="F504" s="48">
        <v>0.88750000000000007</v>
      </c>
      <c r="G504" s="43">
        <f>(F504-E504)*1440</f>
        <v>24.000000000000234</v>
      </c>
      <c r="H504" s="9" t="s">
        <v>1701</v>
      </c>
      <c r="I504" s="9" t="s">
        <v>1702</v>
      </c>
      <c r="J504" s="44">
        <v>21.6</v>
      </c>
      <c r="K504" s="60">
        <v>11.93</v>
      </c>
      <c r="L504" s="56">
        <v>8.9499999999999993</v>
      </c>
      <c r="M504" s="14">
        <f>K504-L504</f>
        <v>2.9800000000000004</v>
      </c>
      <c r="N504" s="15">
        <f>IFERROR(M504/K504,0)</f>
        <v>0.24979044425817271</v>
      </c>
      <c r="O504" s="14">
        <f>IFERROR(L504/J504,0)</f>
        <v>0.4143518518518518</v>
      </c>
      <c r="P504" s="14">
        <f>IFERROR(L504/G504,0)</f>
        <v>0.37291666666666301</v>
      </c>
    </row>
    <row r="505" spans="1:19" x14ac:dyDescent="0.3">
      <c r="A505" s="9" t="s">
        <v>1394</v>
      </c>
      <c r="B505" s="9" t="s">
        <v>26</v>
      </c>
      <c r="C505" s="9" t="s">
        <v>27</v>
      </c>
      <c r="D505" s="52">
        <v>46125</v>
      </c>
      <c r="E505" s="48">
        <v>0.56388888888888888</v>
      </c>
      <c r="F505" s="48">
        <v>0.57986111111111105</v>
      </c>
      <c r="G505" s="43">
        <f>(F505-E505)*1440</f>
        <v>22.999999999999918</v>
      </c>
      <c r="H505" s="9" t="s">
        <v>1697</v>
      </c>
      <c r="I505" s="9" t="s">
        <v>1698</v>
      </c>
      <c r="J505" s="44">
        <v>16.600000000000001</v>
      </c>
      <c r="K505" s="60">
        <v>10.45</v>
      </c>
      <c r="L505" s="56">
        <v>7.84</v>
      </c>
      <c r="M505" s="14">
        <f>K505-L505</f>
        <v>2.6099999999999994</v>
      </c>
      <c r="N505" s="15">
        <f>IFERROR(M505/K505,0)</f>
        <v>0.24976076555023918</v>
      </c>
      <c r="O505" s="14">
        <f>IFERROR(L505/J505,0)</f>
        <v>0.472289156626506</v>
      </c>
      <c r="P505" s="14">
        <f>IFERROR(L505/G505,0)</f>
        <v>0.34086956521739253</v>
      </c>
    </row>
    <row r="506" spans="1:19" x14ac:dyDescent="0.3">
      <c r="A506" s="9" t="s">
        <v>1387</v>
      </c>
      <c r="B506" s="9" t="s">
        <v>18</v>
      </c>
      <c r="C506" s="9" t="s">
        <v>184</v>
      </c>
      <c r="D506" s="52">
        <v>46125</v>
      </c>
      <c r="E506" s="48">
        <v>0.6694444444444444</v>
      </c>
      <c r="F506" s="48">
        <v>0.68611111111111101</v>
      </c>
      <c r="G506" s="43">
        <f>(F506-E506)*1440</f>
        <v>23.999999999999915</v>
      </c>
      <c r="H506" s="9" t="s">
        <v>1689</v>
      </c>
      <c r="I506" s="9" t="s">
        <v>531</v>
      </c>
      <c r="J506" s="44">
        <v>16.41</v>
      </c>
      <c r="K506" s="60">
        <v>9.9499999999999993</v>
      </c>
      <c r="L506" s="56">
        <v>7.98</v>
      </c>
      <c r="M506" s="14">
        <f>K506-L506</f>
        <v>1.9699999999999989</v>
      </c>
      <c r="N506" s="15">
        <f>IFERROR(M506/K506,0)</f>
        <v>0.19798994974874362</v>
      </c>
      <c r="O506" s="14">
        <f>IFERROR(L506/J506,0)</f>
        <v>0.48628884826325414</v>
      </c>
      <c r="P506" s="14">
        <f>IFERROR(L506/G506,0)</f>
        <v>0.33250000000000118</v>
      </c>
    </row>
    <row r="507" spans="1:19" x14ac:dyDescent="0.3">
      <c r="A507" s="9" t="s">
        <v>1392</v>
      </c>
      <c r="B507" s="9" t="s">
        <v>18</v>
      </c>
      <c r="C507" s="9" t="s">
        <v>184</v>
      </c>
      <c r="D507" s="52">
        <v>46125</v>
      </c>
      <c r="E507" s="48">
        <v>0.81319444444444444</v>
      </c>
      <c r="F507" s="48">
        <v>0.82777777777777783</v>
      </c>
      <c r="G507" s="43">
        <f>(F507-E507)*1440</f>
        <v>21.000000000000085</v>
      </c>
      <c r="H507" s="9" t="s">
        <v>671</v>
      </c>
      <c r="I507" s="9" t="s">
        <v>1694</v>
      </c>
      <c r="J507" s="44">
        <v>11.68</v>
      </c>
      <c r="K507" s="60">
        <v>8.9600000000000009</v>
      </c>
      <c r="L507" s="56">
        <v>6.35</v>
      </c>
      <c r="M507" s="14">
        <f>K507-L507</f>
        <v>2.6100000000000012</v>
      </c>
      <c r="N507" s="15">
        <f>IFERROR(M507/K507,0)</f>
        <v>0.29129464285714296</v>
      </c>
      <c r="O507" s="14">
        <f>IFERROR(L507/J507,0)</f>
        <v>0.54366438356164382</v>
      </c>
      <c r="P507" s="14">
        <f>IFERROR(L507/G507,0)</f>
        <v>0.30238095238095114</v>
      </c>
    </row>
    <row r="508" spans="1:19" x14ac:dyDescent="0.3">
      <c r="A508" s="9" t="s">
        <v>1395</v>
      </c>
      <c r="B508" s="9" t="s">
        <v>26</v>
      </c>
      <c r="C508" s="9" t="s">
        <v>27</v>
      </c>
      <c r="D508" s="52">
        <v>46125</v>
      </c>
      <c r="E508" s="48">
        <v>0.7402777777777777</v>
      </c>
      <c r="F508" s="48">
        <v>0.75208333333333333</v>
      </c>
      <c r="G508" s="43">
        <f>(F508-E508)*1440</f>
        <v>17.000000000000099</v>
      </c>
      <c r="H508" s="9" t="s">
        <v>1296</v>
      </c>
      <c r="I508" s="9" t="s">
        <v>1230</v>
      </c>
      <c r="J508" s="44">
        <v>9</v>
      </c>
      <c r="K508" s="60">
        <v>6.61</v>
      </c>
      <c r="L508" s="56">
        <v>5.46</v>
      </c>
      <c r="M508" s="14">
        <f>K508-L508</f>
        <v>1.1500000000000004</v>
      </c>
      <c r="N508" s="15">
        <f>IFERROR(M508/K508,0)</f>
        <v>0.17397881996974285</v>
      </c>
      <c r="O508" s="14">
        <f>IFERROR(L508/J508,0)</f>
        <v>0.60666666666666669</v>
      </c>
      <c r="P508" s="14">
        <f>IFERROR(L508/G508,0)</f>
        <v>0.3211764705882334</v>
      </c>
    </row>
    <row r="509" spans="1:19" x14ac:dyDescent="0.3">
      <c r="A509" s="9" t="s">
        <v>1396</v>
      </c>
      <c r="B509" s="9" t="s">
        <v>26</v>
      </c>
      <c r="C509" s="9" t="s">
        <v>27</v>
      </c>
      <c r="D509" s="52">
        <v>46125</v>
      </c>
      <c r="E509" s="48">
        <v>0.75763888888888886</v>
      </c>
      <c r="F509" s="48">
        <v>0.77430555555555547</v>
      </c>
      <c r="G509" s="43">
        <f>(F509-E509)*1440</f>
        <v>23.999999999999915</v>
      </c>
      <c r="H509" s="9" t="s">
        <v>1230</v>
      </c>
      <c r="I509" s="9" t="s">
        <v>1699</v>
      </c>
      <c r="J509" s="44">
        <v>14</v>
      </c>
      <c r="K509" s="60">
        <v>11.5</v>
      </c>
      <c r="L509" s="56">
        <v>8.6199999999999992</v>
      </c>
      <c r="M509" s="14">
        <f>K509-L509</f>
        <v>2.8800000000000008</v>
      </c>
      <c r="N509" s="15">
        <f>IFERROR(M509/K509,0)</f>
        <v>0.25043478260869573</v>
      </c>
      <c r="O509" s="14">
        <f>IFERROR(L509/J509,0)</f>
        <v>0.61571428571428566</v>
      </c>
      <c r="P509" s="14">
        <f>IFERROR(L509/G509,0)</f>
        <v>0.35916666666666791</v>
      </c>
      <c r="R509" s="57">
        <v>1.98</v>
      </c>
    </row>
    <row r="510" spans="1:19" x14ac:dyDescent="0.3">
      <c r="A510" s="9" t="s">
        <v>1385</v>
      </c>
      <c r="B510" s="9" t="s">
        <v>18</v>
      </c>
      <c r="C510" s="9" t="s">
        <v>230</v>
      </c>
      <c r="D510" s="52">
        <v>46125</v>
      </c>
      <c r="E510" s="48">
        <v>0.62361111111111112</v>
      </c>
      <c r="F510" s="48">
        <v>0.64444444444444449</v>
      </c>
      <c r="G510" s="43">
        <f>(F510-E510)*1440</f>
        <v>30.000000000000053</v>
      </c>
      <c r="H510" s="9" t="s">
        <v>1686</v>
      </c>
      <c r="I510" s="9" t="s">
        <v>274</v>
      </c>
      <c r="J510" s="44">
        <v>11</v>
      </c>
      <c r="K510" s="60">
        <v>9.3000000000000007</v>
      </c>
      <c r="L510" s="56">
        <v>7.46</v>
      </c>
      <c r="M510" s="14">
        <f>K510-L510</f>
        <v>1.8400000000000007</v>
      </c>
      <c r="N510" s="15">
        <f>IFERROR(M510/K510,0)</f>
        <v>0.19784946236559145</v>
      </c>
      <c r="O510" s="14">
        <f>IFERROR(L510/J510,0)</f>
        <v>0.67818181818181822</v>
      </c>
      <c r="P510" s="14">
        <f>IFERROR(L510/G510,0)</f>
        <v>0.24866666666666623</v>
      </c>
    </row>
    <row r="511" spans="1:19" x14ac:dyDescent="0.3">
      <c r="A511" s="9" t="s">
        <v>1386</v>
      </c>
      <c r="B511" s="9" t="s">
        <v>538</v>
      </c>
      <c r="C511" s="9" t="s">
        <v>196</v>
      </c>
      <c r="D511" s="52">
        <v>46125</v>
      </c>
      <c r="E511" s="48">
        <v>0.65</v>
      </c>
      <c r="F511" s="48">
        <v>0.65625</v>
      </c>
      <c r="G511" s="43">
        <f>(F511-E511)*1440</f>
        <v>8.999999999999968</v>
      </c>
      <c r="H511" s="9" t="s">
        <v>1687</v>
      </c>
      <c r="I511" s="9" t="s">
        <v>1688</v>
      </c>
      <c r="J511" s="44">
        <v>5.43</v>
      </c>
      <c r="K511" s="60">
        <v>4.99</v>
      </c>
      <c r="L511" s="56">
        <v>3.76</v>
      </c>
      <c r="M511" s="14">
        <f>K511-L511</f>
        <v>1.2300000000000004</v>
      </c>
      <c r="N511" s="15">
        <f>IFERROR(M511/K511,0)</f>
        <v>0.24649298597194397</v>
      </c>
      <c r="O511" s="14">
        <f>IFERROR(L511/J511,0)</f>
        <v>0.69244935543278086</v>
      </c>
      <c r="P511" s="14">
        <f>IFERROR(L511/G511,0)</f>
        <v>0.41777777777777925</v>
      </c>
    </row>
    <row r="512" spans="1:19" x14ac:dyDescent="0.3">
      <c r="A512" s="9" t="s">
        <v>1391</v>
      </c>
      <c r="B512" s="9" t="s">
        <v>18</v>
      </c>
      <c r="C512" s="9" t="s">
        <v>184</v>
      </c>
      <c r="D512" s="52">
        <v>46125</v>
      </c>
      <c r="E512" s="48">
        <v>0.79027777777777775</v>
      </c>
      <c r="F512" s="48">
        <v>0.79861111111111116</v>
      </c>
      <c r="G512" s="43">
        <f>(F512-E512)*1440</f>
        <v>12.000000000000117</v>
      </c>
      <c r="H512" s="9" t="s">
        <v>1692</v>
      </c>
      <c r="I512" s="9" t="s">
        <v>1693</v>
      </c>
      <c r="J512" s="44">
        <v>6.4</v>
      </c>
      <c r="K512" s="60">
        <v>5.93</v>
      </c>
      <c r="L512" s="56">
        <v>4.46</v>
      </c>
      <c r="M512" s="14">
        <f>K512-L512</f>
        <v>1.4699999999999998</v>
      </c>
      <c r="N512" s="15">
        <f>IFERROR(M512/K512,0)</f>
        <v>0.24789207419898818</v>
      </c>
      <c r="O512" s="14">
        <f>IFERROR(L512/J512,0)</f>
        <v>0.69687499999999991</v>
      </c>
      <c r="P512" s="14">
        <f>IFERROR(L512/G512,0)</f>
        <v>0.37166666666666304</v>
      </c>
    </row>
    <row r="513" spans="1:18" x14ac:dyDescent="0.3">
      <c r="A513" s="9" t="s">
        <v>1390</v>
      </c>
      <c r="B513" s="9" t="s">
        <v>18</v>
      </c>
      <c r="C513" s="9" t="s">
        <v>196</v>
      </c>
      <c r="D513" s="52">
        <v>46125</v>
      </c>
      <c r="E513" s="48">
        <v>0.77083333333333337</v>
      </c>
      <c r="F513" s="48">
        <v>0.78333333333333333</v>
      </c>
      <c r="G513" s="43">
        <f>(F513-E513)*1440</f>
        <v>17.999999999999936</v>
      </c>
      <c r="H513" s="9" t="s">
        <v>1691</v>
      </c>
      <c r="I513" s="9" t="s">
        <v>1361</v>
      </c>
      <c r="J513" s="44">
        <v>6.93</v>
      </c>
      <c r="K513" s="60">
        <v>6.98</v>
      </c>
      <c r="L513" s="56">
        <v>5.31</v>
      </c>
      <c r="M513" s="14">
        <f>K513-L513</f>
        <v>1.6700000000000008</v>
      </c>
      <c r="N513" s="15">
        <f>IFERROR(M513/K513,0)</f>
        <v>0.23925501432664767</v>
      </c>
      <c r="O513" s="14">
        <f>IFERROR(L513/J513,0)</f>
        <v>0.76623376623376616</v>
      </c>
      <c r="P513" s="14">
        <f>IFERROR(L513/G513,0)</f>
        <v>0.29500000000000104</v>
      </c>
    </row>
    <row r="514" spans="1:18" x14ac:dyDescent="0.3">
      <c r="A514" s="9" t="s">
        <v>1384</v>
      </c>
      <c r="B514" s="9" t="s">
        <v>18</v>
      </c>
      <c r="C514" s="9" t="s">
        <v>196</v>
      </c>
      <c r="D514" s="52">
        <v>46125</v>
      </c>
      <c r="E514" s="48">
        <v>0.61111111111111105</v>
      </c>
      <c r="F514" s="48">
        <v>0.61805555555555558</v>
      </c>
      <c r="G514" s="43">
        <f>(F514-E514)*1440</f>
        <v>10.000000000000124</v>
      </c>
      <c r="H514" s="9" t="s">
        <v>589</v>
      </c>
      <c r="I514" s="9" t="s">
        <v>1685</v>
      </c>
      <c r="J514" s="44">
        <v>4.58</v>
      </c>
      <c r="K514" s="60">
        <v>4.97</v>
      </c>
      <c r="L514" s="56">
        <v>3.67</v>
      </c>
      <c r="M514" s="14">
        <f>K514-L514</f>
        <v>1.2999999999999998</v>
      </c>
      <c r="N514" s="15">
        <f>IFERROR(M514/K514,0)</f>
        <v>0.26156941649899396</v>
      </c>
      <c r="O514" s="14">
        <f>IFERROR(L514/J514,0)</f>
        <v>0.8013100436681222</v>
      </c>
      <c r="P514" s="14">
        <f>IFERROR(L514/G514,0)</f>
        <v>0.36699999999999544</v>
      </c>
    </row>
    <row r="515" spans="1:18" x14ac:dyDescent="0.3">
      <c r="A515" s="9" t="s">
        <v>1388</v>
      </c>
      <c r="B515" s="9" t="s">
        <v>18</v>
      </c>
      <c r="C515" s="9" t="s">
        <v>196</v>
      </c>
      <c r="D515" s="52">
        <v>46125</v>
      </c>
      <c r="E515" s="48">
        <v>0.68888888888888899</v>
      </c>
      <c r="F515" s="48">
        <v>0.70486111111111116</v>
      </c>
      <c r="G515" s="43">
        <f>(F515-E515)*1440</f>
        <v>22.999999999999918</v>
      </c>
      <c r="H515" s="9" t="s">
        <v>261</v>
      </c>
      <c r="I515" s="9" t="s">
        <v>1690</v>
      </c>
      <c r="J515" s="44">
        <v>9.07</v>
      </c>
      <c r="K515" s="60">
        <v>9.98</v>
      </c>
      <c r="L515" s="56">
        <v>7.31</v>
      </c>
      <c r="M515" s="14">
        <f>K515-L515</f>
        <v>2.6700000000000008</v>
      </c>
      <c r="N515" s="15">
        <f>IFERROR(M515/K515,0)</f>
        <v>0.26753507014028061</v>
      </c>
      <c r="O515" s="14">
        <f>IFERROR(L515/J515,0)</f>
        <v>0.80595369349503854</v>
      </c>
      <c r="P515" s="14">
        <f>IFERROR(L515/G515,0)</f>
        <v>0.31782608695652287</v>
      </c>
    </row>
    <row r="516" spans="1:18" x14ac:dyDescent="0.3">
      <c r="A516" s="9" t="s">
        <v>1393</v>
      </c>
      <c r="B516" s="9" t="s">
        <v>18</v>
      </c>
      <c r="C516" s="9" t="s">
        <v>196</v>
      </c>
      <c r="D516" s="52">
        <v>46125</v>
      </c>
      <c r="E516" s="48">
        <v>0.85555555555555562</v>
      </c>
      <c r="F516" s="48">
        <v>0.8618055555555556</v>
      </c>
      <c r="G516" s="43">
        <f>(F516-E516)*1440</f>
        <v>8.999999999999968</v>
      </c>
      <c r="H516" s="9" t="s">
        <v>1695</v>
      </c>
      <c r="I516" s="9" t="s">
        <v>1696</v>
      </c>
      <c r="J516" s="44">
        <v>5.04</v>
      </c>
      <c r="K516" s="60">
        <v>4.97</v>
      </c>
      <c r="L516" s="56">
        <v>4.16</v>
      </c>
      <c r="M516" s="14">
        <f>K516-L516</f>
        <v>0.80999999999999961</v>
      </c>
      <c r="N516" s="15">
        <f>IFERROR(M516/K516,0)</f>
        <v>0.16297786720321925</v>
      </c>
      <c r="O516" s="14">
        <f>IFERROR(L516/J516,0)</f>
        <v>0.82539682539682546</v>
      </c>
      <c r="P516" s="14">
        <f>IFERROR(L516/G516,0)</f>
        <v>0.46222222222222387</v>
      </c>
    </row>
    <row r="517" spans="1:18" x14ac:dyDescent="0.3">
      <c r="A517" s="9" t="s">
        <v>1397</v>
      </c>
      <c r="B517" s="9" t="s">
        <v>26</v>
      </c>
      <c r="C517" s="9" t="s">
        <v>26</v>
      </c>
      <c r="D517" s="52">
        <v>46125</v>
      </c>
      <c r="E517" s="48">
        <v>0.84652777777777777</v>
      </c>
      <c r="F517" s="48">
        <v>0.85277777777777775</v>
      </c>
      <c r="G517" s="43">
        <f>(F517-E517)*1440</f>
        <v>8.999999999999968</v>
      </c>
      <c r="H517" s="9" t="s">
        <v>1700</v>
      </c>
      <c r="I517" s="9" t="s">
        <v>618</v>
      </c>
      <c r="J517" s="44">
        <v>3.8</v>
      </c>
      <c r="K517" s="60">
        <v>3.87</v>
      </c>
      <c r="L517" s="56">
        <v>3.63</v>
      </c>
      <c r="M517" s="14">
        <f>K517-L517</f>
        <v>0.24000000000000021</v>
      </c>
      <c r="N517" s="15">
        <f>IFERROR(M517/K517,0)</f>
        <v>6.2015503875969047E-2</v>
      </c>
      <c r="O517" s="14">
        <f>IFERROR(L517/J517,0)</f>
        <v>0.95526315789473681</v>
      </c>
      <c r="P517" s="14">
        <f>IFERROR(L517/G517,0)</f>
        <v>0.40333333333333476</v>
      </c>
      <c r="R517" s="57">
        <v>0.44</v>
      </c>
    </row>
    <row r="518" spans="1:18" x14ac:dyDescent="0.3">
      <c r="A518" s="9" t="s">
        <v>1389</v>
      </c>
      <c r="B518" s="9" t="s">
        <v>18</v>
      </c>
      <c r="C518" s="9" t="s">
        <v>184</v>
      </c>
      <c r="D518" s="52">
        <v>46125</v>
      </c>
      <c r="E518" s="48">
        <v>0.72152777777777777</v>
      </c>
      <c r="F518" s="48">
        <v>0.73263888888888884</v>
      </c>
      <c r="G518" s="43">
        <f>(F518-E518)*1440</f>
        <v>15.999999999999943</v>
      </c>
      <c r="H518" s="9" t="s">
        <v>743</v>
      </c>
      <c r="I518" s="9" t="s">
        <v>638</v>
      </c>
      <c r="J518" s="44">
        <v>5.29</v>
      </c>
      <c r="K518" s="60">
        <v>6.95</v>
      </c>
      <c r="L518" s="56">
        <v>5.09</v>
      </c>
      <c r="M518" s="14">
        <f>K518-L518</f>
        <v>1.8600000000000003</v>
      </c>
      <c r="N518" s="15">
        <f>IFERROR(M518/K518,0)</f>
        <v>0.26762589928057556</v>
      </c>
      <c r="O518" s="14">
        <f>IFERROR(L518/J518,0)</f>
        <v>0.96219281663516065</v>
      </c>
      <c r="P518" s="14">
        <f>IFERROR(L518/G518,0)</f>
        <v>0.3181250000000011</v>
      </c>
    </row>
    <row r="519" spans="1:18" x14ac:dyDescent="0.3">
      <c r="A519" s="9" t="s">
        <v>1416</v>
      </c>
      <c r="B519" s="9" t="s">
        <v>18</v>
      </c>
      <c r="C519" s="9" t="s">
        <v>184</v>
      </c>
      <c r="D519" s="52">
        <v>46126</v>
      </c>
      <c r="E519" s="48">
        <v>0.87361111111111101</v>
      </c>
      <c r="F519" s="48">
        <v>0.88888888888888884</v>
      </c>
      <c r="G519" s="43">
        <f>(F519-E519)*1440</f>
        <v>22.000000000000082</v>
      </c>
      <c r="H519" s="9" t="s">
        <v>566</v>
      </c>
      <c r="I519" s="9" t="s">
        <v>1726</v>
      </c>
      <c r="J519" s="44">
        <v>19.32</v>
      </c>
      <c r="K519" s="60">
        <v>11.93</v>
      </c>
      <c r="L519" s="56">
        <v>7.77</v>
      </c>
      <c r="M519" s="14">
        <f>K519-L519</f>
        <v>4.16</v>
      </c>
      <c r="N519" s="15">
        <f>IFERROR(M519/K519,0)</f>
        <v>0.34870075440067061</v>
      </c>
      <c r="O519" s="14">
        <f>IFERROR(L519/J519,0)</f>
        <v>0.40217391304347822</v>
      </c>
      <c r="P519" s="14">
        <f>IFERROR(L519/G519,0)</f>
        <v>0.35318181818181688</v>
      </c>
    </row>
    <row r="520" spans="1:18" x14ac:dyDescent="0.3">
      <c r="A520" s="9" t="s">
        <v>1405</v>
      </c>
      <c r="B520" s="9" t="s">
        <v>18</v>
      </c>
      <c r="C520" s="9" t="s">
        <v>184</v>
      </c>
      <c r="D520" s="52">
        <v>46126</v>
      </c>
      <c r="E520" s="48">
        <v>0.54166666666666663</v>
      </c>
      <c r="F520" s="48">
        <v>0.55486111111111114</v>
      </c>
      <c r="G520" s="43">
        <f>(F520-E520)*1440</f>
        <v>19.000000000000092</v>
      </c>
      <c r="H520" s="9" t="s">
        <v>1711</v>
      </c>
      <c r="I520" s="9" t="s">
        <v>1712</v>
      </c>
      <c r="J520" s="44">
        <v>21.84</v>
      </c>
      <c r="K520" s="60">
        <v>13.96</v>
      </c>
      <c r="L520" s="56">
        <v>9.07</v>
      </c>
      <c r="M520" s="14">
        <f>K520-L520</f>
        <v>4.8900000000000006</v>
      </c>
      <c r="N520" s="15">
        <f>IFERROR(M520/K520,0)</f>
        <v>0.35028653295128942</v>
      </c>
      <c r="O520" s="14">
        <f>IFERROR(L520/J520,0)</f>
        <v>0.41529304029304032</v>
      </c>
      <c r="P520" s="14">
        <f>IFERROR(L520/G520,0)</f>
        <v>0.47736842105262928</v>
      </c>
    </row>
    <row r="521" spans="1:18" x14ac:dyDescent="0.3">
      <c r="A521" s="9" t="s">
        <v>1407</v>
      </c>
      <c r="B521" s="9" t="s">
        <v>18</v>
      </c>
      <c r="C521" s="9" t="s">
        <v>184</v>
      </c>
      <c r="D521" s="52">
        <v>46126</v>
      </c>
      <c r="E521" s="48">
        <v>0.61805555555555558</v>
      </c>
      <c r="F521" s="48">
        <v>0.62569444444444444</v>
      </c>
      <c r="G521" s="43">
        <f>(F521-E521)*1440</f>
        <v>10.999999999999961</v>
      </c>
      <c r="H521" s="9" t="s">
        <v>1169</v>
      </c>
      <c r="I521" s="9" t="s">
        <v>1715</v>
      </c>
      <c r="J521" s="44">
        <v>5.33</v>
      </c>
      <c r="K521" s="60">
        <v>3.95</v>
      </c>
      <c r="L521" s="56">
        <v>3.07</v>
      </c>
      <c r="M521" s="14">
        <f>K521-L521</f>
        <v>0.88000000000000034</v>
      </c>
      <c r="N521" s="15">
        <f>IFERROR(M521/K521,0)</f>
        <v>0.22278481012658236</v>
      </c>
      <c r="O521" s="14">
        <f>IFERROR(L521/J521,0)</f>
        <v>0.57598499061913688</v>
      </c>
      <c r="P521" s="14">
        <f>IFERROR(L521/G521,0)</f>
        <v>0.27909090909091006</v>
      </c>
    </row>
    <row r="522" spans="1:18" x14ac:dyDescent="0.3">
      <c r="A522" s="9" t="s">
        <v>1399</v>
      </c>
      <c r="B522" s="9" t="s">
        <v>26</v>
      </c>
      <c r="C522" s="9" t="s">
        <v>27</v>
      </c>
      <c r="D522" s="52">
        <v>46126</v>
      </c>
      <c r="E522" s="48">
        <v>0.56874999999999998</v>
      </c>
      <c r="F522" s="48">
        <v>0.57708333333333328</v>
      </c>
      <c r="G522" s="43">
        <f>(F522-E522)*1440</f>
        <v>11.999999999999957</v>
      </c>
      <c r="H522" s="9" t="s">
        <v>1703</v>
      </c>
      <c r="I522" s="9" t="s">
        <v>1704</v>
      </c>
      <c r="J522" s="44">
        <v>5.7</v>
      </c>
      <c r="K522" s="60">
        <v>4.58</v>
      </c>
      <c r="L522" s="56">
        <v>3.43</v>
      </c>
      <c r="M522" s="14">
        <f>K522-L522</f>
        <v>1.1499999999999999</v>
      </c>
      <c r="N522" s="15">
        <f>IFERROR(M522/K522,0)</f>
        <v>0.25109170305676853</v>
      </c>
      <c r="O522" s="14">
        <f>IFERROR(L522/J522,0)</f>
        <v>0.60175438596491226</v>
      </c>
      <c r="P522" s="14">
        <f>IFERROR(L522/G522,0)</f>
        <v>0.28583333333333438</v>
      </c>
    </row>
    <row r="523" spans="1:18" x14ac:dyDescent="0.3">
      <c r="A523" s="9" t="s">
        <v>1403</v>
      </c>
      <c r="B523" s="9" t="s">
        <v>26</v>
      </c>
      <c r="C523" s="9" t="s">
        <v>26</v>
      </c>
      <c r="D523" s="52">
        <v>46126</v>
      </c>
      <c r="E523" s="48">
        <v>0.69305555555555554</v>
      </c>
      <c r="F523" s="48">
        <v>0.7055555555555556</v>
      </c>
      <c r="G523" s="43">
        <f>(F523-E523)*1440</f>
        <v>18.000000000000096</v>
      </c>
      <c r="H523" s="9" t="s">
        <v>1708</v>
      </c>
      <c r="I523" s="9" t="s">
        <v>1709</v>
      </c>
      <c r="J523" s="44">
        <v>8</v>
      </c>
      <c r="K523" s="60">
        <v>5.69</v>
      </c>
      <c r="L523" s="56">
        <v>5.33</v>
      </c>
      <c r="M523" s="14">
        <f>K523-L523</f>
        <v>0.36000000000000032</v>
      </c>
      <c r="N523" s="15">
        <f>IFERROR(M523/K523,0)</f>
        <v>6.3268892794376155E-2</v>
      </c>
      <c r="O523" s="14">
        <f>IFERROR(L523/J523,0)</f>
        <v>0.66625000000000001</v>
      </c>
      <c r="P523" s="14">
        <f>IFERROR(L523/G523,0)</f>
        <v>0.29611111111110955</v>
      </c>
    </row>
    <row r="524" spans="1:18" x14ac:dyDescent="0.3">
      <c r="A524" s="9" t="s">
        <v>1400</v>
      </c>
      <c r="B524" s="9" t="s">
        <v>26</v>
      </c>
      <c r="C524" s="9" t="s">
        <v>26</v>
      </c>
      <c r="D524" s="52">
        <v>46126</v>
      </c>
      <c r="E524" s="48">
        <v>0.59236111111111112</v>
      </c>
      <c r="F524" s="48">
        <v>0.60347222222222219</v>
      </c>
      <c r="G524" s="43">
        <f>(F524-E524)*1440</f>
        <v>15.999999999999943</v>
      </c>
      <c r="H524" s="9" t="s">
        <v>904</v>
      </c>
      <c r="I524" s="9" t="s">
        <v>1705</v>
      </c>
      <c r="J524" s="44">
        <v>6.6</v>
      </c>
      <c r="K524" s="60">
        <v>5.88</v>
      </c>
      <c r="L524" s="56">
        <v>4.41</v>
      </c>
      <c r="M524" s="14">
        <f>K524-L524</f>
        <v>1.4699999999999998</v>
      </c>
      <c r="N524" s="15">
        <f>IFERROR(M524/K524,0)</f>
        <v>0.24999999999999997</v>
      </c>
      <c r="O524" s="14">
        <f>IFERROR(L524/J524,0)</f>
        <v>0.66818181818181821</v>
      </c>
      <c r="P524" s="14">
        <f>IFERROR(L524/G524,0)</f>
        <v>0.27562500000000101</v>
      </c>
    </row>
    <row r="525" spans="1:18" x14ac:dyDescent="0.3">
      <c r="A525" s="9" t="s">
        <v>1412</v>
      </c>
      <c r="B525" s="9" t="s">
        <v>538</v>
      </c>
      <c r="C525" s="9" t="s">
        <v>184</v>
      </c>
      <c r="D525" s="52">
        <v>46126</v>
      </c>
      <c r="E525" s="48">
        <v>0.72013888888888899</v>
      </c>
      <c r="F525" s="48">
        <v>0.73125000000000007</v>
      </c>
      <c r="G525" s="43">
        <f>(F525-E525)*1440</f>
        <v>15.999999999999943</v>
      </c>
      <c r="H525" s="9" t="s">
        <v>1720</v>
      </c>
      <c r="I525" s="9" t="s">
        <v>1721</v>
      </c>
      <c r="J525" s="44">
        <v>9.43</v>
      </c>
      <c r="K525" s="60">
        <v>9.64</v>
      </c>
      <c r="L525" s="56">
        <v>6.45</v>
      </c>
      <c r="M525" s="14">
        <f>K525-L525</f>
        <v>3.1900000000000004</v>
      </c>
      <c r="N525" s="15">
        <f>IFERROR(M525/K525,0)</f>
        <v>0.33091286307053946</v>
      </c>
      <c r="O525" s="14">
        <f>IFERROR(L525/J525,0)</f>
        <v>0.68398727465535525</v>
      </c>
      <c r="P525" s="14">
        <f>IFERROR(L525/G525,0)</f>
        <v>0.40312500000000145</v>
      </c>
    </row>
    <row r="526" spans="1:18" x14ac:dyDescent="0.3">
      <c r="A526" s="9" t="s">
        <v>1408</v>
      </c>
      <c r="B526" s="9" t="s">
        <v>18</v>
      </c>
      <c r="C526" s="9" t="s">
        <v>184</v>
      </c>
      <c r="D526" s="52">
        <v>46126</v>
      </c>
      <c r="E526" s="48">
        <v>0.63750000000000007</v>
      </c>
      <c r="F526" s="48">
        <v>0.64236111111111105</v>
      </c>
      <c r="G526" s="43">
        <f>(F526-E526)*1440</f>
        <v>6.9999999999998153</v>
      </c>
      <c r="H526" s="9" t="s">
        <v>1715</v>
      </c>
      <c r="I526" s="9" t="s">
        <v>589</v>
      </c>
      <c r="J526" s="44">
        <v>3.9</v>
      </c>
      <c r="K526" s="60">
        <v>3.94</v>
      </c>
      <c r="L526" s="56">
        <v>3.02</v>
      </c>
      <c r="M526" s="14">
        <f>K526-L526</f>
        <v>0.91999999999999993</v>
      </c>
      <c r="N526" s="15">
        <f>IFERROR(M526/K526,0)</f>
        <v>0.23350253807106597</v>
      </c>
      <c r="O526" s="14">
        <f>IFERROR(L526/J526,0)</f>
        <v>0.77435897435897438</v>
      </c>
      <c r="P526" s="14">
        <f>IFERROR(L526/G526,0)</f>
        <v>0.43142857142858282</v>
      </c>
    </row>
    <row r="527" spans="1:18" x14ac:dyDescent="0.3">
      <c r="A527" s="9" t="s">
        <v>1415</v>
      </c>
      <c r="B527" s="9" t="s">
        <v>18</v>
      </c>
      <c r="C527" s="9" t="s">
        <v>184</v>
      </c>
      <c r="D527" s="52">
        <v>46126</v>
      </c>
      <c r="E527" s="48">
        <v>0.85833333333333339</v>
      </c>
      <c r="F527" s="48">
        <v>0.86875000000000002</v>
      </c>
      <c r="G527" s="43">
        <f>(F527-E527)*1440</f>
        <v>14.999999999999947</v>
      </c>
      <c r="H527" s="9" t="s">
        <v>1724</v>
      </c>
      <c r="I527" s="9" t="s">
        <v>1725</v>
      </c>
      <c r="J527" s="44">
        <v>4.72</v>
      </c>
      <c r="K527" s="60">
        <v>4.9400000000000004</v>
      </c>
      <c r="L527" s="56">
        <v>4.0199999999999996</v>
      </c>
      <c r="M527" s="14">
        <f>K527-L527</f>
        <v>0.92000000000000082</v>
      </c>
      <c r="N527" s="15">
        <f>IFERROR(M527/K527,0)</f>
        <v>0.18623481781376533</v>
      </c>
      <c r="O527" s="14">
        <f>IFERROR(L527/J527,0)</f>
        <v>0.85169491525423724</v>
      </c>
      <c r="P527" s="14">
        <f>IFERROR(L527/G527,0)</f>
        <v>0.2680000000000009</v>
      </c>
    </row>
    <row r="528" spans="1:18" x14ac:dyDescent="0.3">
      <c r="A528" s="9" t="s">
        <v>1404</v>
      </c>
      <c r="B528" s="9" t="s">
        <v>26</v>
      </c>
      <c r="C528" s="9" t="s">
        <v>27</v>
      </c>
      <c r="D528" s="52">
        <v>46126</v>
      </c>
      <c r="E528" s="48">
        <v>0.70833333333333337</v>
      </c>
      <c r="F528" s="48">
        <v>0.72013888888888899</v>
      </c>
      <c r="G528" s="43">
        <f>(F528-E528)*1440</f>
        <v>17.000000000000099</v>
      </c>
      <c r="H528" s="9" t="s">
        <v>1709</v>
      </c>
      <c r="I528" s="9" t="s">
        <v>1710</v>
      </c>
      <c r="J528" s="44">
        <v>4.8</v>
      </c>
      <c r="K528" s="60">
        <v>5.56</v>
      </c>
      <c r="L528" s="56">
        <v>4.17</v>
      </c>
      <c r="M528" s="14">
        <f>K528-L528</f>
        <v>1.3899999999999997</v>
      </c>
      <c r="N528" s="15">
        <f>IFERROR(M528/K528,0)</f>
        <v>0.24999999999999997</v>
      </c>
      <c r="O528" s="14">
        <f>IFERROR(L528/J528,0)</f>
        <v>0.86875000000000002</v>
      </c>
      <c r="P528" s="14">
        <f>IFERROR(L528/G528,0)</f>
        <v>0.24529411764705739</v>
      </c>
      <c r="R528" s="57">
        <v>0.51</v>
      </c>
    </row>
    <row r="529" spans="1:16" x14ac:dyDescent="0.3">
      <c r="A529" s="9" t="s">
        <v>1410</v>
      </c>
      <c r="B529" s="9" t="s">
        <v>538</v>
      </c>
      <c r="C529" s="9" t="s">
        <v>824</v>
      </c>
      <c r="D529" s="52">
        <v>46126</v>
      </c>
      <c r="E529" s="48">
        <v>0.66180555555555554</v>
      </c>
      <c r="F529" s="48">
        <v>0.67152777777777783</v>
      </c>
      <c r="G529" s="43">
        <f>(F529-E529)*1440</f>
        <v>14.00000000000011</v>
      </c>
      <c r="H529" s="9" t="s">
        <v>1718</v>
      </c>
      <c r="I529" s="9" t="s">
        <v>616</v>
      </c>
      <c r="J529" s="44">
        <v>5.5</v>
      </c>
      <c r="K529" s="60">
        <v>7.93</v>
      </c>
      <c r="L529" s="56">
        <v>5.15</v>
      </c>
      <c r="M529" s="14">
        <f>K529-L529</f>
        <v>2.7799999999999994</v>
      </c>
      <c r="N529" s="15">
        <f>IFERROR(M529/K529,0)</f>
        <v>0.35056746532156363</v>
      </c>
      <c r="O529" s="14">
        <f>IFERROR(L529/J529,0)</f>
        <v>0.9363636363636364</v>
      </c>
      <c r="P529" s="14">
        <f>IFERROR(L529/G529,0)</f>
        <v>0.36785714285714</v>
      </c>
    </row>
    <row r="530" spans="1:16" x14ac:dyDescent="0.3">
      <c r="A530" s="9" t="s">
        <v>1414</v>
      </c>
      <c r="B530" s="9" t="s">
        <v>18</v>
      </c>
      <c r="C530" s="9" t="s">
        <v>184</v>
      </c>
      <c r="D530" s="52">
        <v>46126</v>
      </c>
      <c r="E530" s="48">
        <v>0.80625000000000002</v>
      </c>
      <c r="F530" s="48">
        <v>0.8256944444444444</v>
      </c>
      <c r="G530" s="43">
        <f>(F530-E530)*1440</f>
        <v>27.999999999999901</v>
      </c>
      <c r="H530" s="9" t="s">
        <v>1120</v>
      </c>
      <c r="I530" s="9" t="s">
        <v>1723</v>
      </c>
      <c r="J530" s="44">
        <v>9.67</v>
      </c>
      <c r="K530" s="60">
        <v>10.95</v>
      </c>
      <c r="L530" s="56">
        <v>9.36</v>
      </c>
      <c r="M530" s="14">
        <f>K530-L530</f>
        <v>1.5899999999999999</v>
      </c>
      <c r="N530" s="15">
        <f>IFERROR(M530/K530,0)</f>
        <v>0.14520547945205478</v>
      </c>
      <c r="O530" s="14">
        <f>IFERROR(L530/J530,0)</f>
        <v>0.96794208893485001</v>
      </c>
      <c r="P530" s="14">
        <f>IFERROR(L530/G530,0)</f>
        <v>0.33428571428571546</v>
      </c>
    </row>
    <row r="531" spans="1:16" x14ac:dyDescent="0.3">
      <c r="A531" s="9" t="s">
        <v>1413</v>
      </c>
      <c r="B531" s="9" t="s">
        <v>18</v>
      </c>
      <c r="C531" s="9" t="s">
        <v>184</v>
      </c>
      <c r="D531" s="52">
        <v>46126</v>
      </c>
      <c r="E531" s="48">
        <v>0.78541666666666676</v>
      </c>
      <c r="F531" s="48">
        <v>0.79583333333333339</v>
      </c>
      <c r="G531" s="43">
        <f>(F531-E531)*1440</f>
        <v>14.999999999999947</v>
      </c>
      <c r="H531" s="9" t="s">
        <v>1722</v>
      </c>
      <c r="I531" s="9" t="s">
        <v>1120</v>
      </c>
      <c r="J531" s="44">
        <v>5.59</v>
      </c>
      <c r="K531" s="60">
        <v>6.95</v>
      </c>
      <c r="L531" s="56">
        <v>6.1</v>
      </c>
      <c r="M531" s="14">
        <f>K531-L531</f>
        <v>0.85000000000000053</v>
      </c>
      <c r="N531" s="15">
        <f>IFERROR(M531/K531,0)</f>
        <v>0.12230215827338137</v>
      </c>
      <c r="O531" s="14">
        <f>IFERROR(L531/J531,0)</f>
        <v>1.0912343470483006</v>
      </c>
      <c r="P531" s="14">
        <f>IFERROR(L531/G531,0)</f>
        <v>0.40666666666666806</v>
      </c>
    </row>
    <row r="532" spans="1:16" x14ac:dyDescent="0.3">
      <c r="A532" s="9" t="s">
        <v>1406</v>
      </c>
      <c r="B532" s="9" t="s">
        <v>18</v>
      </c>
      <c r="C532" s="9" t="s">
        <v>184</v>
      </c>
      <c r="D532" s="52">
        <v>46126</v>
      </c>
      <c r="E532" s="48">
        <v>0.60277777777777775</v>
      </c>
      <c r="F532" s="48">
        <v>0.6069444444444444</v>
      </c>
      <c r="G532" s="43">
        <f>(F532-E532)*1440</f>
        <v>5.9999999999999787</v>
      </c>
      <c r="H532" s="9" t="s">
        <v>1713</v>
      </c>
      <c r="I532" s="9" t="s">
        <v>1714</v>
      </c>
      <c r="J532" s="44">
        <v>2.4500000000000002</v>
      </c>
      <c r="K532" s="60">
        <v>3.93</v>
      </c>
      <c r="L532" s="56">
        <v>2.93</v>
      </c>
      <c r="M532" s="14">
        <f>K532-L532</f>
        <v>1</v>
      </c>
      <c r="N532" s="15">
        <f>IFERROR(M532/K532,0)</f>
        <v>0.2544529262086514</v>
      </c>
      <c r="O532" s="14">
        <f>IFERROR(L532/J532,0)</f>
        <v>1.1959183673469387</v>
      </c>
      <c r="P532" s="14">
        <f>IFERROR(L532/G532,0)</f>
        <v>0.48833333333333512</v>
      </c>
    </row>
    <row r="533" spans="1:16" x14ac:dyDescent="0.3">
      <c r="A533" s="9" t="s">
        <v>1411</v>
      </c>
      <c r="B533" s="9" t="s">
        <v>18</v>
      </c>
      <c r="C533" s="9" t="s">
        <v>184</v>
      </c>
      <c r="D533" s="52">
        <v>46126</v>
      </c>
      <c r="E533" s="48">
        <v>0.67638888888888893</v>
      </c>
      <c r="F533" s="48">
        <v>0.68055555555555547</v>
      </c>
      <c r="G533" s="43">
        <f>(F533-E533)*1440</f>
        <v>5.9999999999998188</v>
      </c>
      <c r="H533" s="9" t="s">
        <v>1719</v>
      </c>
      <c r="I533" s="9" t="s">
        <v>1179</v>
      </c>
      <c r="J533" s="44">
        <v>2.77</v>
      </c>
      <c r="K533" s="60">
        <v>4.9800000000000004</v>
      </c>
      <c r="L533" s="56">
        <v>3.57</v>
      </c>
      <c r="M533" s="14">
        <f>K533-L533</f>
        <v>1.4100000000000006</v>
      </c>
      <c r="N533" s="15">
        <f>IFERROR(M533/K533,0)</f>
        <v>0.28313253012048201</v>
      </c>
      <c r="O533" s="14">
        <f>IFERROR(L533/J533,0)</f>
        <v>1.2888086642599277</v>
      </c>
      <c r="P533" s="14">
        <f>IFERROR(L533/G533,0)</f>
        <v>0.59500000000001796</v>
      </c>
    </row>
    <row r="534" spans="1:16" x14ac:dyDescent="0.3">
      <c r="A534" s="9" t="s">
        <v>1409</v>
      </c>
      <c r="B534" s="9" t="s">
        <v>18</v>
      </c>
      <c r="C534" s="9" t="s">
        <v>196</v>
      </c>
      <c r="D534" s="52">
        <v>46126</v>
      </c>
      <c r="E534" s="48">
        <v>0.64583333333333337</v>
      </c>
      <c r="F534" s="48">
        <v>0.65</v>
      </c>
      <c r="G534" s="43">
        <f>(F534-E534)*1440</f>
        <v>5.9999999999999787</v>
      </c>
      <c r="H534" s="9" t="s">
        <v>1716</v>
      </c>
      <c r="I534" s="9" t="s">
        <v>1717</v>
      </c>
      <c r="J534" s="44">
        <v>2.4900000000000002</v>
      </c>
      <c r="K534" s="60">
        <v>4.99</v>
      </c>
      <c r="L534" s="56">
        <v>3.67</v>
      </c>
      <c r="M534" s="14">
        <f>K534-L534</f>
        <v>1.3200000000000003</v>
      </c>
      <c r="N534" s="15">
        <f>IFERROR(M534/K534,0)</f>
        <v>0.26452905811623251</v>
      </c>
      <c r="O534" s="14">
        <f>IFERROR(L534/J534,0)</f>
        <v>1.4738955823293172</v>
      </c>
      <c r="P534" s="14">
        <f>IFERROR(L534/G534,0)</f>
        <v>0.6116666666666688</v>
      </c>
    </row>
    <row r="535" spans="1:16" x14ac:dyDescent="0.3">
      <c r="A535" s="9" t="s">
        <v>1401</v>
      </c>
      <c r="B535" s="9" t="s">
        <v>26</v>
      </c>
      <c r="C535" s="9" t="s">
        <v>27</v>
      </c>
      <c r="D535" s="52">
        <v>46126</v>
      </c>
      <c r="E535" s="48">
        <v>0.61597222222222225</v>
      </c>
      <c r="F535" s="48">
        <v>0.61805555555555558</v>
      </c>
      <c r="G535" s="43">
        <f>(F535-E535)*1440</f>
        <v>2.9999999999999893</v>
      </c>
      <c r="H535" s="9" t="s">
        <v>1706</v>
      </c>
      <c r="I535" s="9" t="s">
        <v>738</v>
      </c>
      <c r="J535" s="44">
        <v>1.2</v>
      </c>
      <c r="K535" s="60">
        <v>3.85</v>
      </c>
      <c r="L535" s="56">
        <v>2.89</v>
      </c>
      <c r="M535" s="14">
        <f>K535-L535</f>
        <v>0.96</v>
      </c>
      <c r="N535" s="15">
        <f>IFERROR(M535/K535,0)</f>
        <v>0.24935064935064932</v>
      </c>
      <c r="O535" s="14">
        <f>IFERROR(L535/J535,0)</f>
        <v>2.4083333333333337</v>
      </c>
      <c r="P535" s="14">
        <f>IFERROR(L535/G535,0)</f>
        <v>0.96333333333333682</v>
      </c>
    </row>
    <row r="536" spans="1:16" x14ac:dyDescent="0.3">
      <c r="A536" s="9" t="s">
        <v>1402</v>
      </c>
      <c r="B536" s="9" t="s">
        <v>26</v>
      </c>
      <c r="C536" s="9" t="s">
        <v>27</v>
      </c>
      <c r="D536" s="52">
        <v>46126</v>
      </c>
      <c r="E536" s="48">
        <v>0.65416666666666667</v>
      </c>
      <c r="F536" s="48">
        <v>0.65555555555555556</v>
      </c>
      <c r="G536" s="43">
        <f>(F536-E536)*1440</f>
        <v>1.9999999999999929</v>
      </c>
      <c r="H536" s="9" t="s">
        <v>843</v>
      </c>
      <c r="I536" s="9" t="s">
        <v>1707</v>
      </c>
      <c r="J536" s="44">
        <v>1.1000000000000001</v>
      </c>
      <c r="K536" s="60">
        <v>3.85</v>
      </c>
      <c r="L536" s="56">
        <v>2.89</v>
      </c>
      <c r="M536" s="14">
        <f>K536-L536</f>
        <v>0.96</v>
      </c>
      <c r="N536" s="15">
        <f>IFERROR(M536/K536,0)</f>
        <v>0.24935064935064932</v>
      </c>
      <c r="O536" s="14">
        <f>IFERROR(L536/J536,0)</f>
        <v>2.627272727272727</v>
      </c>
      <c r="P536" s="14">
        <f>IFERROR(L536/G536,0)</f>
        <v>1.4450000000000052</v>
      </c>
    </row>
    <row r="537" spans="1:16" x14ac:dyDescent="0.3">
      <c r="A537" s="9" t="s">
        <v>1417</v>
      </c>
      <c r="B537" s="9" t="s">
        <v>538</v>
      </c>
      <c r="C537" s="9" t="s">
        <v>184</v>
      </c>
      <c r="D537" s="52">
        <v>46127</v>
      </c>
      <c r="E537" s="48">
        <v>0.54305555555555551</v>
      </c>
      <c r="F537" s="48">
        <v>0.55972222222222223</v>
      </c>
      <c r="G537" s="43">
        <f>(F537-E537)*1440</f>
        <v>24.000000000000075</v>
      </c>
      <c r="H537" s="9" t="s">
        <v>1727</v>
      </c>
      <c r="I537" s="9" t="s">
        <v>1728</v>
      </c>
      <c r="J537" s="44">
        <v>25.15</v>
      </c>
      <c r="K537" s="60">
        <v>16.96</v>
      </c>
      <c r="L537" s="56">
        <v>11.02</v>
      </c>
      <c r="M537" s="14">
        <f>K537-L537</f>
        <v>5.9400000000000013</v>
      </c>
      <c r="N537" s="15">
        <f>IFERROR(M537/K537,0)</f>
        <v>0.35023584905660382</v>
      </c>
      <c r="O537" s="14">
        <f>IFERROR(L537/J537,0)</f>
        <v>0.43817097415506961</v>
      </c>
      <c r="P537" s="14">
        <f>IFERROR(L537/G537,0)</f>
        <v>0.45916666666666522</v>
      </c>
    </row>
    <row r="538" spans="1:16" x14ac:dyDescent="0.3">
      <c r="A538" s="9" t="s">
        <v>1429</v>
      </c>
      <c r="B538" s="9" t="s">
        <v>26</v>
      </c>
      <c r="C538" s="9" t="s">
        <v>27</v>
      </c>
      <c r="D538" s="52">
        <v>46127</v>
      </c>
      <c r="E538" s="48">
        <v>0.56736111111111109</v>
      </c>
      <c r="F538" s="48">
        <v>0.58194444444444449</v>
      </c>
      <c r="G538" s="43">
        <f>(F538-E538)*1440</f>
        <v>21.000000000000085</v>
      </c>
      <c r="H538" s="9" t="s">
        <v>235</v>
      </c>
      <c r="I538" s="9" t="s">
        <v>1742</v>
      </c>
      <c r="J538" s="44">
        <v>15.8</v>
      </c>
      <c r="K538" s="60">
        <v>8.61</v>
      </c>
      <c r="L538" s="56">
        <v>7.11</v>
      </c>
      <c r="M538" s="14">
        <f>K538-L538</f>
        <v>1.4999999999999991</v>
      </c>
      <c r="N538" s="15">
        <f>IFERROR(M538/K538,0)</f>
        <v>0.17421602787456436</v>
      </c>
      <c r="O538" s="14">
        <f>IFERROR(L538/J538,0)</f>
        <v>0.45</v>
      </c>
      <c r="P538" s="14">
        <f>IFERROR(L538/G538,0)</f>
        <v>0.33857142857142719</v>
      </c>
    </row>
    <row r="539" spans="1:16" x14ac:dyDescent="0.3">
      <c r="A539" s="9" t="s">
        <v>1430</v>
      </c>
      <c r="B539" s="9" t="s">
        <v>26</v>
      </c>
      <c r="C539" s="9" t="s">
        <v>26</v>
      </c>
      <c r="D539" s="52">
        <v>46127</v>
      </c>
      <c r="E539" s="48">
        <v>0.58402777777777781</v>
      </c>
      <c r="F539" s="48">
        <v>0.60625000000000007</v>
      </c>
      <c r="G539" s="43">
        <f>(F539-E539)*1440</f>
        <v>32.000000000000043</v>
      </c>
      <c r="H539" s="9" t="s">
        <v>1743</v>
      </c>
      <c r="I539" s="9" t="s">
        <v>1744</v>
      </c>
      <c r="J539" s="44">
        <v>20.399999999999999</v>
      </c>
      <c r="K539" s="60">
        <v>11.61</v>
      </c>
      <c r="L539" s="56">
        <v>9.67</v>
      </c>
      <c r="M539" s="14">
        <f>K539-L539</f>
        <v>1.9399999999999995</v>
      </c>
      <c r="N539" s="15">
        <f>IFERROR(M539/K539,0)</f>
        <v>0.16709732988802753</v>
      </c>
      <c r="O539" s="14">
        <f>IFERROR(L539/J539,0)</f>
        <v>0.47401960784313729</v>
      </c>
      <c r="P539" s="14">
        <f>IFERROR(L539/G539,0)</f>
        <v>0.30218749999999961</v>
      </c>
    </row>
    <row r="540" spans="1:16" x14ac:dyDescent="0.3">
      <c r="A540" s="9" t="s">
        <v>1425</v>
      </c>
      <c r="B540" s="9" t="s">
        <v>18</v>
      </c>
      <c r="C540" s="9" t="s">
        <v>184</v>
      </c>
      <c r="D540" s="52">
        <v>46127</v>
      </c>
      <c r="E540" s="48">
        <v>0.83680555555555547</v>
      </c>
      <c r="F540" s="48">
        <v>0.84722222222222221</v>
      </c>
      <c r="G540" s="43">
        <f>(F540-E540)*1440</f>
        <v>15.000000000000107</v>
      </c>
      <c r="H540" s="9" t="s">
        <v>1737</v>
      </c>
      <c r="I540" s="9" t="s">
        <v>1738</v>
      </c>
      <c r="J540" s="44">
        <v>9.8000000000000007</v>
      </c>
      <c r="K540" s="60">
        <v>6.96</v>
      </c>
      <c r="L540" s="56">
        <v>5.33</v>
      </c>
      <c r="M540" s="14">
        <f>K540-L540</f>
        <v>1.63</v>
      </c>
      <c r="N540" s="15">
        <f>IFERROR(M540/K540,0)</f>
        <v>0.23419540229885055</v>
      </c>
      <c r="O540" s="14">
        <f>IFERROR(L540/J540,0)</f>
        <v>0.54387755102040813</v>
      </c>
      <c r="P540" s="14">
        <f>IFERROR(L540/G540,0)</f>
        <v>0.35533333333333084</v>
      </c>
    </row>
    <row r="541" spans="1:16" x14ac:dyDescent="0.3">
      <c r="A541" s="9" t="s">
        <v>1428</v>
      </c>
      <c r="B541" s="9" t="s">
        <v>538</v>
      </c>
      <c r="C541" s="9" t="s">
        <v>184</v>
      </c>
      <c r="D541" s="52">
        <v>46127</v>
      </c>
      <c r="E541" s="48">
        <v>0.88958333333333339</v>
      </c>
      <c r="F541" s="48">
        <v>0.89930555555555547</v>
      </c>
      <c r="G541" s="43">
        <f>(F541-E541)*1440</f>
        <v>13.99999999999979</v>
      </c>
      <c r="H541" s="9" t="s">
        <v>584</v>
      </c>
      <c r="I541" s="9" t="s">
        <v>1741</v>
      </c>
      <c r="J541" s="44">
        <v>11.74</v>
      </c>
      <c r="K541" s="60">
        <v>7.94</v>
      </c>
      <c r="L541" s="56">
        <v>6.47</v>
      </c>
      <c r="M541" s="14">
        <f>K541-L541</f>
        <v>1.4700000000000006</v>
      </c>
      <c r="N541" s="15">
        <f>IFERROR(M541/K541,0)</f>
        <v>0.18513853904282124</v>
      </c>
      <c r="O541" s="14">
        <f>IFERROR(L541/J541,0)</f>
        <v>0.55110732538330487</v>
      </c>
      <c r="P541" s="14">
        <f>IFERROR(L541/G541,0)</f>
        <v>0.46214285714286407</v>
      </c>
    </row>
    <row r="542" spans="1:16" x14ac:dyDescent="0.3">
      <c r="A542" s="9" t="s">
        <v>1424</v>
      </c>
      <c r="B542" s="9" t="s">
        <v>18</v>
      </c>
      <c r="C542" s="9" t="s">
        <v>184</v>
      </c>
      <c r="D542" s="52">
        <v>46127</v>
      </c>
      <c r="E542" s="48">
        <v>0.82013888888888886</v>
      </c>
      <c r="F542" s="48">
        <v>0.82847222222222217</v>
      </c>
      <c r="G542" s="43">
        <f>(F542-E542)*1440</f>
        <v>11.999999999999957</v>
      </c>
      <c r="H542" s="9" t="s">
        <v>235</v>
      </c>
      <c r="I542" s="9" t="s">
        <v>745</v>
      </c>
      <c r="J542" s="44">
        <v>10.4</v>
      </c>
      <c r="K542" s="60">
        <v>7.95</v>
      </c>
      <c r="L542" s="56">
        <v>5.78</v>
      </c>
      <c r="M542" s="14">
        <f>K542-L542</f>
        <v>2.17</v>
      </c>
      <c r="N542" s="15">
        <f>IFERROR(M542/K542,0)</f>
        <v>0.27295597484276729</v>
      </c>
      <c r="O542" s="14">
        <f>IFERROR(L542/J542,0)</f>
        <v>0.55576923076923079</v>
      </c>
      <c r="P542" s="14">
        <f>IFERROR(L542/G542,0)</f>
        <v>0.48166666666666841</v>
      </c>
    </row>
    <row r="543" spans="1:16" x14ac:dyDescent="0.3">
      <c r="A543" s="9" t="s">
        <v>1431</v>
      </c>
      <c r="B543" s="9" t="s">
        <v>26</v>
      </c>
      <c r="C543" s="9" t="s">
        <v>27</v>
      </c>
      <c r="D543" s="52">
        <v>46127</v>
      </c>
      <c r="E543" s="48">
        <v>0.62847222222222221</v>
      </c>
      <c r="F543" s="48">
        <v>0.64236111111111105</v>
      </c>
      <c r="G543" s="43">
        <f>(F543-E543)*1440</f>
        <v>19.999999999999929</v>
      </c>
      <c r="H543" s="9" t="s">
        <v>1745</v>
      </c>
      <c r="I543" s="9" t="s">
        <v>1746</v>
      </c>
      <c r="J543" s="44">
        <v>10.4</v>
      </c>
      <c r="K543" s="60">
        <v>8.17</v>
      </c>
      <c r="L543" s="56">
        <v>6.13</v>
      </c>
      <c r="M543" s="14">
        <f>K543-L543</f>
        <v>2.04</v>
      </c>
      <c r="N543" s="15">
        <f>IFERROR(M543/K543,0)</f>
        <v>0.24969400244798043</v>
      </c>
      <c r="O543" s="14">
        <f>IFERROR(L543/J543,0)</f>
        <v>0.58942307692307694</v>
      </c>
      <c r="P543" s="14">
        <f>IFERROR(L543/G543,0)</f>
        <v>0.3065000000000011</v>
      </c>
    </row>
    <row r="544" spans="1:16" x14ac:dyDescent="0.3">
      <c r="A544" s="9" t="s">
        <v>1427</v>
      </c>
      <c r="B544" s="9" t="s">
        <v>18</v>
      </c>
      <c r="C544" s="9" t="s">
        <v>184</v>
      </c>
      <c r="D544" s="52">
        <v>46127</v>
      </c>
      <c r="E544" s="48">
        <v>0.85902777777777783</v>
      </c>
      <c r="F544" s="48">
        <v>0.86597222222222225</v>
      </c>
      <c r="G544" s="43">
        <f>(F544-E544)*1440</f>
        <v>9.9999999999999645</v>
      </c>
      <c r="H544" s="9" t="s">
        <v>742</v>
      </c>
      <c r="I544" s="9" t="s">
        <v>1740</v>
      </c>
      <c r="J544" s="44">
        <v>5.53</v>
      </c>
      <c r="K544" s="60">
        <v>4.9400000000000004</v>
      </c>
      <c r="L544" s="56">
        <v>3.36</v>
      </c>
      <c r="M544" s="14">
        <f>K544-L544</f>
        <v>1.5800000000000005</v>
      </c>
      <c r="N544" s="15">
        <f>IFERROR(M544/K544,0)</f>
        <v>0.31983805668016202</v>
      </c>
      <c r="O544" s="14">
        <f>IFERROR(L544/J544,0)</f>
        <v>0.60759493670886067</v>
      </c>
      <c r="P544" s="14">
        <f>IFERROR(L544/G544,0)</f>
        <v>0.33600000000000119</v>
      </c>
    </row>
    <row r="545" spans="1:19" x14ac:dyDescent="0.3">
      <c r="A545" s="9" t="s">
        <v>1435</v>
      </c>
      <c r="B545" s="9" t="s">
        <v>26</v>
      </c>
      <c r="C545" s="9" t="s">
        <v>27</v>
      </c>
      <c r="D545" s="52">
        <v>46127</v>
      </c>
      <c r="E545" s="48">
        <v>0.79583333333333339</v>
      </c>
      <c r="F545" s="48">
        <v>0.80694444444444446</v>
      </c>
      <c r="G545" s="43">
        <f>(F545-E545)*1440</f>
        <v>15.999999999999943</v>
      </c>
      <c r="H545" s="9" t="s">
        <v>1752</v>
      </c>
      <c r="I545" s="9" t="s">
        <v>1753</v>
      </c>
      <c r="J545" s="44">
        <v>7.1</v>
      </c>
      <c r="K545" s="60">
        <v>5.8</v>
      </c>
      <c r="L545" s="56">
        <v>4.3499999999999996</v>
      </c>
      <c r="M545" s="14">
        <f>K545-L545</f>
        <v>1.4500000000000002</v>
      </c>
      <c r="N545" s="15">
        <f>IFERROR(M545/K545,0)</f>
        <v>0.25000000000000006</v>
      </c>
      <c r="O545" s="14">
        <f>IFERROR(L545/J545,0)</f>
        <v>0.61267605633802813</v>
      </c>
      <c r="P545" s="14">
        <f>IFERROR(L545/G545,0)</f>
        <v>0.27187500000000092</v>
      </c>
    </row>
    <row r="546" spans="1:19" x14ac:dyDescent="0.3">
      <c r="A546" s="9" t="s">
        <v>1423</v>
      </c>
      <c r="B546" s="9" t="s">
        <v>18</v>
      </c>
      <c r="C546" s="9" t="s">
        <v>184</v>
      </c>
      <c r="D546" s="52">
        <v>46127</v>
      </c>
      <c r="E546" s="48">
        <v>0.80486111111111114</v>
      </c>
      <c r="F546" s="48">
        <v>0.81319444444444444</v>
      </c>
      <c r="G546" s="43">
        <f>(F546-E546)*1440</f>
        <v>11.999999999999957</v>
      </c>
      <c r="H546" s="9" t="s">
        <v>1735</v>
      </c>
      <c r="I546" s="9" t="s">
        <v>1736</v>
      </c>
      <c r="J546" s="44">
        <v>7.56</v>
      </c>
      <c r="K546" s="60">
        <v>5.94</v>
      </c>
      <c r="L546" s="56">
        <v>5.69</v>
      </c>
      <c r="M546" s="14">
        <f>K546-L546</f>
        <v>0.25</v>
      </c>
      <c r="N546" s="15">
        <f>IFERROR(M546/K546,0)</f>
        <v>4.2087542087542083E-2</v>
      </c>
      <c r="O546" s="14">
        <f>IFERROR(L546/J546,0)</f>
        <v>0.75264550264550278</v>
      </c>
      <c r="P546" s="14">
        <f>IFERROR(L546/G546,0)</f>
        <v>0.4741666666666684</v>
      </c>
    </row>
    <row r="547" spans="1:19" x14ac:dyDescent="0.3">
      <c r="A547" s="9" t="s">
        <v>1432</v>
      </c>
      <c r="B547" s="9" t="s">
        <v>26</v>
      </c>
      <c r="C547" s="9" t="s">
        <v>27</v>
      </c>
      <c r="D547" s="52">
        <v>46127</v>
      </c>
      <c r="E547" s="48">
        <v>0.68958333333333333</v>
      </c>
      <c r="F547" s="48">
        <v>0.69513888888888886</v>
      </c>
      <c r="G547" s="43">
        <f>(F547-E547)*1440</f>
        <v>7.9999999999999716</v>
      </c>
      <c r="H547" s="9" t="s">
        <v>1747</v>
      </c>
      <c r="I547" s="9" t="s">
        <v>1367</v>
      </c>
      <c r="J547" s="44">
        <v>4.2</v>
      </c>
      <c r="K547" s="60">
        <v>4.72</v>
      </c>
      <c r="L547" s="56">
        <v>3.54</v>
      </c>
      <c r="M547" s="14">
        <f>K547-L547</f>
        <v>1.1799999999999997</v>
      </c>
      <c r="N547" s="15">
        <f>IFERROR(M547/K547,0)</f>
        <v>0.24999999999999994</v>
      </c>
      <c r="O547" s="14">
        <f>IFERROR(L547/J547,0)</f>
        <v>0.84285714285714286</v>
      </c>
      <c r="P547" s="14">
        <f>IFERROR(L547/G547,0)</f>
        <v>0.44250000000000156</v>
      </c>
    </row>
    <row r="548" spans="1:19" x14ac:dyDescent="0.3">
      <c r="A548" s="9" t="s">
        <v>1418</v>
      </c>
      <c r="B548" s="9" t="s">
        <v>18</v>
      </c>
      <c r="C548" s="9" t="s">
        <v>184</v>
      </c>
      <c r="D548" s="52">
        <v>46127</v>
      </c>
      <c r="E548" s="48">
        <v>0.6166666666666667</v>
      </c>
      <c r="F548" s="48">
        <v>0.625</v>
      </c>
      <c r="G548" s="43">
        <f>(F548-E548)*1440</f>
        <v>11.999999999999957</v>
      </c>
      <c r="H548" s="9" t="s">
        <v>1729</v>
      </c>
      <c r="I548" s="9" t="s">
        <v>1730</v>
      </c>
      <c r="J548" s="44">
        <v>4.34</v>
      </c>
      <c r="K548" s="60">
        <v>4.97</v>
      </c>
      <c r="L548" s="56">
        <v>3.67</v>
      </c>
      <c r="M548" s="14">
        <f>K548-L548</f>
        <v>1.2999999999999998</v>
      </c>
      <c r="N548" s="15">
        <f>IFERROR(M548/K548,0)</f>
        <v>0.26156941649899396</v>
      </c>
      <c r="O548" s="14">
        <f>IFERROR(L548/J548,0)</f>
        <v>0.84562211981566826</v>
      </c>
      <c r="P548" s="14">
        <f>IFERROR(L548/G548,0)</f>
        <v>0.3058333333333344</v>
      </c>
    </row>
    <row r="549" spans="1:19" x14ac:dyDescent="0.3">
      <c r="A549" s="9" t="s">
        <v>1419</v>
      </c>
      <c r="B549" s="9" t="s">
        <v>18</v>
      </c>
      <c r="C549" s="9" t="s">
        <v>184</v>
      </c>
      <c r="D549" s="52">
        <v>46127</v>
      </c>
      <c r="E549" s="48">
        <v>0.67569444444444438</v>
      </c>
      <c r="F549" s="48">
        <v>0.68263888888888891</v>
      </c>
      <c r="G549" s="43">
        <f>(F549-E549)*1440</f>
        <v>10.000000000000124</v>
      </c>
      <c r="H549" s="9" t="s">
        <v>1731</v>
      </c>
      <c r="I549" s="9" t="s">
        <v>1732</v>
      </c>
      <c r="J549" s="44">
        <v>5.01</v>
      </c>
      <c r="K549" s="60">
        <v>5.6</v>
      </c>
      <c r="L549" s="56">
        <v>4.32</v>
      </c>
      <c r="M549" s="14">
        <f>K549-L549</f>
        <v>1.2799999999999994</v>
      </c>
      <c r="N549" s="15">
        <f>IFERROR(M549/K549,0)</f>
        <v>0.22857142857142848</v>
      </c>
      <c r="O549" s="14">
        <f>IFERROR(L549/J549,0)</f>
        <v>0.86227544910179654</v>
      </c>
      <c r="P549" s="14">
        <f>IFERROR(L549/G549,0)</f>
        <v>0.43199999999999467</v>
      </c>
    </row>
    <row r="550" spans="1:19" x14ac:dyDescent="0.3">
      <c r="A550" s="9" t="s">
        <v>1420</v>
      </c>
      <c r="B550" s="9" t="s">
        <v>18</v>
      </c>
      <c r="C550" s="9" t="s">
        <v>184</v>
      </c>
      <c r="D550" s="52">
        <v>46127</v>
      </c>
      <c r="E550" s="48">
        <v>0.70833333333333337</v>
      </c>
      <c r="F550" s="48">
        <v>0.71736111111111101</v>
      </c>
      <c r="G550" s="43">
        <f>(F550-E550)*1440</f>
        <v>12.999999999999794</v>
      </c>
      <c r="H550" s="9" t="s">
        <v>214</v>
      </c>
      <c r="I550" s="9" t="s">
        <v>582</v>
      </c>
      <c r="J550" s="44">
        <v>4.49</v>
      </c>
      <c r="K550" s="60">
        <v>5.94</v>
      </c>
      <c r="L550" s="56">
        <v>4.2</v>
      </c>
      <c r="M550" s="14">
        <f>K550-L550</f>
        <v>1.7400000000000002</v>
      </c>
      <c r="N550" s="15">
        <f>IFERROR(M550/K550,0)</f>
        <v>0.29292929292929293</v>
      </c>
      <c r="O550" s="14">
        <f>IFERROR(L550/J550,0)</f>
        <v>0.93541202672605794</v>
      </c>
      <c r="P550" s="14">
        <f>IFERROR(L550/G550,0)</f>
        <v>0.3230769230769282</v>
      </c>
    </row>
    <row r="551" spans="1:19" x14ac:dyDescent="0.3">
      <c r="A551" s="9" t="s">
        <v>1426</v>
      </c>
      <c r="B551" s="9" t="s">
        <v>18</v>
      </c>
      <c r="C551" s="9" t="s">
        <v>184</v>
      </c>
      <c r="D551" s="52">
        <v>46127</v>
      </c>
      <c r="E551" s="48">
        <v>0.85069444444444453</v>
      </c>
      <c r="F551" s="48">
        <v>0.85625000000000007</v>
      </c>
      <c r="G551" s="43">
        <f>(F551-E551)*1440</f>
        <v>7.9999999999999716</v>
      </c>
      <c r="H551" s="9" t="s">
        <v>1739</v>
      </c>
      <c r="I551" s="9" t="s">
        <v>1695</v>
      </c>
      <c r="J551" s="44">
        <v>3.78</v>
      </c>
      <c r="K551" s="60">
        <v>4.9800000000000004</v>
      </c>
      <c r="L551" s="56">
        <v>3.67</v>
      </c>
      <c r="M551" s="14">
        <f>K551-L551</f>
        <v>1.3100000000000005</v>
      </c>
      <c r="N551" s="15">
        <f>IFERROR(M551/K551,0)</f>
        <v>0.26305220883534142</v>
      </c>
      <c r="O551" s="14">
        <f>IFERROR(L551/J551,0)</f>
        <v>0.97089947089947093</v>
      </c>
      <c r="P551" s="14">
        <f>IFERROR(L551/G551,0)</f>
        <v>0.4587500000000016</v>
      </c>
      <c r="S551" s="61">
        <v>0.5</v>
      </c>
    </row>
    <row r="552" spans="1:19" x14ac:dyDescent="0.3">
      <c r="A552" s="9" t="s">
        <v>1433</v>
      </c>
      <c r="B552" s="9" t="s">
        <v>26</v>
      </c>
      <c r="C552" s="9" t="s">
        <v>27</v>
      </c>
      <c r="D552" s="52">
        <v>46127</v>
      </c>
      <c r="E552" s="48">
        <v>0.69861111111111107</v>
      </c>
      <c r="F552" s="48">
        <v>0.70763888888888893</v>
      </c>
      <c r="G552" s="43">
        <f>(F552-E552)*1440</f>
        <v>13.000000000000114</v>
      </c>
      <c r="H552" s="9" t="s">
        <v>1748</v>
      </c>
      <c r="I552" s="9" t="s">
        <v>1749</v>
      </c>
      <c r="J552" s="44">
        <v>3.8</v>
      </c>
      <c r="K552" s="60">
        <v>5.01</v>
      </c>
      <c r="L552" s="56">
        <v>3.76</v>
      </c>
      <c r="M552" s="14">
        <f>K552-L552</f>
        <v>1.25</v>
      </c>
      <c r="N552" s="15">
        <f>IFERROR(M552/K552,0)</f>
        <v>0.24950099800399203</v>
      </c>
      <c r="O552" s="14">
        <f>IFERROR(L552/J552,0)</f>
        <v>0.98947368421052628</v>
      </c>
      <c r="P552" s="14">
        <f>IFERROR(L552/G552,0)</f>
        <v>0.28923076923076668</v>
      </c>
    </row>
    <row r="553" spans="1:19" x14ac:dyDescent="0.3">
      <c r="A553" s="9" t="s">
        <v>1421</v>
      </c>
      <c r="B553" s="9" t="s">
        <v>18</v>
      </c>
      <c r="C553" s="9" t="s">
        <v>184</v>
      </c>
      <c r="D553" s="52">
        <v>46127</v>
      </c>
      <c r="E553" s="48">
        <v>0.71736111111111101</v>
      </c>
      <c r="F553" s="48">
        <v>0.7319444444444444</v>
      </c>
      <c r="G553" s="43">
        <f>(F553-E553)*1440</f>
        <v>21.000000000000085</v>
      </c>
      <c r="H553" s="9" t="s">
        <v>1733</v>
      </c>
      <c r="I553" s="9" t="s">
        <v>1120</v>
      </c>
      <c r="J553" s="44">
        <v>5.36</v>
      </c>
      <c r="K553" s="60">
        <v>6.96</v>
      </c>
      <c r="L553" s="56">
        <v>6.09</v>
      </c>
      <c r="M553" s="14">
        <f>K553-L553</f>
        <v>0.87000000000000011</v>
      </c>
      <c r="N553" s="15">
        <f>IFERROR(M553/K553,0)</f>
        <v>0.12500000000000003</v>
      </c>
      <c r="O553" s="14">
        <f>IFERROR(L553/J553,0)</f>
        <v>1.1361940298507462</v>
      </c>
      <c r="P553" s="14">
        <f>IFERROR(L553/G553,0)</f>
        <v>0.28999999999999881</v>
      </c>
    </row>
    <row r="554" spans="1:19" x14ac:dyDescent="0.3">
      <c r="A554" s="9" t="s">
        <v>1422</v>
      </c>
      <c r="B554" s="9" t="s">
        <v>538</v>
      </c>
      <c r="C554" s="9" t="s">
        <v>184</v>
      </c>
      <c r="D554" s="52">
        <v>46127</v>
      </c>
      <c r="E554" s="48">
        <v>0.7583333333333333</v>
      </c>
      <c r="F554" s="48">
        <v>0.77569444444444446</v>
      </c>
      <c r="G554" s="43">
        <f>(F554-E554)*1440</f>
        <v>25.000000000000071</v>
      </c>
      <c r="H554" s="9" t="s">
        <v>1120</v>
      </c>
      <c r="I554" s="9" t="s">
        <v>1734</v>
      </c>
      <c r="J554" s="44">
        <v>8.14</v>
      </c>
      <c r="K554" s="60">
        <v>11.96</v>
      </c>
      <c r="L554" s="56">
        <v>9.92</v>
      </c>
      <c r="M554" s="14">
        <f>K554-L554</f>
        <v>2.0400000000000009</v>
      </c>
      <c r="N554" s="15">
        <f>IFERROR(M554/K554,0)</f>
        <v>0.17056856187290975</v>
      </c>
      <c r="O554" s="14">
        <f>IFERROR(L554/J554,0)</f>
        <v>1.2186732186732185</v>
      </c>
      <c r="P554" s="14">
        <f>IFERROR(L554/G554,0)</f>
        <v>0.39679999999999888</v>
      </c>
    </row>
    <row r="555" spans="1:19" x14ac:dyDescent="0.3">
      <c r="A555" s="9" t="s">
        <v>1434</v>
      </c>
      <c r="B555" s="9" t="s">
        <v>26</v>
      </c>
      <c r="C555" s="9" t="s">
        <v>26</v>
      </c>
      <c r="D555" s="52">
        <v>46127</v>
      </c>
      <c r="E555" s="48">
        <v>0.78749999999999998</v>
      </c>
      <c r="F555" s="48">
        <v>0.79375000000000007</v>
      </c>
      <c r="G555" s="43">
        <f>(F555-E555)*1440</f>
        <v>9.0000000000001279</v>
      </c>
      <c r="H555" s="9" t="s">
        <v>1750</v>
      </c>
      <c r="I555" s="9" t="s">
        <v>1751</v>
      </c>
      <c r="J555" s="44">
        <v>1.2</v>
      </c>
      <c r="K555" s="60">
        <v>4.4000000000000004</v>
      </c>
      <c r="L555" s="56">
        <v>3.3</v>
      </c>
      <c r="M555" s="14">
        <f>K555-L555</f>
        <v>1.1000000000000005</v>
      </c>
      <c r="N555" s="15">
        <f>IFERROR(M555/K555,0)</f>
        <v>0.25000000000000011</v>
      </c>
      <c r="O555" s="14">
        <f>IFERROR(L555/J555,0)</f>
        <v>2.75</v>
      </c>
      <c r="P555" s="14">
        <f>IFERROR(L555/G555,0)</f>
        <v>0.36666666666666142</v>
      </c>
    </row>
    <row r="556" spans="1:19" x14ac:dyDescent="0.3">
      <c r="A556" s="9" t="s">
        <v>1446</v>
      </c>
      <c r="B556" s="9" t="s">
        <v>18</v>
      </c>
      <c r="C556" s="9" t="s">
        <v>184</v>
      </c>
      <c r="D556" s="52">
        <v>46128</v>
      </c>
      <c r="E556" s="48">
        <v>0.65069444444444446</v>
      </c>
      <c r="F556" s="48">
        <v>0.65902777777777777</v>
      </c>
      <c r="G556" s="43">
        <f>(F556-E556)*1440</f>
        <v>11.999999999999957</v>
      </c>
      <c r="H556" s="9" t="s">
        <v>214</v>
      </c>
      <c r="I556" s="9" t="s">
        <v>1769</v>
      </c>
      <c r="J556" s="44">
        <v>9.4600000000000009</v>
      </c>
      <c r="K556" s="60">
        <v>5.94</v>
      </c>
      <c r="L556" s="56">
        <v>4.33</v>
      </c>
      <c r="M556" s="14">
        <f>K556-L556</f>
        <v>1.6100000000000003</v>
      </c>
      <c r="N556" s="15">
        <f>IFERROR(M556/K556,0)</f>
        <v>0.27104377104377109</v>
      </c>
      <c r="O556" s="14">
        <f>IFERROR(L556/J556,0)</f>
        <v>0.45771670190274838</v>
      </c>
      <c r="P556" s="14">
        <f>IFERROR(L556/G556,0)</f>
        <v>0.36083333333333462</v>
      </c>
    </row>
    <row r="557" spans="1:19" x14ac:dyDescent="0.3">
      <c r="A557" s="9" t="s">
        <v>1445</v>
      </c>
      <c r="B557" s="9" t="s">
        <v>18</v>
      </c>
      <c r="C557" s="9" t="s">
        <v>196</v>
      </c>
      <c r="D557" s="52">
        <v>46128</v>
      </c>
      <c r="E557" s="48">
        <v>0.59236111111111112</v>
      </c>
      <c r="F557" s="48">
        <v>0.6118055555555556</v>
      </c>
      <c r="G557" s="43">
        <f>(F557-E557)*1440</f>
        <v>28.00000000000006</v>
      </c>
      <c r="H557" s="9" t="s">
        <v>1767</v>
      </c>
      <c r="I557" s="9" t="s">
        <v>1768</v>
      </c>
      <c r="J557" s="44">
        <v>16.850000000000001</v>
      </c>
      <c r="K557" s="60">
        <v>11.97</v>
      </c>
      <c r="L557" s="56">
        <v>7.78</v>
      </c>
      <c r="M557" s="14">
        <f>K557-L557</f>
        <v>4.1900000000000004</v>
      </c>
      <c r="N557" s="15">
        <f>IFERROR(M557/K557,0)</f>
        <v>0.35004177109440271</v>
      </c>
      <c r="O557" s="14">
        <f>IFERROR(L557/J557,0)</f>
        <v>0.46172106824925813</v>
      </c>
      <c r="P557" s="14">
        <f>IFERROR(L557/G557,0)</f>
        <v>0.27785714285714225</v>
      </c>
    </row>
    <row r="558" spans="1:19" x14ac:dyDescent="0.3">
      <c r="A558" s="9" t="s">
        <v>1443</v>
      </c>
      <c r="B558" s="9" t="s">
        <v>26</v>
      </c>
      <c r="C558" s="9" t="s">
        <v>27</v>
      </c>
      <c r="D558" s="52">
        <v>46128</v>
      </c>
      <c r="E558" s="48">
        <v>0.8847222222222223</v>
      </c>
      <c r="F558" s="48">
        <v>0.8930555555555556</v>
      </c>
      <c r="G558" s="43">
        <f>(F558-E558)*1440</f>
        <v>11.999999999999957</v>
      </c>
      <c r="H558" s="9" t="s">
        <v>1763</v>
      </c>
      <c r="I558" s="9" t="s">
        <v>1764</v>
      </c>
      <c r="J558" s="44">
        <v>9</v>
      </c>
      <c r="K558" s="60">
        <v>5.94</v>
      </c>
      <c r="L558" s="56">
        <v>4.45</v>
      </c>
      <c r="M558" s="14">
        <f>K558-L558</f>
        <v>1.4900000000000002</v>
      </c>
      <c r="N558" s="15">
        <f>IFERROR(M558/K558,0)</f>
        <v>0.25084175084175087</v>
      </c>
      <c r="O558" s="14">
        <f>IFERROR(L558/J558,0)</f>
        <v>0.49444444444444446</v>
      </c>
      <c r="P558" s="14">
        <f>IFERROR(L558/G558,0)</f>
        <v>0.37083333333333468</v>
      </c>
    </row>
    <row r="559" spans="1:19" x14ac:dyDescent="0.3">
      <c r="A559" s="9" t="s">
        <v>1442</v>
      </c>
      <c r="B559" s="9" t="s">
        <v>26</v>
      </c>
      <c r="C559" s="9" t="s">
        <v>27</v>
      </c>
      <c r="D559" s="52">
        <v>46128</v>
      </c>
      <c r="E559" s="48">
        <v>0.84166666666666667</v>
      </c>
      <c r="F559" s="48">
        <v>0.85069444444444453</v>
      </c>
      <c r="G559" s="43">
        <f>(F559-E559)*1440</f>
        <v>13.000000000000114</v>
      </c>
      <c r="H559" s="9" t="s">
        <v>1761</v>
      </c>
      <c r="I559" s="9" t="s">
        <v>1762</v>
      </c>
      <c r="J559" s="44">
        <v>9.8000000000000007</v>
      </c>
      <c r="K559" s="60">
        <v>7.17</v>
      </c>
      <c r="L559" s="56">
        <v>5.38</v>
      </c>
      <c r="M559" s="14">
        <f>K559-L559</f>
        <v>1.79</v>
      </c>
      <c r="N559" s="15">
        <f>IFERROR(M559/K559,0)</f>
        <v>0.24965132496513251</v>
      </c>
      <c r="O559" s="14">
        <f>IFERROR(L559/J559,0)</f>
        <v>0.54897959183673462</v>
      </c>
      <c r="P559" s="14">
        <f>IFERROR(L559/G559,0)</f>
        <v>0.4138461538461502</v>
      </c>
    </row>
    <row r="560" spans="1:19" x14ac:dyDescent="0.3">
      <c r="A560" s="9" t="s">
        <v>1441</v>
      </c>
      <c r="B560" s="9" t="s">
        <v>26</v>
      </c>
      <c r="C560" s="9" t="s">
        <v>27</v>
      </c>
      <c r="D560" s="52">
        <v>46128</v>
      </c>
      <c r="E560" s="48">
        <v>0.82986111111111116</v>
      </c>
      <c r="F560" s="48">
        <v>0.83611111111111114</v>
      </c>
      <c r="G560" s="43">
        <f>(F560-E560)*1440</f>
        <v>8.999999999999968</v>
      </c>
      <c r="H560" s="9" t="s">
        <v>1759</v>
      </c>
      <c r="I560" s="9" t="s">
        <v>1760</v>
      </c>
      <c r="J560" s="44">
        <v>7.7</v>
      </c>
      <c r="K560" s="60">
        <v>6.09</v>
      </c>
      <c r="L560" s="56">
        <v>4.57</v>
      </c>
      <c r="M560" s="14">
        <f>K560-L560</f>
        <v>1.5199999999999996</v>
      </c>
      <c r="N560" s="15">
        <f>IFERROR(M560/K560,0)</f>
        <v>0.24958949096880126</v>
      </c>
      <c r="O560" s="14">
        <f>IFERROR(L560/J560,0)</f>
        <v>0.59350649350649354</v>
      </c>
      <c r="P560" s="14">
        <f>IFERROR(L560/G560,0)</f>
        <v>0.50777777777777966</v>
      </c>
    </row>
    <row r="561" spans="1:17" x14ac:dyDescent="0.3">
      <c r="A561" s="9" t="s">
        <v>1439</v>
      </c>
      <c r="B561" s="9" t="s">
        <v>26</v>
      </c>
      <c r="C561" s="9" t="s">
        <v>27</v>
      </c>
      <c r="D561" s="52">
        <v>46128</v>
      </c>
      <c r="E561" s="48">
        <v>0.72083333333333333</v>
      </c>
      <c r="F561" s="48">
        <v>0.74097222222222225</v>
      </c>
      <c r="G561" s="43">
        <f>(F561-E561)*1440</f>
        <v>29.000000000000057</v>
      </c>
      <c r="H561" s="9" t="s">
        <v>1280</v>
      </c>
      <c r="I561" s="9" t="s">
        <v>1757</v>
      </c>
      <c r="J561" s="44">
        <v>8.9</v>
      </c>
      <c r="K561" s="60">
        <v>7.1</v>
      </c>
      <c r="L561" s="56">
        <v>5.32</v>
      </c>
      <c r="M561" s="14">
        <f>K561-L561</f>
        <v>1.7799999999999994</v>
      </c>
      <c r="N561" s="15">
        <f>IFERROR(M561/K561,0)</f>
        <v>0.25070422535211262</v>
      </c>
      <c r="O561" s="14">
        <f>IFERROR(L561/J561,0)</f>
        <v>0.59775280898876404</v>
      </c>
      <c r="P561" s="14">
        <f>IFERROR(L561/G561,0)</f>
        <v>0.1834482758620686</v>
      </c>
    </row>
    <row r="562" spans="1:17" x14ac:dyDescent="0.3">
      <c r="A562" s="9" t="s">
        <v>1438</v>
      </c>
      <c r="B562" s="9" t="s">
        <v>26</v>
      </c>
      <c r="C562" s="9" t="s">
        <v>27</v>
      </c>
      <c r="D562" s="52">
        <v>46128</v>
      </c>
      <c r="E562" s="48">
        <v>0.63888888888888895</v>
      </c>
      <c r="F562" s="48">
        <v>0.65208333333333335</v>
      </c>
      <c r="G562" s="43">
        <f>(F562-E562)*1440</f>
        <v>18.999999999999932</v>
      </c>
      <c r="H562" s="9" t="s">
        <v>1756</v>
      </c>
      <c r="I562" s="9" t="s">
        <v>214</v>
      </c>
      <c r="J562" s="44">
        <v>9</v>
      </c>
      <c r="K562" s="60">
        <v>6.74</v>
      </c>
      <c r="L562" s="56">
        <v>5.56</v>
      </c>
      <c r="M562" s="14">
        <f>K562-L562</f>
        <v>1.1800000000000006</v>
      </c>
      <c r="N562" s="15">
        <f>IFERROR(M562/K562,0)</f>
        <v>0.17507418397626121</v>
      </c>
      <c r="O562" s="14">
        <f>IFERROR(L562/J562,0)</f>
        <v>0.61777777777777776</v>
      </c>
      <c r="P562" s="14">
        <f>IFERROR(L562/G562,0)</f>
        <v>0.29263157894736946</v>
      </c>
    </row>
    <row r="563" spans="1:17" x14ac:dyDescent="0.3">
      <c r="A563" s="9" t="s">
        <v>1449</v>
      </c>
      <c r="B563" s="9" t="s">
        <v>18</v>
      </c>
      <c r="C563" s="9" t="s">
        <v>184</v>
      </c>
      <c r="D563" s="52">
        <v>46128</v>
      </c>
      <c r="E563" s="48">
        <v>0.7715277777777777</v>
      </c>
      <c r="F563" s="48">
        <v>0.78055555555555556</v>
      </c>
      <c r="G563" s="43">
        <f>(F563-E563)*1440</f>
        <v>13.000000000000114</v>
      </c>
      <c r="H563" s="9" t="s">
        <v>1773</v>
      </c>
      <c r="I563" s="9" t="s">
        <v>1774</v>
      </c>
      <c r="J563" s="44">
        <v>8.07</v>
      </c>
      <c r="K563" s="60">
        <v>6.94</v>
      </c>
      <c r="L563" s="56">
        <v>5.24</v>
      </c>
      <c r="M563" s="14">
        <f>K563-L563</f>
        <v>1.7000000000000002</v>
      </c>
      <c r="N563" s="15">
        <f>IFERROR(M563/K563,0)</f>
        <v>0.24495677233429397</v>
      </c>
      <c r="O563" s="14">
        <f>IFERROR(L563/J563,0)</f>
        <v>0.64931846344485755</v>
      </c>
      <c r="P563" s="14">
        <f>IFERROR(L563/G563,0)</f>
        <v>0.40307692307691956</v>
      </c>
    </row>
    <row r="564" spans="1:17" x14ac:dyDescent="0.3">
      <c r="A564" s="9" t="s">
        <v>1444</v>
      </c>
      <c r="B564" s="9" t="s">
        <v>18</v>
      </c>
      <c r="C564" s="9" t="s">
        <v>184</v>
      </c>
      <c r="D564" s="52">
        <v>46128</v>
      </c>
      <c r="E564" s="48">
        <v>0.56805555555555554</v>
      </c>
      <c r="F564" s="48">
        <v>0.57708333333333328</v>
      </c>
      <c r="G564" s="43">
        <f>(F564-E564)*1440</f>
        <v>12.999999999999954</v>
      </c>
      <c r="H564" s="9" t="s">
        <v>1765</v>
      </c>
      <c r="I564" s="9" t="s">
        <v>1766</v>
      </c>
      <c r="J564" s="44">
        <v>5.82</v>
      </c>
      <c r="K564" s="60">
        <v>4.9400000000000004</v>
      </c>
      <c r="L564" s="56">
        <v>3.82</v>
      </c>
      <c r="M564" s="14">
        <f>K564-L564</f>
        <v>1.1200000000000006</v>
      </c>
      <c r="N564" s="15">
        <f>IFERROR(M564/K564,0)</f>
        <v>0.22672064777327944</v>
      </c>
      <c r="O564" s="14">
        <f>IFERROR(L564/J564,0)</f>
        <v>0.65635738831615109</v>
      </c>
      <c r="P564" s="14">
        <f>IFERROR(L564/G564,0)</f>
        <v>0.29384615384615487</v>
      </c>
    </row>
    <row r="565" spans="1:17" x14ac:dyDescent="0.3">
      <c r="A565" s="9" t="s">
        <v>1436</v>
      </c>
      <c r="B565" s="9" t="s">
        <v>26</v>
      </c>
      <c r="C565" s="9" t="s">
        <v>27</v>
      </c>
      <c r="D565" s="52">
        <v>46128</v>
      </c>
      <c r="E565" s="48">
        <v>0.61736111111111114</v>
      </c>
      <c r="F565" s="48">
        <v>0.625</v>
      </c>
      <c r="G565" s="43">
        <f>(F565-E565)*1440</f>
        <v>10.999999999999961</v>
      </c>
      <c r="H565" s="9" t="s">
        <v>1754</v>
      </c>
      <c r="I565" s="9" t="s">
        <v>1367</v>
      </c>
      <c r="J565" s="44">
        <v>5.9</v>
      </c>
      <c r="K565" s="60">
        <v>5.29</v>
      </c>
      <c r="L565" s="56">
        <v>3.97</v>
      </c>
      <c r="M565" s="14">
        <f>K565-L565</f>
        <v>1.3199999999999998</v>
      </c>
      <c r="N565" s="15">
        <f>IFERROR(M565/K565,0)</f>
        <v>0.24952741020793948</v>
      </c>
      <c r="O565" s="14">
        <f>IFERROR(L565/J565,0)</f>
        <v>0.67288135593220333</v>
      </c>
      <c r="P565" s="14">
        <f>IFERROR(L565/G565,0)</f>
        <v>0.36090909090909223</v>
      </c>
    </row>
    <row r="566" spans="1:17" x14ac:dyDescent="0.3">
      <c r="A566" s="9" t="s">
        <v>1447</v>
      </c>
      <c r="B566" s="9" t="s">
        <v>18</v>
      </c>
      <c r="C566" s="9" t="s">
        <v>184</v>
      </c>
      <c r="D566" s="52">
        <v>46128</v>
      </c>
      <c r="E566" s="48">
        <v>0.67638888888888893</v>
      </c>
      <c r="F566" s="48">
        <v>0.69236111111111109</v>
      </c>
      <c r="G566" s="43">
        <f>(F566-E566)*1440</f>
        <v>22.999999999999918</v>
      </c>
      <c r="H566" s="9" t="s">
        <v>1770</v>
      </c>
      <c r="I566" s="9" t="s">
        <v>1771</v>
      </c>
      <c r="J566" s="44">
        <v>11.87</v>
      </c>
      <c r="K566" s="60">
        <v>8.93</v>
      </c>
      <c r="L566" s="56">
        <v>8.31</v>
      </c>
      <c r="M566" s="14">
        <f>K566-L566</f>
        <v>0.61999999999999922</v>
      </c>
      <c r="N566" s="15">
        <f>IFERROR(M566/K566,0)</f>
        <v>6.9428891377379537E-2</v>
      </c>
      <c r="O566" s="14">
        <f>IFERROR(L566/J566,0)</f>
        <v>0.7000842459983152</v>
      </c>
      <c r="P566" s="14">
        <f>IFERROR(L566/G566,0)</f>
        <v>0.36130434782608828</v>
      </c>
    </row>
    <row r="567" spans="1:17" x14ac:dyDescent="0.3">
      <c r="A567" s="9" t="s">
        <v>1452</v>
      </c>
      <c r="B567" s="9" t="s">
        <v>18</v>
      </c>
      <c r="C567" s="9" t="s">
        <v>184</v>
      </c>
      <c r="D567" s="52">
        <v>46128</v>
      </c>
      <c r="E567" s="48">
        <v>0.86388888888888893</v>
      </c>
      <c r="F567" s="48">
        <v>0.87083333333333324</v>
      </c>
      <c r="G567" s="43">
        <f>(F567-E567)*1440</f>
        <v>9.9999999999998046</v>
      </c>
      <c r="H567" s="9" t="s">
        <v>1778</v>
      </c>
      <c r="I567" s="9" t="s">
        <v>1120</v>
      </c>
      <c r="J567" s="44">
        <v>4.17</v>
      </c>
      <c r="K567" s="60">
        <v>3.93</v>
      </c>
      <c r="L567" s="56">
        <v>3</v>
      </c>
      <c r="M567" s="14">
        <f>K567-L567</f>
        <v>0.93000000000000016</v>
      </c>
      <c r="N567" s="15">
        <f>IFERROR(M567/K567,0)</f>
        <v>0.23664122137404583</v>
      </c>
      <c r="O567" s="14">
        <f>IFERROR(L567/J567,0)</f>
        <v>0.71942446043165464</v>
      </c>
      <c r="P567" s="14">
        <f>IFERROR(L567/G567,0)</f>
        <v>0.30000000000000587</v>
      </c>
    </row>
    <row r="568" spans="1:17" x14ac:dyDescent="0.3">
      <c r="A568" s="9" t="s">
        <v>1440</v>
      </c>
      <c r="B568" s="9" t="s">
        <v>26</v>
      </c>
      <c r="C568" s="9" t="s">
        <v>26</v>
      </c>
      <c r="D568" s="52">
        <v>46128</v>
      </c>
      <c r="E568" s="48">
        <v>0.74305555555555547</v>
      </c>
      <c r="F568" s="48">
        <v>0.75694444444444453</v>
      </c>
      <c r="G568" s="43">
        <f>(F568-E568)*1440</f>
        <v>20.000000000000249</v>
      </c>
      <c r="H568" s="9" t="s">
        <v>1758</v>
      </c>
      <c r="I568" s="9" t="s">
        <v>212</v>
      </c>
      <c r="J568" s="44">
        <v>6.1</v>
      </c>
      <c r="K568" s="60">
        <v>6.68</v>
      </c>
      <c r="L568" s="56">
        <v>5.01</v>
      </c>
      <c r="M568" s="14">
        <f>K568-L568</f>
        <v>1.67</v>
      </c>
      <c r="N568" s="15">
        <f>IFERROR(M568/K568,0)</f>
        <v>0.25</v>
      </c>
      <c r="O568" s="14">
        <f>IFERROR(L568/J568,0)</f>
        <v>0.82131147540983607</v>
      </c>
      <c r="P568" s="14">
        <f>IFERROR(L568/G568,0)</f>
        <v>0.25049999999999689</v>
      </c>
    </row>
    <row r="569" spans="1:17" x14ac:dyDescent="0.3">
      <c r="A569" s="9" t="s">
        <v>1450</v>
      </c>
      <c r="B569" s="9" t="s">
        <v>18</v>
      </c>
      <c r="C569" s="9" t="s">
        <v>196</v>
      </c>
      <c r="D569" s="52">
        <v>46128</v>
      </c>
      <c r="E569" s="48">
        <v>0.7944444444444444</v>
      </c>
      <c r="F569" s="48">
        <v>0.81041666666666667</v>
      </c>
      <c r="G569" s="43">
        <f>(F569-E569)*1440</f>
        <v>23.000000000000078</v>
      </c>
      <c r="H569" s="9" t="s">
        <v>213</v>
      </c>
      <c r="I569" s="9" t="s">
        <v>1775</v>
      </c>
      <c r="J569" s="44">
        <v>9.2100000000000009</v>
      </c>
      <c r="K569" s="60">
        <v>10.98</v>
      </c>
      <c r="L569" s="56">
        <v>8.44</v>
      </c>
      <c r="M569" s="14">
        <f>K569-L569</f>
        <v>2.5400000000000009</v>
      </c>
      <c r="N569" s="15">
        <f>IFERROR(M569/K569,0)</f>
        <v>0.23132969034608386</v>
      </c>
      <c r="O569" s="14">
        <f>IFERROR(L569/J569,0)</f>
        <v>0.91639522258414752</v>
      </c>
      <c r="P569" s="14">
        <f>IFERROR(L569/G569,0)</f>
        <v>0.36695652173912918</v>
      </c>
    </row>
    <row r="570" spans="1:17" x14ac:dyDescent="0.3">
      <c r="A570" s="9" t="s">
        <v>1437</v>
      </c>
      <c r="B570" s="9" t="s">
        <v>26</v>
      </c>
      <c r="C570" s="9" t="s">
        <v>26</v>
      </c>
      <c r="D570" s="52">
        <v>46128</v>
      </c>
      <c r="E570" s="48">
        <v>0.62569444444444444</v>
      </c>
      <c r="F570" s="48">
        <v>0.63750000000000007</v>
      </c>
      <c r="G570" s="43">
        <f>(F570-E570)*1440</f>
        <v>17.000000000000099</v>
      </c>
      <c r="H570" s="9" t="s">
        <v>1367</v>
      </c>
      <c r="I570" s="9" t="s">
        <v>1755</v>
      </c>
      <c r="J570" s="44">
        <v>3.3</v>
      </c>
      <c r="K570" s="60">
        <v>4.43</v>
      </c>
      <c r="L570" s="56">
        <v>3.65</v>
      </c>
      <c r="M570" s="14">
        <f>K570-L570</f>
        <v>0.7799999999999998</v>
      </c>
      <c r="N570" s="15">
        <f>IFERROR(M570/K570,0)</f>
        <v>0.17607223476297965</v>
      </c>
      <c r="O570" s="14">
        <f>IFERROR(L570/J570,0)</f>
        <v>1.1060606060606062</v>
      </c>
      <c r="P570" s="14">
        <f>IFERROR(L570/G570,0)</f>
        <v>0.21470588235293991</v>
      </c>
    </row>
    <row r="571" spans="1:17" x14ac:dyDescent="0.3">
      <c r="A571" s="9" t="s">
        <v>1448</v>
      </c>
      <c r="B571" s="9" t="s">
        <v>18</v>
      </c>
      <c r="C571" s="9" t="s">
        <v>184</v>
      </c>
      <c r="D571" s="52">
        <v>46128</v>
      </c>
      <c r="E571" s="48">
        <v>0.69652777777777775</v>
      </c>
      <c r="F571" s="48">
        <v>0.7090277777777777</v>
      </c>
      <c r="G571" s="43">
        <f>(F571-E571)*1440</f>
        <v>17.999999999999936</v>
      </c>
      <c r="H571" s="9" t="s">
        <v>1772</v>
      </c>
      <c r="I571" s="9" t="s">
        <v>1728</v>
      </c>
      <c r="J571" s="44">
        <v>3.1</v>
      </c>
      <c r="K571" s="60">
        <v>5.0999999999999996</v>
      </c>
      <c r="L571" s="56">
        <v>4.95</v>
      </c>
      <c r="M571" s="14">
        <f>K571-L571</f>
        <v>0.14999999999999947</v>
      </c>
      <c r="N571" s="15">
        <f>IFERROR(M571/K571,0)</f>
        <v>2.9411764705882252E-2</v>
      </c>
      <c r="O571" s="14">
        <f>IFERROR(L571/J571,0)</f>
        <v>1.596774193548387</v>
      </c>
      <c r="P571" s="14">
        <f>IFERROR(L571/G571,0)</f>
        <v>0.27500000000000097</v>
      </c>
    </row>
    <row r="572" spans="1:17" x14ac:dyDescent="0.3">
      <c r="A572" s="9" t="s">
        <v>1451</v>
      </c>
      <c r="B572" s="9" t="s">
        <v>18</v>
      </c>
      <c r="C572" s="9" t="s">
        <v>196</v>
      </c>
      <c r="D572" s="52">
        <v>46128</v>
      </c>
      <c r="E572" s="48">
        <v>0.81874999999999998</v>
      </c>
      <c r="F572" s="48">
        <v>0.82430555555555562</v>
      </c>
      <c r="G572" s="43">
        <f>(F572-E572)*1440</f>
        <v>8.0000000000001315</v>
      </c>
      <c r="H572" s="9" t="s">
        <v>1776</v>
      </c>
      <c r="I572" s="9" t="s">
        <v>1777</v>
      </c>
      <c r="J572" s="44">
        <v>2.74</v>
      </c>
      <c r="K572" s="60">
        <v>6.98</v>
      </c>
      <c r="L572" s="56">
        <v>4.54</v>
      </c>
      <c r="M572" s="14">
        <f>K572-L572</f>
        <v>2.4400000000000004</v>
      </c>
      <c r="N572" s="15">
        <f>IFERROR(M572/K572,0)</f>
        <v>0.34957020057306593</v>
      </c>
      <c r="O572" s="14">
        <f>IFERROR(L572/J572,0)</f>
        <v>1.6569343065693429</v>
      </c>
      <c r="P572" s="14">
        <f>IFERROR(L572/G572,0)</f>
        <v>0.56749999999999068</v>
      </c>
    </row>
    <row r="573" spans="1:17" x14ac:dyDescent="0.3">
      <c r="A573" s="9" t="s">
        <v>1465</v>
      </c>
      <c r="B573" s="9" t="s">
        <v>26</v>
      </c>
      <c r="C573" s="9" t="s">
        <v>27</v>
      </c>
      <c r="D573" s="52">
        <v>46129</v>
      </c>
      <c r="E573" s="48">
        <v>0.53680555555555554</v>
      </c>
      <c r="F573" s="48">
        <v>0.55347222222222225</v>
      </c>
      <c r="G573" s="43">
        <f>(F573-E573)*1440</f>
        <v>24.000000000000075</v>
      </c>
      <c r="H573" s="9" t="s">
        <v>1792</v>
      </c>
      <c r="I573" s="9" t="s">
        <v>631</v>
      </c>
      <c r="J573" s="44">
        <v>22.2</v>
      </c>
      <c r="K573" s="60">
        <v>12.14</v>
      </c>
      <c r="L573" s="56">
        <v>9.1</v>
      </c>
      <c r="M573" s="14">
        <f>K573-L573</f>
        <v>3.0400000000000009</v>
      </c>
      <c r="N573" s="15">
        <f>IFERROR(M573/K573,0)</f>
        <v>0.25041186161449758</v>
      </c>
      <c r="O573" s="14">
        <f>IFERROR(L573/J573,0)</f>
        <v>0.40990990990990989</v>
      </c>
      <c r="P573" s="14">
        <f>IFERROR(L573/G573,0)</f>
        <v>0.37916666666666549</v>
      </c>
    </row>
    <row r="574" spans="1:17" x14ac:dyDescent="0.3">
      <c r="A574" s="9" t="s">
        <v>1463</v>
      </c>
      <c r="B574" s="9" t="s">
        <v>18</v>
      </c>
      <c r="C574" s="9" t="s">
        <v>184</v>
      </c>
      <c r="D574" s="52">
        <v>46129</v>
      </c>
      <c r="E574" s="48">
        <v>0.86805555555555547</v>
      </c>
      <c r="F574" s="48">
        <v>0.88541666666666663</v>
      </c>
      <c r="G574" s="43">
        <f>(F574-E574)*1440</f>
        <v>25.000000000000071</v>
      </c>
      <c r="H574" s="9" t="s">
        <v>558</v>
      </c>
      <c r="I574" s="9" t="s">
        <v>1786</v>
      </c>
      <c r="J574" s="44">
        <v>24.93</v>
      </c>
      <c r="K574" s="60">
        <v>15.95</v>
      </c>
      <c r="L574" s="56">
        <v>10.37</v>
      </c>
      <c r="M574" s="14">
        <f>K574-L574</f>
        <v>5.58</v>
      </c>
      <c r="N574" s="15">
        <f>IFERROR(M574/K574,0)</f>
        <v>0.34984326018808781</v>
      </c>
      <c r="O574" s="14">
        <f>IFERROR(L574/J574,0)</f>
        <v>0.41596470116325707</v>
      </c>
      <c r="P574" s="14">
        <f>IFERROR(L574/G574,0)</f>
        <v>0.41479999999999878</v>
      </c>
    </row>
    <row r="575" spans="1:17" x14ac:dyDescent="0.3">
      <c r="A575" s="9" t="s">
        <v>1455</v>
      </c>
      <c r="B575" s="9" t="s">
        <v>18</v>
      </c>
      <c r="C575" s="9" t="s">
        <v>184</v>
      </c>
      <c r="D575" s="52">
        <v>46129</v>
      </c>
      <c r="E575" s="48">
        <v>0.58750000000000002</v>
      </c>
      <c r="F575" s="48">
        <v>0.65</v>
      </c>
      <c r="G575" s="43">
        <f>(F575-E575)*1440</f>
        <v>90</v>
      </c>
      <c r="H575" s="9" t="s">
        <v>1782</v>
      </c>
      <c r="I575" s="9" t="s">
        <v>1782</v>
      </c>
      <c r="J575" s="44">
        <v>54.04</v>
      </c>
      <c r="K575" s="60">
        <v>25.87</v>
      </c>
      <c r="L575" s="56">
        <v>23.57</v>
      </c>
      <c r="M575" s="14">
        <f>K575-L575</f>
        <v>2.3000000000000007</v>
      </c>
      <c r="N575" s="15">
        <f>IFERROR(M575/K575,0)</f>
        <v>8.8906068805566313E-2</v>
      </c>
      <c r="O575" s="14">
        <f>IFERROR(L575/J575,0)</f>
        <v>0.43615840118430793</v>
      </c>
      <c r="P575" s="14">
        <f>IFERROR(L575/G575,0)</f>
        <v>0.26188888888888889</v>
      </c>
      <c r="Q575" s="64">
        <v>1.6</v>
      </c>
    </row>
    <row r="576" spans="1:17" x14ac:dyDescent="0.3">
      <c r="A576" s="9" t="s">
        <v>1456</v>
      </c>
      <c r="B576" s="9" t="s">
        <v>18</v>
      </c>
      <c r="C576" s="9" t="s">
        <v>184</v>
      </c>
      <c r="D576" s="52">
        <v>46129</v>
      </c>
      <c r="E576" s="48">
        <v>0.65625</v>
      </c>
      <c r="F576" s="48">
        <v>0.67291666666666661</v>
      </c>
      <c r="G576" s="43">
        <f>(F576-E576)*1440</f>
        <v>23.999999999999915</v>
      </c>
      <c r="H576" s="9" t="s">
        <v>1783</v>
      </c>
      <c r="I576" s="9" t="s">
        <v>1784</v>
      </c>
      <c r="J576" s="44">
        <v>14.97</v>
      </c>
      <c r="K576" s="60">
        <v>7.95</v>
      </c>
      <c r="L576" s="56">
        <v>6.73</v>
      </c>
      <c r="M576" s="14">
        <f>K576-L576</f>
        <v>1.2199999999999998</v>
      </c>
      <c r="N576" s="15">
        <f>IFERROR(M576/K576,0)</f>
        <v>0.15345911949685531</v>
      </c>
      <c r="O576" s="14">
        <f>IFERROR(L576/J576,0)</f>
        <v>0.44956579826319304</v>
      </c>
      <c r="P576" s="14">
        <f>IFERROR(L576/G576,0)</f>
        <v>0.2804166666666677</v>
      </c>
    </row>
    <row r="577" spans="1:18" x14ac:dyDescent="0.3">
      <c r="A577" s="9" t="s">
        <v>1457</v>
      </c>
      <c r="B577" s="9" t="s">
        <v>18</v>
      </c>
      <c r="C577" s="9" t="s">
        <v>184</v>
      </c>
      <c r="D577" s="52">
        <v>46129</v>
      </c>
      <c r="E577" s="48">
        <v>0.67986111111111114</v>
      </c>
      <c r="F577" s="48">
        <v>0.69374999999999998</v>
      </c>
      <c r="G577" s="43">
        <f>(F577-E577)*1440</f>
        <v>19.999999999999929</v>
      </c>
      <c r="H577" s="9" t="s">
        <v>1785</v>
      </c>
      <c r="I577" s="9" t="s">
        <v>829</v>
      </c>
      <c r="J577" s="44">
        <v>20.81</v>
      </c>
      <c r="K577" s="60">
        <v>14.73</v>
      </c>
      <c r="L577" s="56">
        <v>10.97</v>
      </c>
      <c r="M577" s="14">
        <f>K577-L577</f>
        <v>3.76</v>
      </c>
      <c r="N577" s="15">
        <f>IFERROR(M577/K577,0)</f>
        <v>0.25526137135098437</v>
      </c>
      <c r="O577" s="14">
        <f>IFERROR(L577/J577,0)</f>
        <v>0.52715040845747241</v>
      </c>
      <c r="P577" s="14">
        <f>IFERROR(L577/G577,0)</f>
        <v>0.54850000000000199</v>
      </c>
    </row>
    <row r="578" spans="1:18" x14ac:dyDescent="0.3">
      <c r="A578" s="9" t="s">
        <v>1470</v>
      </c>
      <c r="B578" s="9" t="s">
        <v>26</v>
      </c>
      <c r="C578" s="9" t="s">
        <v>26</v>
      </c>
      <c r="D578" s="52">
        <v>46129</v>
      </c>
      <c r="E578" s="48">
        <v>0.83958333333333324</v>
      </c>
      <c r="F578" s="48">
        <v>0.85069444444444453</v>
      </c>
      <c r="G578" s="43">
        <f>(F578-E578)*1440</f>
        <v>16.000000000000263</v>
      </c>
      <c r="H578" s="9" t="s">
        <v>1799</v>
      </c>
      <c r="I578" s="9" t="s">
        <v>1800</v>
      </c>
      <c r="J578" s="44">
        <v>12.3</v>
      </c>
      <c r="K578" s="60">
        <v>6.76</v>
      </c>
      <c r="L578" s="56">
        <v>7.24</v>
      </c>
      <c r="M578" s="14">
        <f>K578-L578</f>
        <v>-0.48000000000000043</v>
      </c>
      <c r="N578" s="15">
        <f>IFERROR(M578/K578,0)</f>
        <v>-7.1005917159763385E-2</v>
      </c>
      <c r="O578" s="14">
        <f>IFERROR(L578/J578,0)</f>
        <v>0.58861788617886179</v>
      </c>
      <c r="P578" s="14">
        <f>IFERROR(L578/G578,0)</f>
        <v>0.45249999999999257</v>
      </c>
    </row>
    <row r="579" spans="1:18" x14ac:dyDescent="0.3">
      <c r="A579" s="9" t="s">
        <v>1467</v>
      </c>
      <c r="B579" s="9" t="s">
        <v>26</v>
      </c>
      <c r="C579" s="9" t="s">
        <v>27</v>
      </c>
      <c r="D579" s="52">
        <v>46129</v>
      </c>
      <c r="E579" s="48">
        <v>0.77222222222222225</v>
      </c>
      <c r="F579" s="48">
        <v>0.78680555555555554</v>
      </c>
      <c r="G579" s="43">
        <f>(F579-E579)*1440</f>
        <v>20.999999999999925</v>
      </c>
      <c r="H579" s="9" t="s">
        <v>214</v>
      </c>
      <c r="I579" s="9" t="s">
        <v>1795</v>
      </c>
      <c r="J579" s="44">
        <v>8.9</v>
      </c>
      <c r="K579" s="60">
        <v>7.22</v>
      </c>
      <c r="L579" s="56">
        <v>5.41</v>
      </c>
      <c r="M579" s="14">
        <f>K579-L579</f>
        <v>1.8099999999999996</v>
      </c>
      <c r="N579" s="15">
        <f>IFERROR(M579/K579,0)</f>
        <v>0.25069252077562321</v>
      </c>
      <c r="O579" s="14">
        <f>IFERROR(L579/J579,0)</f>
        <v>0.60786516853932582</v>
      </c>
      <c r="P579" s="14">
        <f>IFERROR(L579/G579,0)</f>
        <v>0.25761904761904852</v>
      </c>
    </row>
    <row r="580" spans="1:18" x14ac:dyDescent="0.3">
      <c r="A580" s="9" t="s">
        <v>1462</v>
      </c>
      <c r="B580" s="9" t="s">
        <v>18</v>
      </c>
      <c r="C580" s="9" t="s">
        <v>196</v>
      </c>
      <c r="D580" s="52">
        <v>46129</v>
      </c>
      <c r="E580" s="48">
        <v>0.85763888888888884</v>
      </c>
      <c r="F580" s="48">
        <v>0.86597222222222225</v>
      </c>
      <c r="G580" s="43">
        <f>(F580-E580)*1440</f>
        <v>12.000000000000117</v>
      </c>
      <c r="H580" s="9" t="s">
        <v>1770</v>
      </c>
      <c r="I580" s="9" t="s">
        <v>1225</v>
      </c>
      <c r="J580" s="44">
        <v>6.63</v>
      </c>
      <c r="K580" s="60">
        <v>5.99</v>
      </c>
      <c r="L580" s="56">
        <v>4.0599999999999996</v>
      </c>
      <c r="M580" s="14">
        <f>K580-L580</f>
        <v>1.9300000000000006</v>
      </c>
      <c r="N580" s="15">
        <f>IFERROR(M580/K580,0)</f>
        <v>0.32220367278798007</v>
      </c>
      <c r="O580" s="14">
        <f>IFERROR(L580/J580,0)</f>
        <v>0.61236802413272995</v>
      </c>
      <c r="P580" s="14">
        <f>IFERROR(L580/G580,0)</f>
        <v>0.33833333333332999</v>
      </c>
    </row>
    <row r="581" spans="1:18" x14ac:dyDescent="0.3">
      <c r="A581" s="9" t="s">
        <v>1466</v>
      </c>
      <c r="B581" s="9" t="s">
        <v>26</v>
      </c>
      <c r="C581" s="9" t="s">
        <v>27</v>
      </c>
      <c r="D581" s="52">
        <v>46129</v>
      </c>
      <c r="E581" s="48">
        <v>0.57777777777777783</v>
      </c>
      <c r="F581" s="48">
        <v>0.58611111111111114</v>
      </c>
      <c r="G581" s="43">
        <f>(F581-E581)*1440</f>
        <v>11.999999999999957</v>
      </c>
      <c r="H581" s="9" t="s">
        <v>1793</v>
      </c>
      <c r="I581" s="9" t="s">
        <v>1794</v>
      </c>
      <c r="J581" s="44">
        <v>5.8</v>
      </c>
      <c r="K581" s="60">
        <v>4.8499999999999996</v>
      </c>
      <c r="L581" s="56">
        <v>3.64</v>
      </c>
      <c r="M581" s="14">
        <f>K581-L581</f>
        <v>1.2099999999999995</v>
      </c>
      <c r="N581" s="15">
        <f>IFERROR(M581/K581,0)</f>
        <v>0.24948453608247415</v>
      </c>
      <c r="O581" s="14">
        <f>IFERROR(L581/J581,0)</f>
        <v>0.62758620689655176</v>
      </c>
      <c r="P581" s="14">
        <f>IFERROR(L581/G581,0)</f>
        <v>0.3033333333333344</v>
      </c>
    </row>
    <row r="582" spans="1:18" x14ac:dyDescent="0.3">
      <c r="A582" s="9" t="s">
        <v>1468</v>
      </c>
      <c r="B582" s="9" t="s">
        <v>26</v>
      </c>
      <c r="C582" s="9" t="s">
        <v>26</v>
      </c>
      <c r="D582" s="52">
        <v>46129</v>
      </c>
      <c r="E582" s="48">
        <v>0.80625000000000002</v>
      </c>
      <c r="F582" s="48">
        <v>0.81527777777777777</v>
      </c>
      <c r="G582" s="43">
        <f>(F582-E582)*1440</f>
        <v>12.999999999999954</v>
      </c>
      <c r="H582" s="9" t="s">
        <v>1796</v>
      </c>
      <c r="I582" s="9" t="s">
        <v>1797</v>
      </c>
      <c r="J582" s="44">
        <v>7.8</v>
      </c>
      <c r="K582" s="60">
        <v>5.88</v>
      </c>
      <c r="L582" s="56">
        <v>5.51</v>
      </c>
      <c r="M582" s="14">
        <f>K582-L582</f>
        <v>0.37000000000000011</v>
      </c>
      <c r="N582" s="15">
        <f>IFERROR(M582/K582,0)</f>
        <v>6.2925170068027225E-2</v>
      </c>
      <c r="O582" s="14">
        <f>IFERROR(L582/J582,0)</f>
        <v>0.70641025641025645</v>
      </c>
      <c r="P582" s="14">
        <f>IFERROR(L582/G582,0)</f>
        <v>0.42384615384615532</v>
      </c>
    </row>
    <row r="583" spans="1:18" x14ac:dyDescent="0.3">
      <c r="A583" s="9" t="s">
        <v>1460</v>
      </c>
      <c r="B583" s="9" t="s">
        <v>18</v>
      </c>
      <c r="C583" s="9" t="s">
        <v>184</v>
      </c>
      <c r="D583" s="52">
        <v>46129</v>
      </c>
      <c r="E583" s="48">
        <v>0.75069444444444444</v>
      </c>
      <c r="F583" s="48">
        <v>0.76458333333333339</v>
      </c>
      <c r="G583" s="43">
        <f>(F583-E583)*1440</f>
        <v>20.000000000000089</v>
      </c>
      <c r="H583" s="9" t="s">
        <v>1788</v>
      </c>
      <c r="I583" s="9" t="s">
        <v>234</v>
      </c>
      <c r="J583" s="44">
        <v>9.27</v>
      </c>
      <c r="K583" s="60">
        <v>9.94</v>
      </c>
      <c r="L583" s="56">
        <v>9.5399999999999991</v>
      </c>
      <c r="M583" s="14">
        <f>K583-L583</f>
        <v>0.40000000000000036</v>
      </c>
      <c r="N583" s="15">
        <f>IFERROR(M583/K583,0)</f>
        <v>4.0241448692152952E-2</v>
      </c>
      <c r="O583" s="14">
        <f>IFERROR(L583/J583,0)</f>
        <v>1.029126213592233</v>
      </c>
      <c r="P583" s="14">
        <f>IFERROR(L583/G583,0)</f>
        <v>0.47699999999999781</v>
      </c>
    </row>
    <row r="584" spans="1:18" x14ac:dyDescent="0.3">
      <c r="A584" s="9" t="s">
        <v>1458</v>
      </c>
      <c r="B584" s="9" t="s">
        <v>538</v>
      </c>
      <c r="C584" s="9" t="s">
        <v>184</v>
      </c>
      <c r="D584" s="52">
        <v>46129</v>
      </c>
      <c r="E584" s="48">
        <v>0.71319444444444446</v>
      </c>
      <c r="F584" s="48">
        <v>0.71875</v>
      </c>
      <c r="G584" s="43">
        <f>(F584-E584)*1440</f>
        <v>7.9999999999999716</v>
      </c>
      <c r="H584" s="9" t="s">
        <v>829</v>
      </c>
      <c r="I584" s="9" t="s">
        <v>1786</v>
      </c>
      <c r="J584" s="44">
        <v>3.09</v>
      </c>
      <c r="K584" s="60">
        <v>4.96</v>
      </c>
      <c r="L584" s="56">
        <v>3.22</v>
      </c>
      <c r="M584" s="14">
        <f>K584-L584</f>
        <v>1.7399999999999998</v>
      </c>
      <c r="N584" s="15">
        <f>IFERROR(M584/K584,0)</f>
        <v>0.35080645161290319</v>
      </c>
      <c r="O584" s="14">
        <f>IFERROR(L584/J584,0)</f>
        <v>1.0420711974110033</v>
      </c>
      <c r="P584" s="14">
        <f>IFERROR(L584/G584,0)</f>
        <v>0.40250000000000147</v>
      </c>
    </row>
    <row r="585" spans="1:18" x14ac:dyDescent="0.3">
      <c r="A585" s="9" t="s">
        <v>1454</v>
      </c>
      <c r="B585" s="9" t="s">
        <v>18</v>
      </c>
      <c r="C585" s="9" t="s">
        <v>184</v>
      </c>
      <c r="D585" s="52">
        <v>46129</v>
      </c>
      <c r="E585" s="48">
        <v>0.55972222222222223</v>
      </c>
      <c r="F585" s="48">
        <v>0.56527777777777777</v>
      </c>
      <c r="G585" s="43">
        <f>(F585-E585)*1440</f>
        <v>7.9999999999999716</v>
      </c>
      <c r="H585" s="9" t="s">
        <v>1781</v>
      </c>
      <c r="I585" s="9" t="s">
        <v>834</v>
      </c>
      <c r="J585" s="44">
        <v>2.75</v>
      </c>
      <c r="K585" s="60">
        <v>4.95</v>
      </c>
      <c r="L585" s="56">
        <v>3.38</v>
      </c>
      <c r="M585" s="14">
        <f>K585-L585</f>
        <v>1.5700000000000003</v>
      </c>
      <c r="N585" s="15">
        <f>IFERROR(M585/K585,0)</f>
        <v>0.31717171717171722</v>
      </c>
      <c r="O585" s="14">
        <f>IFERROR(L585/J585,0)</f>
        <v>1.229090909090909</v>
      </c>
      <c r="P585" s="14">
        <f>IFERROR(L585/G585,0)</f>
        <v>0.42250000000000149</v>
      </c>
    </row>
    <row r="586" spans="1:18" x14ac:dyDescent="0.3">
      <c r="A586" s="9" t="s">
        <v>1469</v>
      </c>
      <c r="B586" s="9" t="s">
        <v>26</v>
      </c>
      <c r="C586" s="9" t="s">
        <v>27</v>
      </c>
      <c r="D586" s="52">
        <v>46129</v>
      </c>
      <c r="E586" s="48">
        <v>0.82986111111111116</v>
      </c>
      <c r="F586" s="48">
        <v>0.83680555555555547</v>
      </c>
      <c r="G586" s="43">
        <f>(F586-E586)*1440</f>
        <v>9.9999999999998046</v>
      </c>
      <c r="H586" s="9" t="s">
        <v>619</v>
      </c>
      <c r="I586" s="9" t="s">
        <v>1798</v>
      </c>
      <c r="J586" s="44">
        <v>3.4</v>
      </c>
      <c r="K586" s="60">
        <v>6.36</v>
      </c>
      <c r="L586" s="56">
        <v>4.7699999999999996</v>
      </c>
      <c r="M586" s="14">
        <f>K586-L586</f>
        <v>1.5900000000000007</v>
      </c>
      <c r="N586" s="15">
        <f>IFERROR(M586/K586,0)</f>
        <v>0.25000000000000011</v>
      </c>
      <c r="O586" s="14">
        <f>IFERROR(L586/J586,0)</f>
        <v>1.4029411764705881</v>
      </c>
      <c r="P586" s="14">
        <f>IFERROR(L586/G586,0)</f>
        <v>0.47700000000000931</v>
      </c>
      <c r="R586" s="57">
        <v>2.12</v>
      </c>
    </row>
    <row r="587" spans="1:18" x14ac:dyDescent="0.3">
      <c r="A587" s="9" t="s">
        <v>1459</v>
      </c>
      <c r="B587" s="9" t="s">
        <v>538</v>
      </c>
      <c r="C587" s="9" t="s">
        <v>230</v>
      </c>
      <c r="D587" s="52">
        <v>46129</v>
      </c>
      <c r="E587" s="48">
        <v>0.72152777777777777</v>
      </c>
      <c r="F587" s="48">
        <v>0.74375000000000002</v>
      </c>
      <c r="G587" s="43">
        <f>(F587-E587)*1440</f>
        <v>32.000000000000043</v>
      </c>
      <c r="H587" s="9" t="s">
        <v>1787</v>
      </c>
      <c r="I587" s="9" t="s">
        <v>838</v>
      </c>
      <c r="J587" s="44">
        <v>6.53</v>
      </c>
      <c r="K587" s="60">
        <v>12.83</v>
      </c>
      <c r="L587" s="56">
        <v>9.8000000000000007</v>
      </c>
      <c r="M587" s="14">
        <f>K587-L587</f>
        <v>3.0299999999999994</v>
      </c>
      <c r="N587" s="15">
        <f>IFERROR(M587/K587,0)</f>
        <v>0.23616523772408413</v>
      </c>
      <c r="O587" s="14">
        <f>IFERROR(L587/J587,0)</f>
        <v>1.5007656967840735</v>
      </c>
      <c r="P587" s="14">
        <f>IFERROR(L587/G587,0)</f>
        <v>0.30624999999999963</v>
      </c>
    </row>
    <row r="588" spans="1:18" x14ac:dyDescent="0.3">
      <c r="A588" s="9" t="s">
        <v>1461</v>
      </c>
      <c r="B588" s="9" t="s">
        <v>18</v>
      </c>
      <c r="C588" s="9" t="s">
        <v>184</v>
      </c>
      <c r="D588" s="52">
        <v>46129</v>
      </c>
      <c r="E588" s="48">
        <v>0.8125</v>
      </c>
      <c r="F588" s="48">
        <v>0.81874999999999998</v>
      </c>
      <c r="G588" s="43">
        <f>(F588-E588)*1440</f>
        <v>8.999999999999968</v>
      </c>
      <c r="H588" s="9" t="s">
        <v>1256</v>
      </c>
      <c r="I588" s="9" t="s">
        <v>1789</v>
      </c>
      <c r="J588" s="44">
        <v>2.1800000000000002</v>
      </c>
      <c r="K588" s="60">
        <v>4.9400000000000004</v>
      </c>
      <c r="L588" s="56">
        <v>3.3</v>
      </c>
      <c r="M588" s="14">
        <f>K588-L588</f>
        <v>1.6400000000000006</v>
      </c>
      <c r="N588" s="15">
        <f>IFERROR(M588/K588,0)</f>
        <v>0.33198380566801627</v>
      </c>
      <c r="O588" s="14">
        <f>IFERROR(L588/J588,0)</f>
        <v>1.5137614678899081</v>
      </c>
      <c r="P588" s="14">
        <f>IFERROR(L588/G588,0)</f>
        <v>0.36666666666666797</v>
      </c>
    </row>
    <row r="589" spans="1:18" x14ac:dyDescent="0.3">
      <c r="A589" s="9" t="s">
        <v>1453</v>
      </c>
      <c r="B589" s="9" t="s">
        <v>538</v>
      </c>
      <c r="C589" s="9" t="s">
        <v>184</v>
      </c>
      <c r="D589" s="52">
        <v>46129</v>
      </c>
      <c r="E589" s="48">
        <v>0.55277777777777781</v>
      </c>
      <c r="F589" s="48">
        <v>0.55625000000000002</v>
      </c>
      <c r="G589" s="43">
        <f>(F589-E589)*1440</f>
        <v>4.9999999999999822</v>
      </c>
      <c r="H589" s="9" t="s">
        <v>1779</v>
      </c>
      <c r="I589" s="9" t="s">
        <v>1780</v>
      </c>
      <c r="J589" s="44">
        <v>2.13</v>
      </c>
      <c r="K589" s="60">
        <v>4.93</v>
      </c>
      <c r="L589" s="56">
        <v>3.38</v>
      </c>
      <c r="M589" s="14">
        <f>K589-L589</f>
        <v>1.5499999999999998</v>
      </c>
      <c r="N589" s="15">
        <f>IFERROR(M589/K589,0)</f>
        <v>0.31440162271805272</v>
      </c>
      <c r="O589" s="14">
        <f>IFERROR(L589/J589,0)</f>
        <v>1.5868544600938967</v>
      </c>
      <c r="P589" s="14">
        <f>IFERROR(L589/G589,0)</f>
        <v>0.67600000000000238</v>
      </c>
    </row>
    <row r="590" spans="1:18" x14ac:dyDescent="0.3">
      <c r="A590" s="9" t="s">
        <v>1464</v>
      </c>
      <c r="B590" s="9" t="s">
        <v>18</v>
      </c>
      <c r="C590" s="9" t="s">
        <v>184</v>
      </c>
      <c r="D590" s="52">
        <v>46129</v>
      </c>
      <c r="E590" s="48">
        <v>0.88680555555555562</v>
      </c>
      <c r="F590" s="48">
        <v>0.8881944444444444</v>
      </c>
      <c r="G590" s="43">
        <f>(F590-E590)*1440</f>
        <v>1.999999999999833</v>
      </c>
      <c r="H590" s="9" t="s">
        <v>1790</v>
      </c>
      <c r="I590" s="9" t="s">
        <v>1791</v>
      </c>
      <c r="J590" s="44">
        <v>0.72</v>
      </c>
      <c r="K590" s="60">
        <v>3.52</v>
      </c>
      <c r="L590" s="56">
        <v>3.15</v>
      </c>
      <c r="M590" s="14">
        <f>K590-L590</f>
        <v>0.37000000000000011</v>
      </c>
      <c r="N590" s="15">
        <f>IFERROR(M590/K590,0)</f>
        <v>0.1051136363636364</v>
      </c>
      <c r="O590" s="14">
        <f>IFERROR(L590/J590,0)</f>
        <v>4.375</v>
      </c>
      <c r="P590" s="14">
        <f>IFERROR(L590/G590,0)</f>
        <v>1.5750000000001314</v>
      </c>
    </row>
    <row r="591" spans="1:18" x14ac:dyDescent="0.3">
      <c r="A591" s="9" t="s">
        <v>1471</v>
      </c>
      <c r="B591" s="9" t="s">
        <v>26</v>
      </c>
      <c r="C591" s="9" t="s">
        <v>27</v>
      </c>
      <c r="D591" s="52">
        <v>46130</v>
      </c>
      <c r="E591" s="48">
        <v>0.48194444444444445</v>
      </c>
      <c r="F591" s="48">
        <v>0.49513888888888885</v>
      </c>
      <c r="G591" s="43">
        <f>(F591-E591)*1440</f>
        <v>18.999999999999932</v>
      </c>
      <c r="H591" s="9" t="s">
        <v>661</v>
      </c>
      <c r="I591" s="9" t="s">
        <v>1801</v>
      </c>
      <c r="J591" s="44">
        <v>10.6</v>
      </c>
      <c r="K591" s="60">
        <v>6.92</v>
      </c>
      <c r="L591" s="56">
        <v>5.19</v>
      </c>
      <c r="M591" s="14">
        <f>K591-L591</f>
        <v>1.7299999999999995</v>
      </c>
      <c r="N591" s="15">
        <f>IFERROR(M591/K591,0)</f>
        <v>0.24999999999999994</v>
      </c>
      <c r="O591" s="14">
        <f>IFERROR(L591/J591,0)</f>
        <v>0.48962264150943402</v>
      </c>
      <c r="P591" s="14">
        <f>IFERROR(L591/G591,0)</f>
        <v>0.2731578947368431</v>
      </c>
    </row>
    <row r="592" spans="1:18" x14ac:dyDescent="0.3">
      <c r="A592" s="9" t="s">
        <v>1472</v>
      </c>
      <c r="B592" s="9" t="s">
        <v>26</v>
      </c>
      <c r="C592" s="9" t="s">
        <v>26</v>
      </c>
      <c r="D592" s="52">
        <v>46130</v>
      </c>
      <c r="E592" s="48">
        <v>0.58194444444444449</v>
      </c>
      <c r="F592" s="48">
        <v>0.60416666666666663</v>
      </c>
      <c r="G592" s="43">
        <f>(F592-E592)*1440</f>
        <v>31.999999999999886</v>
      </c>
      <c r="H592" s="9" t="s">
        <v>755</v>
      </c>
      <c r="I592" s="9" t="s">
        <v>1802</v>
      </c>
      <c r="J592" s="44">
        <v>28.4</v>
      </c>
      <c r="K592" s="60">
        <v>14.51</v>
      </c>
      <c r="L592" s="56">
        <v>14</v>
      </c>
      <c r="M592" s="14">
        <f>K592-L592</f>
        <v>0.50999999999999979</v>
      </c>
      <c r="N592" s="15">
        <f>IFERROR(M592/K592,0)</f>
        <v>3.5148173673328724E-2</v>
      </c>
      <c r="O592" s="14">
        <f>IFERROR(L592/J592,0)</f>
        <v>0.49295774647887325</v>
      </c>
      <c r="P592" s="14">
        <f>IFERROR(L592/G592,0)</f>
        <v>0.43750000000000155</v>
      </c>
      <c r="Q592" s="64">
        <v>1.6</v>
      </c>
    </row>
    <row r="593" spans="1:19" x14ac:dyDescent="0.3">
      <c r="A593" s="9" t="s">
        <v>1473</v>
      </c>
      <c r="B593" s="9" t="s">
        <v>26</v>
      </c>
      <c r="C593" s="9" t="s">
        <v>27</v>
      </c>
      <c r="D593" s="52">
        <v>46130</v>
      </c>
      <c r="E593" s="48">
        <v>0.66319444444444442</v>
      </c>
      <c r="F593" s="48">
        <v>0.67569444444444438</v>
      </c>
      <c r="G593" s="43">
        <f>(F593-E593)*1440</f>
        <v>17.999999999999936</v>
      </c>
      <c r="H593" s="9" t="s">
        <v>1803</v>
      </c>
      <c r="I593" s="9" t="s">
        <v>584</v>
      </c>
      <c r="J593" s="44">
        <v>9.8000000000000007</v>
      </c>
      <c r="K593" s="60">
        <v>6.6</v>
      </c>
      <c r="L593" s="56">
        <v>4.95</v>
      </c>
      <c r="M593" s="14">
        <f>K593-L593</f>
        <v>1.6499999999999995</v>
      </c>
      <c r="N593" s="15">
        <f>IFERROR(M593/K593,0)</f>
        <v>0.24999999999999994</v>
      </c>
      <c r="O593" s="14">
        <f>IFERROR(L593/J593,0)</f>
        <v>0.50510204081632648</v>
      </c>
      <c r="P593" s="14">
        <f>IFERROR(L593/G593,0)</f>
        <v>0.27500000000000097</v>
      </c>
    </row>
    <row r="594" spans="1:19" x14ac:dyDescent="0.3">
      <c r="A594" s="9" t="s">
        <v>1487</v>
      </c>
      <c r="B594" s="9" t="s">
        <v>18</v>
      </c>
      <c r="C594" s="9" t="s">
        <v>184</v>
      </c>
      <c r="D594" s="52">
        <v>46130</v>
      </c>
      <c r="E594" s="48">
        <v>0.94166666666666676</v>
      </c>
      <c r="F594" s="48">
        <v>0.95972222222222225</v>
      </c>
      <c r="G594" s="43">
        <f>(F594-E594)*1440</f>
        <v>25.999999999999908</v>
      </c>
      <c r="H594" s="9" t="s">
        <v>1820</v>
      </c>
      <c r="I594" s="9" t="s">
        <v>1821</v>
      </c>
      <c r="J594" s="44">
        <v>12.61</v>
      </c>
      <c r="K594" s="60">
        <v>9.9499999999999993</v>
      </c>
      <c r="L594" s="56">
        <v>6.47</v>
      </c>
      <c r="M594" s="14">
        <f>K594-L594</f>
        <v>3.4799999999999995</v>
      </c>
      <c r="N594" s="15">
        <f>IFERROR(M594/K594,0)</f>
        <v>0.34974874371859294</v>
      </c>
      <c r="O594" s="14">
        <f>IFERROR(L594/J594,0)</f>
        <v>0.51308485329103881</v>
      </c>
      <c r="P594" s="14">
        <f>IFERROR(L594/G594,0)</f>
        <v>0.24884615384615472</v>
      </c>
      <c r="S594" s="61">
        <v>1</v>
      </c>
    </row>
    <row r="595" spans="1:19" x14ac:dyDescent="0.3">
      <c r="A595" s="9" t="s">
        <v>1475</v>
      </c>
      <c r="B595" s="9" t="s">
        <v>26</v>
      </c>
      <c r="C595" s="9" t="s">
        <v>27</v>
      </c>
      <c r="D595" s="52">
        <v>46130</v>
      </c>
      <c r="E595" s="48">
        <v>0.75694444444444453</v>
      </c>
      <c r="F595" s="48">
        <v>0.76666666666666661</v>
      </c>
      <c r="G595" s="43">
        <f>(F595-E595)*1440</f>
        <v>13.99999999999979</v>
      </c>
      <c r="H595" s="9" t="s">
        <v>1806</v>
      </c>
      <c r="I595" s="9" t="s">
        <v>569</v>
      </c>
      <c r="J595" s="44">
        <v>9.1999999999999993</v>
      </c>
      <c r="K595" s="60">
        <v>6.46</v>
      </c>
      <c r="L595" s="56">
        <v>4.84</v>
      </c>
      <c r="M595" s="14">
        <f>K595-L595</f>
        <v>1.62</v>
      </c>
      <c r="N595" s="15">
        <f>IFERROR(M595/K595,0)</f>
        <v>0.25077399380804954</v>
      </c>
      <c r="O595" s="14">
        <f>IFERROR(L595/J595,0)</f>
        <v>0.5260869565217392</v>
      </c>
      <c r="P595" s="14">
        <f>IFERROR(L595/G595,0)</f>
        <v>0.34571428571429086</v>
      </c>
    </row>
    <row r="596" spans="1:19" x14ac:dyDescent="0.3">
      <c r="A596" s="9" t="s">
        <v>1474</v>
      </c>
      <c r="B596" s="9" t="s">
        <v>26</v>
      </c>
      <c r="C596" s="9" t="s">
        <v>26</v>
      </c>
      <c r="D596" s="52">
        <v>46130</v>
      </c>
      <c r="E596" s="48">
        <v>0.68958333333333333</v>
      </c>
      <c r="F596" s="48">
        <v>0.70000000000000007</v>
      </c>
      <c r="G596" s="43">
        <f>(F596-E596)*1440</f>
        <v>15.000000000000107</v>
      </c>
      <c r="H596" s="9" t="s">
        <v>1804</v>
      </c>
      <c r="I596" s="9" t="s">
        <v>1805</v>
      </c>
      <c r="J596" s="44">
        <v>7</v>
      </c>
      <c r="K596" s="60">
        <v>3.61</v>
      </c>
      <c r="L596" s="56">
        <v>3.87</v>
      </c>
      <c r="M596" s="14">
        <f>K596-L596</f>
        <v>-0.26000000000000023</v>
      </c>
      <c r="N596" s="15">
        <f>IFERROR(M596/K596,0)</f>
        <v>-7.2022160664820006E-2</v>
      </c>
      <c r="O596" s="14">
        <f>IFERROR(L596/J596,0)</f>
        <v>0.55285714285714282</v>
      </c>
      <c r="P596" s="14">
        <f>IFERROR(L596/G596,0)</f>
        <v>0.25799999999999818</v>
      </c>
    </row>
    <row r="597" spans="1:19" x14ac:dyDescent="0.3">
      <c r="A597" s="9" t="s">
        <v>1483</v>
      </c>
      <c r="B597" s="9" t="s">
        <v>18</v>
      </c>
      <c r="C597" s="9" t="s">
        <v>184</v>
      </c>
      <c r="D597" s="52">
        <v>46130</v>
      </c>
      <c r="E597" s="48">
        <v>0.73611111111111116</v>
      </c>
      <c r="F597" s="48">
        <v>0.75208333333333333</v>
      </c>
      <c r="G597" s="43">
        <f>(F597-E597)*1440</f>
        <v>22.999999999999918</v>
      </c>
      <c r="H597" s="9" t="s">
        <v>1816</v>
      </c>
      <c r="I597" s="9" t="s">
        <v>1817</v>
      </c>
      <c r="J597" s="44">
        <v>11.51</v>
      </c>
      <c r="K597" s="60">
        <v>9.94</v>
      </c>
      <c r="L597" s="56">
        <v>6.46</v>
      </c>
      <c r="M597" s="14">
        <f>K597-L597</f>
        <v>3.4799999999999995</v>
      </c>
      <c r="N597" s="15">
        <f>IFERROR(M597/K597,0)</f>
        <v>0.35010060362173034</v>
      </c>
      <c r="O597" s="14">
        <f>IFERROR(L597/J597,0)</f>
        <v>0.56125108601216334</v>
      </c>
      <c r="P597" s="14">
        <f>IFERROR(L597/G597,0)</f>
        <v>0.28086956521739231</v>
      </c>
    </row>
    <row r="598" spans="1:19" x14ac:dyDescent="0.3">
      <c r="A598" s="9" t="s">
        <v>1478</v>
      </c>
      <c r="B598" s="9" t="s">
        <v>26</v>
      </c>
      <c r="C598" s="9" t="s">
        <v>27</v>
      </c>
      <c r="D598" s="52">
        <v>46130</v>
      </c>
      <c r="E598" s="48">
        <v>0.86249999999999993</v>
      </c>
      <c r="F598" s="48">
        <v>0.87777777777777777</v>
      </c>
      <c r="G598" s="43">
        <f>(F598-E598)*1440</f>
        <v>22.000000000000082</v>
      </c>
      <c r="H598" s="9" t="s">
        <v>1810</v>
      </c>
      <c r="I598" s="9" t="s">
        <v>1809</v>
      </c>
      <c r="J598" s="44">
        <v>17.100000000000001</v>
      </c>
      <c r="K598" s="60">
        <v>12.92</v>
      </c>
      <c r="L598" s="56">
        <v>9.7899999999999991</v>
      </c>
      <c r="M598" s="14">
        <f>K598-L598</f>
        <v>3.1300000000000008</v>
      </c>
      <c r="N598" s="15">
        <f>IFERROR(M598/K598,0)</f>
        <v>0.24226006191950469</v>
      </c>
      <c r="O598" s="14">
        <f>IFERROR(L598/J598,0)</f>
        <v>0.57251461988304087</v>
      </c>
      <c r="P598" s="14">
        <f>IFERROR(L598/G598,0)</f>
        <v>0.44499999999999829</v>
      </c>
      <c r="Q598" s="64">
        <v>0.4</v>
      </c>
      <c r="R598" s="57">
        <v>2.19</v>
      </c>
    </row>
    <row r="599" spans="1:19" x14ac:dyDescent="0.3">
      <c r="A599" s="9" t="s">
        <v>1476</v>
      </c>
      <c r="B599" s="9" t="s">
        <v>26</v>
      </c>
      <c r="C599" s="9" t="s">
        <v>26</v>
      </c>
      <c r="D599" s="52">
        <v>46130</v>
      </c>
      <c r="E599" s="48">
        <v>0.76944444444444438</v>
      </c>
      <c r="F599" s="48">
        <v>0.77847222222222223</v>
      </c>
      <c r="G599" s="43">
        <f>(F599-E599)*1440</f>
        <v>13.000000000000114</v>
      </c>
      <c r="H599" s="9" t="s">
        <v>214</v>
      </c>
      <c r="I599" s="9" t="s">
        <v>1807</v>
      </c>
      <c r="J599" s="44">
        <v>7.2</v>
      </c>
      <c r="K599" s="60">
        <v>4.28</v>
      </c>
      <c r="L599" s="56">
        <v>4.59</v>
      </c>
      <c r="M599" s="14">
        <f>K599-L599</f>
        <v>-0.30999999999999961</v>
      </c>
      <c r="N599" s="15">
        <f>IFERROR(M599/K599,0)</f>
        <v>-7.2429906542055986E-2</v>
      </c>
      <c r="O599" s="14">
        <f>IFERROR(L599/J599,0)</f>
        <v>0.63749999999999996</v>
      </c>
      <c r="P599" s="14">
        <f>IFERROR(L599/G599,0)</f>
        <v>0.35307692307691996</v>
      </c>
    </row>
    <row r="600" spans="1:19" x14ac:dyDescent="0.3">
      <c r="A600" s="9" t="s">
        <v>1477</v>
      </c>
      <c r="B600" s="9" t="s">
        <v>26</v>
      </c>
      <c r="C600" s="9" t="s">
        <v>27</v>
      </c>
      <c r="D600" s="52">
        <v>46130</v>
      </c>
      <c r="E600" s="48">
        <v>0.85</v>
      </c>
      <c r="F600" s="48">
        <v>0.85902777777777783</v>
      </c>
      <c r="G600" s="43">
        <f>(F600-E600)*1440</f>
        <v>13.000000000000114</v>
      </c>
      <c r="H600" s="9" t="s">
        <v>242</v>
      </c>
      <c r="I600" s="9" t="s">
        <v>1808</v>
      </c>
      <c r="J600" s="44">
        <v>8.9</v>
      </c>
      <c r="K600" s="60">
        <v>9.06</v>
      </c>
      <c r="L600" s="56">
        <v>6.79</v>
      </c>
      <c r="M600" s="14">
        <f>K600-L600</f>
        <v>2.2700000000000005</v>
      </c>
      <c r="N600" s="15">
        <f>IFERROR(M600/K600,0)</f>
        <v>0.25055187637969101</v>
      </c>
      <c r="O600" s="14">
        <f>IFERROR(L600/J600,0)</f>
        <v>0.76292134831460667</v>
      </c>
      <c r="P600" s="14">
        <f>IFERROR(L600/G600,0)</f>
        <v>0.5223076923076877</v>
      </c>
      <c r="R600" s="57">
        <v>3.06</v>
      </c>
    </row>
    <row r="601" spans="1:19" x14ac:dyDescent="0.3">
      <c r="A601" s="9" t="s">
        <v>1486</v>
      </c>
      <c r="B601" s="9" t="s">
        <v>18</v>
      </c>
      <c r="C601" s="9" t="s">
        <v>196</v>
      </c>
      <c r="D601" s="52">
        <v>46130</v>
      </c>
      <c r="E601" s="48">
        <v>0.88680555555555562</v>
      </c>
      <c r="F601" s="48">
        <v>0.8930555555555556</v>
      </c>
      <c r="G601" s="43">
        <f>(F601-E601)*1440</f>
        <v>8.999999999999968</v>
      </c>
      <c r="H601" s="9" t="s">
        <v>1819</v>
      </c>
      <c r="I601" s="9" t="s">
        <v>1120</v>
      </c>
      <c r="J601" s="44">
        <v>5.95</v>
      </c>
      <c r="K601" s="60">
        <v>6.11</v>
      </c>
      <c r="L601" s="56">
        <v>4.84</v>
      </c>
      <c r="M601" s="14">
        <f>K601-L601</f>
        <v>1.2700000000000005</v>
      </c>
      <c r="N601" s="15">
        <f>IFERROR(M601/K601,0)</f>
        <v>0.20785597381342069</v>
      </c>
      <c r="O601" s="14">
        <f>IFERROR(L601/J601,0)</f>
        <v>0.8134453781512605</v>
      </c>
      <c r="P601" s="14">
        <f>IFERROR(L601/G601,0)</f>
        <v>0.53777777777777969</v>
      </c>
    </row>
    <row r="602" spans="1:19" x14ac:dyDescent="0.3">
      <c r="A602" s="9" t="s">
        <v>1482</v>
      </c>
      <c r="B602" s="9" t="s">
        <v>538</v>
      </c>
      <c r="C602" s="9" t="s">
        <v>196</v>
      </c>
      <c r="D602" s="52">
        <v>46130</v>
      </c>
      <c r="E602" s="48">
        <v>0.71388888888888891</v>
      </c>
      <c r="F602" s="48">
        <v>0.72638888888888886</v>
      </c>
      <c r="G602" s="43">
        <f>(F602-E602)*1440</f>
        <v>17.999999999999936</v>
      </c>
      <c r="H602" s="9" t="s">
        <v>1120</v>
      </c>
      <c r="I602" s="9" t="s">
        <v>1815</v>
      </c>
      <c r="J602" s="44">
        <v>9.15</v>
      </c>
      <c r="K602" s="60">
        <v>12.03</v>
      </c>
      <c r="L602" s="56">
        <v>8.43</v>
      </c>
      <c r="M602" s="14">
        <f>K602-L602</f>
        <v>3.5999999999999996</v>
      </c>
      <c r="N602" s="15">
        <f>IFERROR(M602/K602,0)</f>
        <v>0.29925187032418954</v>
      </c>
      <c r="O602" s="14">
        <f>IFERROR(L602/J602,0)</f>
        <v>0.92131147540983604</v>
      </c>
      <c r="P602" s="14">
        <f>IFERROR(L602/G602,0)</f>
        <v>0.46833333333333499</v>
      </c>
      <c r="S602" s="61">
        <v>2</v>
      </c>
    </row>
    <row r="603" spans="1:19" x14ac:dyDescent="0.3">
      <c r="A603" s="9" t="s">
        <v>1485</v>
      </c>
      <c r="B603" s="9" t="s">
        <v>538</v>
      </c>
      <c r="C603" s="9" t="s">
        <v>184</v>
      </c>
      <c r="D603" s="52">
        <v>46130</v>
      </c>
      <c r="E603" s="48">
        <v>0.81458333333333333</v>
      </c>
      <c r="F603" s="48">
        <v>0.8305555555555556</v>
      </c>
      <c r="G603" s="43">
        <f>(F603-E603)*1440</f>
        <v>23.000000000000078</v>
      </c>
      <c r="H603" s="9" t="s">
        <v>1740</v>
      </c>
      <c r="I603" s="9" t="s">
        <v>1818</v>
      </c>
      <c r="J603" s="44">
        <v>9.17</v>
      </c>
      <c r="K603" s="60">
        <v>8.9600000000000009</v>
      </c>
      <c r="L603" s="56">
        <v>8.7200000000000006</v>
      </c>
      <c r="M603" s="14">
        <f>K603-L603</f>
        <v>0.24000000000000021</v>
      </c>
      <c r="N603" s="15">
        <f>IFERROR(M603/K603,0)</f>
        <v>2.6785714285714309E-2</v>
      </c>
      <c r="O603" s="14">
        <f>IFERROR(L603/J603,0)</f>
        <v>0.95092693565976016</v>
      </c>
      <c r="P603" s="14">
        <f>IFERROR(L603/G603,0)</f>
        <v>0.37913043478260744</v>
      </c>
    </row>
    <row r="604" spans="1:19" x14ac:dyDescent="0.3">
      <c r="A604" s="9" t="s">
        <v>1484</v>
      </c>
      <c r="B604" s="9" t="s">
        <v>18</v>
      </c>
      <c r="C604" s="9" t="s">
        <v>184</v>
      </c>
      <c r="D604" s="52">
        <v>46130</v>
      </c>
      <c r="E604" s="48">
        <v>0.79375000000000007</v>
      </c>
      <c r="F604" s="48">
        <v>0.80486111111111114</v>
      </c>
      <c r="G604" s="43">
        <f>(F604-E604)*1440</f>
        <v>15.999999999999943</v>
      </c>
      <c r="H604" s="9" t="s">
        <v>1120</v>
      </c>
      <c r="I604" s="9" t="s">
        <v>566</v>
      </c>
      <c r="J604" s="44">
        <v>6.26</v>
      </c>
      <c r="K604" s="60">
        <v>9.02</v>
      </c>
      <c r="L604" s="56">
        <v>6.52</v>
      </c>
      <c r="M604" s="14">
        <f>K604-L604</f>
        <v>2.5</v>
      </c>
      <c r="N604" s="15">
        <f>IFERROR(M604/K604,0)</f>
        <v>0.27716186252771619</v>
      </c>
      <c r="O604" s="14">
        <f>IFERROR(L604/J604,0)</f>
        <v>1.0415335463258786</v>
      </c>
      <c r="P604" s="14">
        <f>IFERROR(L604/G604,0)</f>
        <v>0.40750000000000142</v>
      </c>
      <c r="S604" s="61">
        <v>1</v>
      </c>
    </row>
    <row r="605" spans="1:19" x14ac:dyDescent="0.3">
      <c r="A605" s="9" t="s">
        <v>1479</v>
      </c>
      <c r="B605" s="9" t="s">
        <v>26</v>
      </c>
      <c r="C605" s="9" t="s">
        <v>26</v>
      </c>
      <c r="D605" s="52">
        <v>46130</v>
      </c>
      <c r="E605" s="48">
        <v>0.88055555555555554</v>
      </c>
      <c r="F605" s="48">
        <v>0.88680555555555562</v>
      </c>
      <c r="G605" s="43">
        <f>(F605-E605)*1440</f>
        <v>9.0000000000001279</v>
      </c>
      <c r="H605" s="9" t="s">
        <v>1811</v>
      </c>
      <c r="I605" s="9" t="s">
        <v>1812</v>
      </c>
      <c r="J605" s="44">
        <v>3.7</v>
      </c>
      <c r="K605" s="60">
        <v>3.7</v>
      </c>
      <c r="L605" s="56">
        <v>3.96</v>
      </c>
      <c r="M605" s="14">
        <f>K605-L605</f>
        <v>-0.25999999999999979</v>
      </c>
      <c r="N605" s="15">
        <f>IFERROR(M605/K605,0)</f>
        <v>-7.0270270270270205E-2</v>
      </c>
      <c r="O605" s="14">
        <f>IFERROR(L605/J605,0)</f>
        <v>1.0702702702702702</v>
      </c>
      <c r="P605" s="14">
        <f>IFERROR(L605/G605,0)</f>
        <v>0.43999999999999373</v>
      </c>
      <c r="R605" s="57">
        <v>0.88</v>
      </c>
    </row>
    <row r="606" spans="1:19" x14ac:dyDescent="0.3">
      <c r="A606" s="9" t="s">
        <v>1480</v>
      </c>
      <c r="B606" s="9" t="s">
        <v>18</v>
      </c>
      <c r="C606" s="9" t="s">
        <v>184</v>
      </c>
      <c r="D606" s="52">
        <v>46130</v>
      </c>
      <c r="E606" s="48">
        <v>0.60555555555555551</v>
      </c>
      <c r="F606" s="48">
        <v>0.61111111111111105</v>
      </c>
      <c r="G606" s="43">
        <f>(F606-E606)*1440</f>
        <v>7.9999999999999716</v>
      </c>
      <c r="H606" s="9" t="s">
        <v>1813</v>
      </c>
      <c r="I606" s="9" t="s">
        <v>1120</v>
      </c>
      <c r="J606" s="44">
        <v>4.13</v>
      </c>
      <c r="K606" s="60">
        <v>5.27</v>
      </c>
      <c r="L606" s="56">
        <v>5.12</v>
      </c>
      <c r="M606" s="14">
        <f>K606-L606</f>
        <v>0.14999999999999947</v>
      </c>
      <c r="N606" s="15">
        <f>IFERROR(M606/K606,0)</f>
        <v>2.8462998102466695E-2</v>
      </c>
      <c r="O606" s="14">
        <f>IFERROR(L606/J606,0)</f>
        <v>1.2397094430992737</v>
      </c>
      <c r="P606" s="14">
        <f>IFERROR(L606/G606,0)</f>
        <v>0.64000000000000223</v>
      </c>
    </row>
    <row r="607" spans="1:19" x14ac:dyDescent="0.3">
      <c r="A607" s="9" t="s">
        <v>1481</v>
      </c>
      <c r="B607" s="9" t="s">
        <v>18</v>
      </c>
      <c r="C607" s="9" t="s">
        <v>196</v>
      </c>
      <c r="D607" s="52">
        <v>46130</v>
      </c>
      <c r="E607" s="48">
        <v>0.6743055555555556</v>
      </c>
      <c r="F607" s="48">
        <v>0.6791666666666667</v>
      </c>
      <c r="G607" s="43">
        <f>(F607-E607)*1440</f>
        <v>6.9999999999999751</v>
      </c>
      <c r="H607" s="9" t="s">
        <v>604</v>
      </c>
      <c r="I607" s="9" t="s">
        <v>1814</v>
      </c>
      <c r="J607" s="44">
        <v>3</v>
      </c>
      <c r="K607" s="60">
        <v>5.98</v>
      </c>
      <c r="L607" s="56">
        <v>4.12</v>
      </c>
      <c r="M607" s="14">
        <f>K607-L607</f>
        <v>1.8600000000000003</v>
      </c>
      <c r="N607" s="15">
        <f>IFERROR(M607/K607,0)</f>
        <v>0.31103678929765888</v>
      </c>
      <c r="O607" s="14">
        <f>IFERROR(L607/J607,0)</f>
        <v>1.3733333333333333</v>
      </c>
      <c r="P607" s="14">
        <f>IFERROR(L607/G607,0)</f>
        <v>0.58857142857143063</v>
      </c>
    </row>
    <row r="608" spans="1:19" x14ac:dyDescent="0.3">
      <c r="A608" s="9" t="s">
        <v>1495</v>
      </c>
      <c r="B608" s="9" t="s">
        <v>26</v>
      </c>
      <c r="C608" s="9" t="s">
        <v>27</v>
      </c>
      <c r="D608" s="52">
        <v>46131</v>
      </c>
      <c r="E608" s="48">
        <v>0.66319444444444442</v>
      </c>
      <c r="F608" s="48">
        <v>0.67291666666666661</v>
      </c>
      <c r="G608" s="43">
        <f>(F608-E608)*1440</f>
        <v>13.99999999999995</v>
      </c>
      <c r="H608" s="9" t="s">
        <v>1831</v>
      </c>
      <c r="I608" s="9" t="s">
        <v>611</v>
      </c>
      <c r="J608" s="44">
        <v>6.1</v>
      </c>
      <c r="K608" s="60">
        <v>5</v>
      </c>
      <c r="L608" s="56">
        <v>3.75</v>
      </c>
      <c r="M608" s="14">
        <f>K608-L608</f>
        <v>1.25</v>
      </c>
      <c r="N608" s="15">
        <f>IFERROR(M608/K608,0)</f>
        <v>0.25</v>
      </c>
      <c r="O608" s="14">
        <f>IFERROR(L608/J608,0)</f>
        <v>0.61475409836065575</v>
      </c>
      <c r="P608" s="14">
        <f>IFERROR(L608/G608,0)</f>
        <v>0.26785714285714379</v>
      </c>
    </row>
    <row r="609" spans="1:19" x14ac:dyDescent="0.3">
      <c r="A609" s="9" t="s">
        <v>1492</v>
      </c>
      <c r="B609" s="9" t="s">
        <v>26</v>
      </c>
      <c r="C609" s="9" t="s">
        <v>26</v>
      </c>
      <c r="D609" s="52">
        <v>46131</v>
      </c>
      <c r="E609" s="48">
        <v>0.44791666666666669</v>
      </c>
      <c r="F609" s="48">
        <v>0.46527777777777773</v>
      </c>
      <c r="G609" s="43">
        <f>(F609-E609)*1440</f>
        <v>24.999999999999911</v>
      </c>
      <c r="H609" s="9" t="s">
        <v>1120</v>
      </c>
      <c r="I609" s="9" t="s">
        <v>1827</v>
      </c>
      <c r="J609" s="44">
        <v>15.5</v>
      </c>
      <c r="K609" s="60">
        <v>9.98</v>
      </c>
      <c r="L609" s="56">
        <v>9.76</v>
      </c>
      <c r="M609" s="14">
        <f>K609-L609</f>
        <v>0.22000000000000064</v>
      </c>
      <c r="N609" s="15">
        <f>IFERROR(M609/K609,0)</f>
        <v>2.2044088176352769E-2</v>
      </c>
      <c r="O609" s="14">
        <f>IFERROR(L609/J609,0)</f>
        <v>0.62967741935483867</v>
      </c>
      <c r="P609" s="14">
        <f>IFERROR(L609/G609,0)</f>
        <v>0.39040000000000136</v>
      </c>
    </row>
    <row r="610" spans="1:19" x14ac:dyDescent="0.3">
      <c r="A610" s="9" t="s">
        <v>1496</v>
      </c>
      <c r="B610" s="9" t="s">
        <v>26</v>
      </c>
      <c r="C610" s="9" t="s">
        <v>26</v>
      </c>
      <c r="D610" s="52">
        <v>46131</v>
      </c>
      <c r="E610" s="48">
        <v>0.75416666666666676</v>
      </c>
      <c r="F610" s="48">
        <v>0.77083333333333337</v>
      </c>
      <c r="G610" s="43">
        <f>(F610-E610)*1440</f>
        <v>23.999999999999915</v>
      </c>
      <c r="H610" s="9" t="s">
        <v>1832</v>
      </c>
      <c r="I610" s="9" t="s">
        <v>569</v>
      </c>
      <c r="J610" s="44">
        <v>24.6</v>
      </c>
      <c r="K610" s="60">
        <v>20.49</v>
      </c>
      <c r="L610" s="56">
        <v>15.77</v>
      </c>
      <c r="M610" s="14">
        <f>K610-L610</f>
        <v>4.7199999999999989</v>
      </c>
      <c r="N610" s="15">
        <f>IFERROR(M610/K610,0)</f>
        <v>0.23035627135187892</v>
      </c>
      <c r="O610" s="14">
        <f>IFERROR(L610/J610,0)</f>
        <v>0.64105691056910563</v>
      </c>
      <c r="P610" s="14">
        <f>IFERROR(L610/G610,0)</f>
        <v>0.65708333333333568</v>
      </c>
      <c r="Q610" s="64">
        <v>1.6</v>
      </c>
      <c r="R610" s="57">
        <v>3.33</v>
      </c>
    </row>
    <row r="611" spans="1:19" x14ac:dyDescent="0.3">
      <c r="A611" s="9" t="s">
        <v>1489</v>
      </c>
      <c r="B611" s="9" t="s">
        <v>18</v>
      </c>
      <c r="C611" s="9" t="s">
        <v>184</v>
      </c>
      <c r="D611" s="52">
        <v>46131</v>
      </c>
      <c r="E611" s="48">
        <v>0.59027777777777779</v>
      </c>
      <c r="F611" s="48">
        <v>0.59722222222222221</v>
      </c>
      <c r="G611" s="43">
        <f>(F611-E611)*1440</f>
        <v>9.9999999999999645</v>
      </c>
      <c r="H611" s="9" t="s">
        <v>1824</v>
      </c>
      <c r="I611" s="9" t="s">
        <v>234</v>
      </c>
      <c r="J611" s="44">
        <v>7.43</v>
      </c>
      <c r="K611" s="60">
        <v>5.95</v>
      </c>
      <c r="L611" s="56">
        <v>4.96</v>
      </c>
      <c r="M611" s="14">
        <f>K611-L611</f>
        <v>0.99000000000000021</v>
      </c>
      <c r="N611" s="15">
        <f>IFERROR(M611/K611,0)</f>
        <v>0.16638655462184876</v>
      </c>
      <c r="O611" s="14">
        <f>IFERROR(L611/J611,0)</f>
        <v>0.66756393001345893</v>
      </c>
      <c r="P611" s="14">
        <f>IFERROR(L611/G611,0)</f>
        <v>0.49600000000000177</v>
      </c>
    </row>
    <row r="612" spans="1:19" x14ac:dyDescent="0.3">
      <c r="A612" s="9" t="s">
        <v>1493</v>
      </c>
      <c r="B612" s="9" t="s">
        <v>26</v>
      </c>
      <c r="C612" s="9" t="s">
        <v>26</v>
      </c>
      <c r="D612" s="52">
        <v>46131</v>
      </c>
      <c r="E612" s="48">
        <v>0.63472222222222219</v>
      </c>
      <c r="F612" s="48">
        <v>0.65138888888888891</v>
      </c>
      <c r="G612" s="43">
        <f>(F612-E612)*1440</f>
        <v>24.000000000000075</v>
      </c>
      <c r="H612" s="9" t="s">
        <v>1120</v>
      </c>
      <c r="I612" s="9" t="s">
        <v>1828</v>
      </c>
      <c r="J612" s="44">
        <v>10.199999999999999</v>
      </c>
      <c r="K612" s="60">
        <v>9.81</v>
      </c>
      <c r="L612" s="56">
        <v>7.25</v>
      </c>
      <c r="M612" s="14">
        <f>K612-L612</f>
        <v>2.5600000000000005</v>
      </c>
      <c r="N612" s="15">
        <f>IFERROR(M612/K612,0)</f>
        <v>0.26095820591233437</v>
      </c>
      <c r="O612" s="14">
        <f>IFERROR(L612/J612,0)</f>
        <v>0.71078431372549022</v>
      </c>
      <c r="P612" s="14">
        <f>IFERROR(L612/G612,0)</f>
        <v>0.30208333333333237</v>
      </c>
    </row>
    <row r="613" spans="1:19" x14ac:dyDescent="0.3">
      <c r="A613" s="9" t="s">
        <v>1488</v>
      </c>
      <c r="B613" s="9" t="s">
        <v>18</v>
      </c>
      <c r="C613" s="9" t="s">
        <v>184</v>
      </c>
      <c r="D613" s="52">
        <v>46131</v>
      </c>
      <c r="E613" s="48">
        <v>0.56319444444444444</v>
      </c>
      <c r="F613" s="48">
        <v>0.57361111111111118</v>
      </c>
      <c r="G613" s="43">
        <f>(F613-E613)*1440</f>
        <v>15.000000000000107</v>
      </c>
      <c r="H613" s="9" t="s">
        <v>1822</v>
      </c>
      <c r="I613" s="9" t="s">
        <v>1823</v>
      </c>
      <c r="J613" s="44">
        <v>8.94</v>
      </c>
      <c r="K613" s="60">
        <v>9.94</v>
      </c>
      <c r="L613" s="56">
        <v>6.46</v>
      </c>
      <c r="M613" s="14">
        <f>K613-L613</f>
        <v>3.4799999999999995</v>
      </c>
      <c r="N613" s="15">
        <f>IFERROR(M613/K613,0)</f>
        <v>0.35010060362173034</v>
      </c>
      <c r="O613" s="14">
        <f>IFERROR(L613/J613,0)</f>
        <v>0.72259507829977632</v>
      </c>
      <c r="P613" s="14">
        <f>IFERROR(L613/G613,0)</f>
        <v>0.43066666666666359</v>
      </c>
      <c r="S613" s="61">
        <v>1</v>
      </c>
    </row>
    <row r="614" spans="1:19" x14ac:dyDescent="0.3">
      <c r="A614" s="9" t="s">
        <v>1497</v>
      </c>
      <c r="B614" s="9" t="s">
        <v>26</v>
      </c>
      <c r="C614" s="9" t="s">
        <v>27</v>
      </c>
      <c r="D614" s="52">
        <v>46131</v>
      </c>
      <c r="E614" s="48">
        <v>0.8340277777777777</v>
      </c>
      <c r="F614" s="48">
        <v>0.85</v>
      </c>
      <c r="G614" s="43">
        <f>(F614-E614)*1440</f>
        <v>23.000000000000078</v>
      </c>
      <c r="H614" s="9" t="s">
        <v>1833</v>
      </c>
      <c r="I614" s="9" t="s">
        <v>622</v>
      </c>
      <c r="J614" s="44">
        <v>10.5</v>
      </c>
      <c r="K614" s="60">
        <v>10.15</v>
      </c>
      <c r="L614" s="56">
        <v>7.61</v>
      </c>
      <c r="M614" s="14">
        <f>K614-L614</f>
        <v>2.54</v>
      </c>
      <c r="N614" s="15">
        <f>IFERROR(M614/K614,0)</f>
        <v>0.25024630541871923</v>
      </c>
      <c r="O614" s="14">
        <f>IFERROR(L614/J614,0)</f>
        <v>0.72476190476190483</v>
      </c>
      <c r="P614" s="14">
        <f>IFERROR(L614/G614,0)</f>
        <v>0.33086956521739019</v>
      </c>
    </row>
    <row r="615" spans="1:19" x14ac:dyDescent="0.3">
      <c r="A615" s="9" t="s">
        <v>1490</v>
      </c>
      <c r="B615" s="9" t="s">
        <v>18</v>
      </c>
      <c r="C615" s="9" t="s">
        <v>184</v>
      </c>
      <c r="D615" s="52">
        <v>46131</v>
      </c>
      <c r="E615" s="48">
        <v>0.60416666666666663</v>
      </c>
      <c r="F615" s="48">
        <v>0.61041666666666672</v>
      </c>
      <c r="G615" s="43">
        <f>(F615-E615)*1440</f>
        <v>9.0000000000001279</v>
      </c>
      <c r="H615" s="9" t="s">
        <v>1825</v>
      </c>
      <c r="I615" s="9" t="s">
        <v>1120</v>
      </c>
      <c r="J615" s="44">
        <v>5.03</v>
      </c>
      <c r="K615" s="60">
        <v>4.9400000000000004</v>
      </c>
      <c r="L615" s="56">
        <v>4.1900000000000004</v>
      </c>
      <c r="M615" s="14">
        <f>K615-L615</f>
        <v>0.75</v>
      </c>
      <c r="N615" s="15">
        <f>IFERROR(M615/K615,0)</f>
        <v>0.15182186234817813</v>
      </c>
      <c r="O615" s="14">
        <f>IFERROR(L615/J615,0)</f>
        <v>0.83300198807157066</v>
      </c>
      <c r="P615" s="14">
        <f>IFERROR(L615/G615,0)</f>
        <v>0.46555555555554901</v>
      </c>
    </row>
    <row r="616" spans="1:19" x14ac:dyDescent="0.3">
      <c r="A616" s="9" t="s">
        <v>1494</v>
      </c>
      <c r="B616" s="9" t="s">
        <v>26</v>
      </c>
      <c r="C616" s="9" t="s">
        <v>26</v>
      </c>
      <c r="D616" s="52">
        <v>46131</v>
      </c>
      <c r="E616" s="48">
        <v>0.65347222222222223</v>
      </c>
      <c r="F616" s="48">
        <v>0.66041666666666665</v>
      </c>
      <c r="G616" s="43">
        <f>(F616-E616)*1440</f>
        <v>9.9999999999999645</v>
      </c>
      <c r="H616" s="9" t="s">
        <v>1829</v>
      </c>
      <c r="I616" s="9" t="s">
        <v>1830</v>
      </c>
      <c r="J616" s="44">
        <v>4.5999999999999996</v>
      </c>
      <c r="K616" s="60">
        <v>4.4400000000000004</v>
      </c>
      <c r="L616" s="56">
        <v>4.16</v>
      </c>
      <c r="M616" s="14">
        <f>K616-L616</f>
        <v>0.28000000000000025</v>
      </c>
      <c r="N616" s="15">
        <f>IFERROR(M616/K616,0)</f>
        <v>6.3063063063063113E-2</v>
      </c>
      <c r="O616" s="14">
        <f>IFERROR(L616/J616,0)</f>
        <v>0.90434782608695663</v>
      </c>
      <c r="P616" s="14">
        <f>IFERROR(L616/G616,0)</f>
        <v>0.41600000000000148</v>
      </c>
    </row>
    <row r="617" spans="1:19" x14ac:dyDescent="0.3">
      <c r="A617" s="9" t="s">
        <v>1491</v>
      </c>
      <c r="B617" s="9" t="s">
        <v>26</v>
      </c>
      <c r="C617" s="9" t="s">
        <v>26</v>
      </c>
      <c r="D617" s="52">
        <v>46131</v>
      </c>
      <c r="E617" s="48">
        <v>0.41319444444444442</v>
      </c>
      <c r="F617" s="48">
        <v>0.42708333333333331</v>
      </c>
      <c r="G617" s="43">
        <f>(F617-E617)*1440</f>
        <v>20.000000000000007</v>
      </c>
      <c r="H617" s="9" t="s">
        <v>1826</v>
      </c>
      <c r="I617" s="9" t="s">
        <v>1120</v>
      </c>
      <c r="J617" s="44">
        <v>5.7</v>
      </c>
      <c r="K617" s="60">
        <v>15.7</v>
      </c>
      <c r="L617" s="56">
        <v>13.02</v>
      </c>
      <c r="M617" s="14">
        <f>K617-L617</f>
        <v>2.6799999999999997</v>
      </c>
      <c r="N617" s="15">
        <f>IFERROR(M617/K617,0)</f>
        <v>0.17070063694267515</v>
      </c>
      <c r="O617" s="14">
        <f>IFERROR(L617/J617,0)</f>
        <v>2.2842105263157895</v>
      </c>
      <c r="P617" s="14">
        <f>IFERROR(L617/G617,0)</f>
        <v>0.6509999999999998</v>
      </c>
      <c r="R617" s="57">
        <v>3.57</v>
      </c>
      <c r="S617" s="61">
        <v>5</v>
      </c>
    </row>
    <row r="618" spans="1:19" x14ac:dyDescent="0.3">
      <c r="A618" s="9" t="s">
        <v>1511</v>
      </c>
      <c r="B618" s="9" t="s">
        <v>18</v>
      </c>
      <c r="C618" s="9" t="s">
        <v>184</v>
      </c>
      <c r="D618" s="52">
        <v>46132</v>
      </c>
      <c r="E618" s="48">
        <v>0.8340277777777777</v>
      </c>
      <c r="F618" s="48">
        <v>0.84930555555555554</v>
      </c>
      <c r="G618" s="43">
        <f>(F618-E618)*1440</f>
        <v>22.000000000000082</v>
      </c>
      <c r="H618" s="9" t="s">
        <v>1846</v>
      </c>
      <c r="I618" s="9" t="s">
        <v>1847</v>
      </c>
      <c r="J618" s="44">
        <v>16.48</v>
      </c>
      <c r="K618" s="60">
        <v>10.32</v>
      </c>
      <c r="L618" s="56">
        <v>6.46</v>
      </c>
      <c r="M618" s="14">
        <f>K618-L618</f>
        <v>3.8600000000000003</v>
      </c>
      <c r="N618" s="15">
        <f>IFERROR(M618/K618,0)</f>
        <v>0.37403100775193798</v>
      </c>
      <c r="O618" s="14">
        <f>IFERROR(L618/J618,0)</f>
        <v>0.39199029126213591</v>
      </c>
      <c r="P618" s="14">
        <f>IFERROR(L618/G618,0)</f>
        <v>0.29363636363636253</v>
      </c>
      <c r="S618" s="61">
        <v>1</v>
      </c>
    </row>
    <row r="619" spans="1:19" x14ac:dyDescent="0.3">
      <c r="A619" s="9" t="s">
        <v>1506</v>
      </c>
      <c r="B619" s="9" t="s">
        <v>18</v>
      </c>
      <c r="C619" s="9" t="s">
        <v>230</v>
      </c>
      <c r="D619" s="52">
        <v>46132</v>
      </c>
      <c r="E619" s="48">
        <v>0.54305555555555551</v>
      </c>
      <c r="F619" s="48">
        <v>0.55555555555555558</v>
      </c>
      <c r="G619" s="43">
        <f>(F619-E619)*1440</f>
        <v>18.000000000000096</v>
      </c>
      <c r="H619" s="9" t="s">
        <v>1843</v>
      </c>
      <c r="I619" s="9" t="s">
        <v>1266</v>
      </c>
      <c r="J619" s="44">
        <v>20.010000000000002</v>
      </c>
      <c r="K619" s="60">
        <v>9.9</v>
      </c>
      <c r="L619" s="56">
        <v>8.98</v>
      </c>
      <c r="M619" s="14">
        <f>K619-L619</f>
        <v>0.91999999999999993</v>
      </c>
      <c r="N619" s="15">
        <f>IFERROR(M619/K619,0)</f>
        <v>9.2929292929292917E-2</v>
      </c>
      <c r="O619" s="14">
        <f>IFERROR(L619/J619,0)</f>
        <v>0.44877561219390305</v>
      </c>
      <c r="P619" s="14">
        <f>IFERROR(L619/G619,0)</f>
        <v>0.49888888888888627</v>
      </c>
    </row>
    <row r="620" spans="1:19" x14ac:dyDescent="0.3">
      <c r="A620" s="9" t="s">
        <v>1507</v>
      </c>
      <c r="B620" s="9" t="s">
        <v>18</v>
      </c>
      <c r="C620" s="9" t="s">
        <v>184</v>
      </c>
      <c r="D620" s="52">
        <v>46132</v>
      </c>
      <c r="E620" s="48">
        <v>0.55555555555555558</v>
      </c>
      <c r="F620" s="48">
        <v>0.56527777777777777</v>
      </c>
      <c r="G620" s="43">
        <f>(F620-E620)*1440</f>
        <v>13.99999999999995</v>
      </c>
      <c r="H620" s="9" t="s">
        <v>1844</v>
      </c>
      <c r="I620" s="9" t="s">
        <v>1717</v>
      </c>
      <c r="J620" s="44">
        <v>8.58</v>
      </c>
      <c r="K620" s="60">
        <v>5.95</v>
      </c>
      <c r="L620" s="56">
        <v>3.87</v>
      </c>
      <c r="M620" s="14">
        <f>K620-L620</f>
        <v>2.08</v>
      </c>
      <c r="N620" s="15">
        <f>IFERROR(M620/K620,0)</f>
        <v>0.34957983193277309</v>
      </c>
      <c r="O620" s="14">
        <f>IFERROR(L620/J620,0)</f>
        <v>0.45104895104895104</v>
      </c>
      <c r="P620" s="14">
        <f>IFERROR(L620/G620,0)</f>
        <v>0.27642857142857241</v>
      </c>
    </row>
    <row r="621" spans="1:19" x14ac:dyDescent="0.3">
      <c r="A621" s="9" t="s">
        <v>1505</v>
      </c>
      <c r="B621" s="9" t="s">
        <v>26</v>
      </c>
      <c r="C621" s="9" t="s">
        <v>27</v>
      </c>
      <c r="D621" s="52">
        <v>46132</v>
      </c>
      <c r="E621" s="48">
        <v>0.80972222222222223</v>
      </c>
      <c r="F621" s="48">
        <v>0.82986111111111116</v>
      </c>
      <c r="G621" s="43">
        <f>(F621-E621)*1440</f>
        <v>29.000000000000057</v>
      </c>
      <c r="H621" s="9" t="s">
        <v>1841</v>
      </c>
      <c r="I621" s="9" t="s">
        <v>1842</v>
      </c>
      <c r="J621" s="44">
        <v>18.3</v>
      </c>
      <c r="K621" s="60">
        <v>9.35</v>
      </c>
      <c r="L621" s="56">
        <v>8.77</v>
      </c>
      <c r="M621" s="14">
        <f>K621-L621</f>
        <v>0.58000000000000007</v>
      </c>
      <c r="N621" s="15">
        <f>IFERROR(M621/K621,0)</f>
        <v>6.2032085561497335E-2</v>
      </c>
      <c r="O621" s="14">
        <f>IFERROR(L621/J621,0)</f>
        <v>0.47923497267759557</v>
      </c>
      <c r="P621" s="14">
        <f>IFERROR(L621/G621,0)</f>
        <v>0.30241379310344768</v>
      </c>
    </row>
    <row r="622" spans="1:19" x14ac:dyDescent="0.3">
      <c r="A622" s="9" t="s">
        <v>1500</v>
      </c>
      <c r="B622" s="9" t="s">
        <v>26</v>
      </c>
      <c r="C622" s="9" t="s">
        <v>27</v>
      </c>
      <c r="D622" s="52">
        <v>46132</v>
      </c>
      <c r="E622" s="48">
        <v>0.60416666666666663</v>
      </c>
      <c r="F622" s="48">
        <v>0.62152777777777779</v>
      </c>
      <c r="G622" s="43">
        <f>(F622-E622)*1440</f>
        <v>25.000000000000071</v>
      </c>
      <c r="H622" s="9" t="s">
        <v>1835</v>
      </c>
      <c r="I622" s="9" t="s">
        <v>1836</v>
      </c>
      <c r="J622" s="44">
        <v>14.6</v>
      </c>
      <c r="K622" s="60">
        <v>9.67</v>
      </c>
      <c r="L622" s="56">
        <v>7.25</v>
      </c>
      <c r="M622" s="14">
        <f>K622-L622</f>
        <v>2.42</v>
      </c>
      <c r="N622" s="15">
        <f>IFERROR(M622/K622,0)</f>
        <v>0.25025853154084798</v>
      </c>
      <c r="O622" s="14">
        <f>IFERROR(L622/J622,0)</f>
        <v>0.49657534246575341</v>
      </c>
      <c r="P622" s="14">
        <f>IFERROR(L622/G622,0)</f>
        <v>0.2899999999999992</v>
      </c>
    </row>
    <row r="623" spans="1:19" x14ac:dyDescent="0.3">
      <c r="A623" s="9" t="s">
        <v>1499</v>
      </c>
      <c r="B623" s="9" t="s">
        <v>26</v>
      </c>
      <c r="C623" s="9" t="s">
        <v>26</v>
      </c>
      <c r="D623" s="52">
        <v>46132</v>
      </c>
      <c r="E623" s="48">
        <v>0.58819444444444446</v>
      </c>
      <c r="F623" s="48">
        <v>0.60277777777777775</v>
      </c>
      <c r="G623" s="43">
        <f>(F623-E623)*1440</f>
        <v>20.999999999999925</v>
      </c>
      <c r="H623" s="9" t="s">
        <v>1120</v>
      </c>
      <c r="I623" s="9" t="s">
        <v>1834</v>
      </c>
      <c r="J623" s="44">
        <v>16</v>
      </c>
      <c r="K623" s="60">
        <v>11.58</v>
      </c>
      <c r="L623" s="56">
        <v>9.93</v>
      </c>
      <c r="M623" s="14">
        <f>K623-L623</f>
        <v>1.6500000000000004</v>
      </c>
      <c r="N623" s="15">
        <f>IFERROR(M623/K623,0)</f>
        <v>0.14248704663212439</v>
      </c>
      <c r="O623" s="14">
        <f>IFERROR(L623/J623,0)</f>
        <v>0.62062499999999998</v>
      </c>
      <c r="P623" s="14">
        <f>IFERROR(L623/G623,0)</f>
        <v>0.47285714285714453</v>
      </c>
    </row>
    <row r="624" spans="1:19" x14ac:dyDescent="0.3">
      <c r="A624" s="9" t="s">
        <v>1510</v>
      </c>
      <c r="B624" s="9" t="s">
        <v>538</v>
      </c>
      <c r="C624" s="9" t="s">
        <v>184</v>
      </c>
      <c r="D624" s="52">
        <v>46132</v>
      </c>
      <c r="E624" s="48">
        <v>0.67708333333333337</v>
      </c>
      <c r="F624" s="48">
        <v>0.6972222222222223</v>
      </c>
      <c r="G624" s="43">
        <f>(F624-E624)*1440</f>
        <v>29.000000000000057</v>
      </c>
      <c r="H624" s="9" t="s">
        <v>1845</v>
      </c>
      <c r="I624" s="9" t="s">
        <v>1120</v>
      </c>
      <c r="J624" s="44">
        <v>13.71</v>
      </c>
      <c r="K624" s="60">
        <v>13.94</v>
      </c>
      <c r="L624" s="56">
        <v>9.06</v>
      </c>
      <c r="M624" s="14">
        <f>K624-L624</f>
        <v>4.879999999999999</v>
      </c>
      <c r="N624" s="15">
        <f>IFERROR(M624/K624,0)</f>
        <v>0.35007173601147773</v>
      </c>
      <c r="O624" s="14">
        <f>IFERROR(L624/J624,0)</f>
        <v>0.66083150984682715</v>
      </c>
      <c r="P624" s="14">
        <f>IFERROR(L624/G624,0)</f>
        <v>0.31241379310344769</v>
      </c>
    </row>
    <row r="625" spans="1:19" x14ac:dyDescent="0.3">
      <c r="A625" s="9" t="s">
        <v>1498</v>
      </c>
      <c r="B625" s="9" t="s">
        <v>26</v>
      </c>
      <c r="C625" s="9" t="s">
        <v>27</v>
      </c>
      <c r="D625" s="52">
        <v>46132</v>
      </c>
      <c r="E625" s="48">
        <v>0.5756944444444444</v>
      </c>
      <c r="F625" s="48">
        <v>0.58472222222222225</v>
      </c>
      <c r="G625" s="43">
        <f>(F625-E625)*1440</f>
        <v>13.000000000000114</v>
      </c>
      <c r="H625" s="9" t="s">
        <v>1367</v>
      </c>
      <c r="I625" s="9" t="s">
        <v>1120</v>
      </c>
      <c r="J625" s="44">
        <v>6.3</v>
      </c>
      <c r="K625" s="60">
        <v>5.69</v>
      </c>
      <c r="L625" s="56">
        <v>4.2699999999999996</v>
      </c>
      <c r="M625" s="14">
        <f>K625-L625</f>
        <v>1.4200000000000008</v>
      </c>
      <c r="N625" s="15">
        <f>IFERROR(M625/K625,0)</f>
        <v>0.24956063268892806</v>
      </c>
      <c r="O625" s="14">
        <f>IFERROR(L625/J625,0)</f>
        <v>0.6777777777777777</v>
      </c>
      <c r="P625" s="14">
        <f>IFERROR(L625/G625,0)</f>
        <v>0.32846153846153553</v>
      </c>
    </row>
    <row r="626" spans="1:19" x14ac:dyDescent="0.3">
      <c r="A626" s="9" t="s">
        <v>1509</v>
      </c>
      <c r="B626" s="9" t="s">
        <v>18</v>
      </c>
      <c r="C626" s="9" t="s">
        <v>184</v>
      </c>
      <c r="D626" s="52">
        <v>46132</v>
      </c>
      <c r="E626" s="48">
        <v>0.66666666666666663</v>
      </c>
      <c r="F626" s="48">
        <v>0.67847222222222225</v>
      </c>
      <c r="G626" s="43">
        <f>(F626-E626)*1440</f>
        <v>17.000000000000099</v>
      </c>
      <c r="H626" s="9" t="s">
        <v>1756</v>
      </c>
      <c r="I626" s="9" t="s">
        <v>632</v>
      </c>
      <c r="J626" s="44">
        <v>6.26</v>
      </c>
      <c r="K626" s="60">
        <v>5.94</v>
      </c>
      <c r="L626" s="56">
        <v>4.2699999999999996</v>
      </c>
      <c r="M626" s="14">
        <f>K626-L626</f>
        <v>1.6700000000000008</v>
      </c>
      <c r="N626" s="15">
        <f>IFERROR(M626/K626,0)</f>
        <v>0.28114478114478125</v>
      </c>
      <c r="O626" s="14">
        <f>IFERROR(L626/J626,0)</f>
        <v>0.68210862619808299</v>
      </c>
      <c r="P626" s="14">
        <f>IFERROR(L626/G626,0)</f>
        <v>0.25117647058823378</v>
      </c>
    </row>
    <row r="627" spans="1:19" x14ac:dyDescent="0.3">
      <c r="A627" s="9" t="s">
        <v>1501</v>
      </c>
      <c r="B627" s="9" t="s">
        <v>26</v>
      </c>
      <c r="C627" s="9" t="s">
        <v>27</v>
      </c>
      <c r="D627" s="52">
        <v>46132</v>
      </c>
      <c r="E627" s="48">
        <v>0.62569444444444444</v>
      </c>
      <c r="F627" s="48">
        <v>0.64097222222222217</v>
      </c>
      <c r="G627" s="43">
        <f>(F627-E627)*1440</f>
        <v>21.999999999999922</v>
      </c>
      <c r="H627" s="9" t="s">
        <v>1837</v>
      </c>
      <c r="I627" s="9" t="s">
        <v>611</v>
      </c>
      <c r="J627" s="44">
        <v>7</v>
      </c>
      <c r="K627" s="60">
        <v>6.8</v>
      </c>
      <c r="L627" s="56">
        <v>5.0999999999999996</v>
      </c>
      <c r="M627" s="14">
        <f>K627-L627</f>
        <v>1.7000000000000002</v>
      </c>
      <c r="N627" s="15">
        <f>IFERROR(M627/K627,0)</f>
        <v>0.25000000000000006</v>
      </c>
      <c r="O627" s="14">
        <f>IFERROR(L627/J627,0)</f>
        <v>0.72857142857142854</v>
      </c>
      <c r="P627" s="14">
        <f>IFERROR(L627/G627,0)</f>
        <v>0.23181818181818262</v>
      </c>
    </row>
    <row r="628" spans="1:19" x14ac:dyDescent="0.3">
      <c r="A628" s="9" t="s">
        <v>1512</v>
      </c>
      <c r="B628" s="9" t="s">
        <v>18</v>
      </c>
      <c r="C628" s="9" t="s">
        <v>184</v>
      </c>
      <c r="D628" s="52">
        <v>46132</v>
      </c>
      <c r="E628" s="48">
        <v>0.86041666666666661</v>
      </c>
      <c r="F628" s="48">
        <v>0.86736111111111114</v>
      </c>
      <c r="G628" s="43">
        <f>(F628-E628)*1440</f>
        <v>10.000000000000124</v>
      </c>
      <c r="H628" s="9" t="s">
        <v>1848</v>
      </c>
      <c r="I628" s="9" t="s">
        <v>1120</v>
      </c>
      <c r="J628" s="44">
        <v>4.37</v>
      </c>
      <c r="K628" s="60">
        <v>3.94</v>
      </c>
      <c r="L628" s="56">
        <v>3.22</v>
      </c>
      <c r="M628" s="14">
        <f>K628-L628</f>
        <v>0.71999999999999975</v>
      </c>
      <c r="N628" s="15">
        <f>IFERROR(M628/K628,0)</f>
        <v>0.18274111675126897</v>
      </c>
      <c r="O628" s="14">
        <f>IFERROR(L628/J628,0)</f>
        <v>0.73684210526315796</v>
      </c>
      <c r="P628" s="14">
        <f>IFERROR(L628/G628,0)</f>
        <v>0.32199999999999601</v>
      </c>
    </row>
    <row r="629" spans="1:19" x14ac:dyDescent="0.3">
      <c r="A629" s="9" t="s">
        <v>1508</v>
      </c>
      <c r="B629" s="9" t="s">
        <v>18</v>
      </c>
      <c r="C629" s="9" t="s">
        <v>184</v>
      </c>
      <c r="D629" s="52">
        <v>46132</v>
      </c>
      <c r="E629" s="48">
        <v>0.65</v>
      </c>
      <c r="F629" s="48">
        <v>0.66388888888888886</v>
      </c>
      <c r="G629" s="43">
        <f>(F629-E629)*1440</f>
        <v>19.999999999999929</v>
      </c>
      <c r="H629" s="9" t="s">
        <v>1120</v>
      </c>
      <c r="I629" s="9" t="s">
        <v>865</v>
      </c>
      <c r="J629" s="44">
        <v>7.78</v>
      </c>
      <c r="K629" s="60">
        <v>10.99</v>
      </c>
      <c r="L629" s="56">
        <v>7.36</v>
      </c>
      <c r="M629" s="14">
        <f>K629-L629</f>
        <v>3.63</v>
      </c>
      <c r="N629" s="15">
        <f>IFERROR(M629/K629,0)</f>
        <v>0.33030027297543219</v>
      </c>
      <c r="O629" s="14">
        <f>IFERROR(L629/J629,0)</f>
        <v>0.94601542416452444</v>
      </c>
      <c r="P629" s="14">
        <f>IFERROR(L629/G629,0)</f>
        <v>0.36800000000000133</v>
      </c>
    </row>
    <row r="630" spans="1:19" x14ac:dyDescent="0.3">
      <c r="A630" s="9" t="s">
        <v>1504</v>
      </c>
      <c r="B630" s="9" t="s">
        <v>26</v>
      </c>
      <c r="C630" s="9" t="s">
        <v>26</v>
      </c>
      <c r="D630" s="52">
        <v>46132</v>
      </c>
      <c r="E630" s="48">
        <v>0.78611111111111109</v>
      </c>
      <c r="F630" s="48">
        <v>0.79583333333333339</v>
      </c>
      <c r="G630" s="43">
        <f>(F630-E630)*1440</f>
        <v>14.00000000000011</v>
      </c>
      <c r="H630" s="9" t="s">
        <v>632</v>
      </c>
      <c r="I630" s="9" t="s">
        <v>1358</v>
      </c>
      <c r="J630" s="44">
        <v>6.3</v>
      </c>
      <c r="K630" s="60">
        <v>5.82</v>
      </c>
      <c r="L630" s="56">
        <v>6</v>
      </c>
      <c r="M630" s="14">
        <f>K630-L630</f>
        <v>-0.17999999999999972</v>
      </c>
      <c r="N630" s="15">
        <f>IFERROR(M630/K630,0)</f>
        <v>-3.0927835051546341E-2</v>
      </c>
      <c r="O630" s="14">
        <f>IFERROR(L630/J630,0)</f>
        <v>0.95238095238095244</v>
      </c>
      <c r="P630" s="14">
        <f>IFERROR(L630/G630,0)</f>
        <v>0.42857142857142522</v>
      </c>
    </row>
    <row r="631" spans="1:19" x14ac:dyDescent="0.3">
      <c r="A631" s="9" t="s">
        <v>1502</v>
      </c>
      <c r="B631" s="9" t="s">
        <v>26</v>
      </c>
      <c r="C631" s="9" t="s">
        <v>27</v>
      </c>
      <c r="D631" s="52">
        <v>46132</v>
      </c>
      <c r="E631" s="48">
        <v>0.72916666666666663</v>
      </c>
      <c r="F631" s="48">
        <v>0.75624999999999998</v>
      </c>
      <c r="G631" s="43">
        <f>(F631-E631)*1440</f>
        <v>39.000000000000021</v>
      </c>
      <c r="H631" s="9" t="s">
        <v>1838</v>
      </c>
      <c r="I631" s="9" t="s">
        <v>1839</v>
      </c>
      <c r="J631" s="44">
        <v>10.8</v>
      </c>
      <c r="K631" s="60">
        <v>13.29</v>
      </c>
      <c r="L631" s="56">
        <v>10.47</v>
      </c>
      <c r="M631" s="14">
        <f>K631-L631</f>
        <v>2.8199999999999985</v>
      </c>
      <c r="N631" s="15">
        <f>IFERROR(M631/K631,0)</f>
        <v>0.21218961625282157</v>
      </c>
      <c r="O631" s="14">
        <f>IFERROR(L631/J631,0)</f>
        <v>0.96944444444444444</v>
      </c>
      <c r="P631" s="14">
        <f>IFERROR(L631/G631,0)</f>
        <v>0.26846153846153831</v>
      </c>
      <c r="R631" s="57">
        <v>1.47</v>
      </c>
      <c r="S631" s="61">
        <v>2</v>
      </c>
    </row>
    <row r="632" spans="1:19" x14ac:dyDescent="0.3">
      <c r="A632" s="9" t="s">
        <v>1503</v>
      </c>
      <c r="B632" s="9" t="s">
        <v>26</v>
      </c>
      <c r="C632" s="9" t="s">
        <v>27</v>
      </c>
      <c r="D632" s="52">
        <v>46132</v>
      </c>
      <c r="E632" s="48">
        <v>0.77638888888888891</v>
      </c>
      <c r="F632" s="48">
        <v>0.78472222222222221</v>
      </c>
      <c r="G632" s="43">
        <f>(F632-E632)*1440</f>
        <v>11.999999999999957</v>
      </c>
      <c r="H632" s="9" t="s">
        <v>682</v>
      </c>
      <c r="I632" s="9" t="s">
        <v>1840</v>
      </c>
      <c r="J632" s="44">
        <v>3.8</v>
      </c>
      <c r="K632" s="60">
        <v>6.47</v>
      </c>
      <c r="L632" s="56">
        <v>4.8499999999999996</v>
      </c>
      <c r="M632" s="14">
        <f>K632-L632</f>
        <v>1.62</v>
      </c>
      <c r="N632" s="15">
        <f>IFERROR(M632/K632,0)</f>
        <v>0.25038639876352398</v>
      </c>
      <c r="O632" s="14">
        <f>IFERROR(L632/J632,0)</f>
        <v>1.2763157894736841</v>
      </c>
      <c r="P632" s="14">
        <f>IFERROR(L632/G632,0)</f>
        <v>0.40416666666666806</v>
      </c>
    </row>
    <row r="633" spans="1:19" x14ac:dyDescent="0.3">
      <c r="A633" s="9" t="s">
        <v>1517</v>
      </c>
      <c r="B633" s="9" t="s">
        <v>18</v>
      </c>
      <c r="C633" s="9" t="s">
        <v>184</v>
      </c>
      <c r="D633" s="52">
        <v>46133</v>
      </c>
      <c r="E633" s="48">
        <v>0.69097222222222221</v>
      </c>
      <c r="F633" s="48">
        <v>0.70347222222222217</v>
      </c>
      <c r="G633" s="43">
        <f>(F633-E633)*1440</f>
        <v>17.999999999999936</v>
      </c>
      <c r="H633" s="9" t="s">
        <v>1853</v>
      </c>
      <c r="I633" s="9" t="s">
        <v>1854</v>
      </c>
      <c r="J633" s="44">
        <v>9.98</v>
      </c>
      <c r="K633" s="60">
        <v>6.95</v>
      </c>
      <c r="L633" s="56">
        <v>4.84</v>
      </c>
      <c r="M633" s="14">
        <f>K633-L633</f>
        <v>2.1100000000000003</v>
      </c>
      <c r="N633" s="15">
        <f>IFERROR(M633/K633,0)</f>
        <v>0.3035971223021583</v>
      </c>
      <c r="O633" s="14">
        <f>IFERROR(L633/J633,0)</f>
        <v>0.4849699398797595</v>
      </c>
      <c r="P633" s="14">
        <f>IFERROR(L633/G633,0)</f>
        <v>0.26888888888888984</v>
      </c>
    </row>
    <row r="634" spans="1:19" x14ac:dyDescent="0.3">
      <c r="A634" s="9" t="s">
        <v>1513</v>
      </c>
      <c r="B634" s="9" t="s">
        <v>538</v>
      </c>
      <c r="C634" s="9" t="s">
        <v>184</v>
      </c>
      <c r="D634" s="52">
        <v>46133</v>
      </c>
      <c r="E634" s="48">
        <v>0.58472222222222225</v>
      </c>
      <c r="F634" s="48">
        <v>0.59861111111111109</v>
      </c>
      <c r="G634" s="43">
        <f>(F634-E634)*1440</f>
        <v>19.999999999999929</v>
      </c>
      <c r="H634" s="9" t="s">
        <v>1849</v>
      </c>
      <c r="I634" s="9" t="s">
        <v>843</v>
      </c>
      <c r="J634" s="44">
        <v>11.75</v>
      </c>
      <c r="K634" s="60">
        <v>8.9499999999999993</v>
      </c>
      <c r="L634" s="56">
        <v>5.82</v>
      </c>
      <c r="M634" s="14">
        <f>K634-L634</f>
        <v>3.129999999999999</v>
      </c>
      <c r="N634" s="15">
        <f>IFERROR(M634/K634,0)</f>
        <v>0.34972067039106136</v>
      </c>
      <c r="O634" s="14">
        <f>IFERROR(L634/J634,0)</f>
        <v>0.49531914893617024</v>
      </c>
      <c r="P634" s="14">
        <f>IFERROR(L634/G634,0)</f>
        <v>0.29100000000000104</v>
      </c>
    </row>
    <row r="635" spans="1:19" x14ac:dyDescent="0.3">
      <c r="A635" s="9" t="s">
        <v>1514</v>
      </c>
      <c r="B635" s="9" t="s">
        <v>538</v>
      </c>
      <c r="C635" s="9" t="s">
        <v>184</v>
      </c>
      <c r="D635" s="52">
        <v>46133</v>
      </c>
      <c r="E635" s="48">
        <v>0.60069444444444442</v>
      </c>
      <c r="F635" s="48">
        <v>0.6069444444444444</v>
      </c>
      <c r="G635" s="43">
        <f>(F635-E635)*1440</f>
        <v>8.999999999999968</v>
      </c>
      <c r="H635" s="9" t="s">
        <v>1256</v>
      </c>
      <c r="I635" s="9" t="s">
        <v>1850</v>
      </c>
      <c r="J635" s="44">
        <v>7.76</v>
      </c>
      <c r="K635" s="60">
        <v>5.95</v>
      </c>
      <c r="L635" s="56">
        <v>3.87</v>
      </c>
      <c r="M635" s="14">
        <f>K635-L635</f>
        <v>2.08</v>
      </c>
      <c r="N635" s="15">
        <f>IFERROR(M635/K635,0)</f>
        <v>0.34957983193277309</v>
      </c>
      <c r="O635" s="14">
        <f>IFERROR(L635/J635,0)</f>
        <v>0.49871134020618557</v>
      </c>
      <c r="P635" s="14">
        <f>IFERROR(L635/G635,0)</f>
        <v>0.43000000000000155</v>
      </c>
    </row>
    <row r="636" spans="1:19" x14ac:dyDescent="0.3">
      <c r="A636" s="9" t="s">
        <v>1521</v>
      </c>
      <c r="B636" s="9" t="s">
        <v>26</v>
      </c>
      <c r="C636" s="9" t="s">
        <v>26</v>
      </c>
      <c r="D636" s="52">
        <v>46133</v>
      </c>
      <c r="E636" s="48">
        <v>0.76597222222222217</v>
      </c>
      <c r="F636" s="48">
        <v>0.79652777777777783</v>
      </c>
      <c r="G636" s="43">
        <f>(F636-E636)*1440</f>
        <v>44.000000000000163</v>
      </c>
      <c r="H636" s="9" t="s">
        <v>1281</v>
      </c>
      <c r="I636" s="9" t="s">
        <v>1859</v>
      </c>
      <c r="J636" s="44">
        <v>21.5</v>
      </c>
      <c r="K636" s="60">
        <v>9.1300000000000008</v>
      </c>
      <c r="L636" s="56">
        <v>11.41</v>
      </c>
      <c r="M636" s="14">
        <f>K636-L636</f>
        <v>-2.2799999999999994</v>
      </c>
      <c r="N636" s="15">
        <f>IFERROR(M636/K636,0)</f>
        <v>-0.24972617743702072</v>
      </c>
      <c r="O636" s="14">
        <f>IFERROR(L636/J636,0)</f>
        <v>0.5306976744186046</v>
      </c>
      <c r="P636" s="14">
        <f>IFERROR(L636/G636,0)</f>
        <v>0.25931818181818084</v>
      </c>
    </row>
    <row r="637" spans="1:19" x14ac:dyDescent="0.3">
      <c r="A637" s="9" t="s">
        <v>1515</v>
      </c>
      <c r="B637" s="9" t="s">
        <v>538</v>
      </c>
      <c r="C637" s="9" t="s">
        <v>196</v>
      </c>
      <c r="D637" s="52">
        <v>46133</v>
      </c>
      <c r="E637" s="48">
        <v>0.62291666666666667</v>
      </c>
      <c r="F637" s="48">
        <v>0.63888888888888895</v>
      </c>
      <c r="G637" s="43">
        <f>(F637-E637)*1440</f>
        <v>23.000000000000078</v>
      </c>
      <c r="H637" s="9" t="s">
        <v>1851</v>
      </c>
      <c r="I637" s="9" t="s">
        <v>1120</v>
      </c>
      <c r="J637" s="44">
        <v>12.89</v>
      </c>
      <c r="K637" s="60">
        <v>11.07</v>
      </c>
      <c r="L637" s="56">
        <v>7.21</v>
      </c>
      <c r="M637" s="14">
        <f>K637-L637</f>
        <v>3.8600000000000003</v>
      </c>
      <c r="N637" s="15">
        <f>IFERROR(M637/K637,0)</f>
        <v>0.34869015356820238</v>
      </c>
      <c r="O637" s="14">
        <f>IFERROR(L637/J637,0)</f>
        <v>0.55934833204034129</v>
      </c>
      <c r="P637" s="14">
        <f>IFERROR(L637/G637,0)</f>
        <v>0.31347826086956415</v>
      </c>
    </row>
    <row r="638" spans="1:19" x14ac:dyDescent="0.3">
      <c r="A638" s="9" t="s">
        <v>1522</v>
      </c>
      <c r="B638" s="9" t="s">
        <v>26</v>
      </c>
      <c r="C638" s="9" t="s">
        <v>26</v>
      </c>
      <c r="D638" s="52">
        <v>46133</v>
      </c>
      <c r="E638" s="48">
        <v>0.81527777777777777</v>
      </c>
      <c r="F638" s="48">
        <v>0.82916666666666661</v>
      </c>
      <c r="G638" s="43">
        <f>(F638-E638)*1440</f>
        <v>19.999999999999929</v>
      </c>
      <c r="H638" s="9" t="s">
        <v>1860</v>
      </c>
      <c r="I638" s="9" t="s">
        <v>626</v>
      </c>
      <c r="J638" s="44">
        <v>12.7</v>
      </c>
      <c r="K638" s="60">
        <v>8.09</v>
      </c>
      <c r="L638" s="56">
        <v>7.14</v>
      </c>
      <c r="M638" s="14">
        <f>K638-L638</f>
        <v>0.95000000000000018</v>
      </c>
      <c r="N638" s="15">
        <f>IFERROR(M638/K638,0)</f>
        <v>0.11742892459826949</v>
      </c>
      <c r="O638" s="14">
        <f>IFERROR(L638/J638,0)</f>
        <v>0.5622047244094488</v>
      </c>
      <c r="P638" s="14">
        <f>IFERROR(L638/G638,0)</f>
        <v>0.35700000000000126</v>
      </c>
    </row>
    <row r="639" spans="1:19" x14ac:dyDescent="0.3">
      <c r="A639" s="9" t="s">
        <v>1518</v>
      </c>
      <c r="B639" s="9" t="s">
        <v>18</v>
      </c>
      <c r="C639" s="9" t="s">
        <v>184</v>
      </c>
      <c r="D639" s="52">
        <v>46133</v>
      </c>
      <c r="E639" s="48">
        <v>0.7104166666666667</v>
      </c>
      <c r="F639" s="48">
        <v>0.71944444444444444</v>
      </c>
      <c r="G639" s="43">
        <f>(F639-E639)*1440</f>
        <v>12.999999999999954</v>
      </c>
      <c r="H639" s="9" t="s">
        <v>1855</v>
      </c>
      <c r="I639" s="9" t="s">
        <v>1856</v>
      </c>
      <c r="J639" s="44">
        <v>6.03</v>
      </c>
      <c r="K639" s="60">
        <v>5.94</v>
      </c>
      <c r="L639" s="56">
        <v>4.2300000000000004</v>
      </c>
      <c r="M639" s="14">
        <f>K639-L639</f>
        <v>1.71</v>
      </c>
      <c r="N639" s="15">
        <f>IFERROR(M639/K639,0)</f>
        <v>0.28787878787878785</v>
      </c>
      <c r="O639" s="14">
        <f>IFERROR(L639/J639,0)</f>
        <v>0.70149253731343286</v>
      </c>
      <c r="P639" s="14">
        <f>IFERROR(L639/G639,0)</f>
        <v>0.32538461538461655</v>
      </c>
      <c r="S639" s="61">
        <v>2</v>
      </c>
    </row>
    <row r="640" spans="1:19" x14ac:dyDescent="0.3">
      <c r="A640" s="9" t="s">
        <v>1519</v>
      </c>
      <c r="B640" s="9" t="s">
        <v>26</v>
      </c>
      <c r="C640" s="9" t="s">
        <v>26</v>
      </c>
      <c r="D640" s="52">
        <v>46133</v>
      </c>
      <c r="E640" s="48">
        <v>0.5625</v>
      </c>
      <c r="F640" s="48">
        <v>0.57222222222222219</v>
      </c>
      <c r="G640" s="43">
        <f>(F640-E640)*1440</f>
        <v>13.99999999999995</v>
      </c>
      <c r="H640" s="9" t="s">
        <v>627</v>
      </c>
      <c r="I640" s="9" t="s">
        <v>1857</v>
      </c>
      <c r="J640" s="44">
        <v>6.8</v>
      </c>
      <c r="K640" s="60">
        <v>5.22</v>
      </c>
      <c r="L640" s="56">
        <v>5.0599999999999996</v>
      </c>
      <c r="M640" s="14">
        <f>K640-L640</f>
        <v>0.16000000000000014</v>
      </c>
      <c r="N640" s="15">
        <f>IFERROR(M640/K640,0)</f>
        <v>3.0651340996168612E-2</v>
      </c>
      <c r="O640" s="14">
        <f>IFERROR(L640/J640,0)</f>
        <v>0.74411764705882344</v>
      </c>
      <c r="P640" s="14">
        <f>IFERROR(L640/G640,0)</f>
        <v>0.36142857142857271</v>
      </c>
    </row>
    <row r="641" spans="1:19" x14ac:dyDescent="0.3">
      <c r="A641" s="9" t="s">
        <v>1516</v>
      </c>
      <c r="B641" s="9" t="s">
        <v>18</v>
      </c>
      <c r="C641" s="9" t="s">
        <v>184</v>
      </c>
      <c r="D641" s="52">
        <v>46133</v>
      </c>
      <c r="E641" s="48">
        <v>0.66875000000000007</v>
      </c>
      <c r="F641" s="48">
        <v>0.68888888888888899</v>
      </c>
      <c r="G641" s="43">
        <f>(F641-E641)*1440</f>
        <v>29.000000000000057</v>
      </c>
      <c r="H641" s="9" t="s">
        <v>1120</v>
      </c>
      <c r="I641" s="9" t="s">
        <v>1852</v>
      </c>
      <c r="J641" s="44">
        <v>8.36</v>
      </c>
      <c r="K641" s="60">
        <v>11</v>
      </c>
      <c r="L641" s="56">
        <v>6.95</v>
      </c>
      <c r="M641" s="14">
        <f>K641-L641</f>
        <v>4.05</v>
      </c>
      <c r="N641" s="15">
        <f>IFERROR(M641/K641,0)</f>
        <v>0.36818181818181817</v>
      </c>
      <c r="O641" s="14">
        <f>IFERROR(L641/J641,0)</f>
        <v>0.83133971291866038</v>
      </c>
      <c r="P641" s="14">
        <f>IFERROR(L641/G641,0)</f>
        <v>0.23965517241379264</v>
      </c>
      <c r="S641" s="61">
        <v>5.74</v>
      </c>
    </row>
    <row r="642" spans="1:19" x14ac:dyDescent="0.3">
      <c r="A642" s="9" t="s">
        <v>1520</v>
      </c>
      <c r="B642" s="9" t="s">
        <v>26</v>
      </c>
      <c r="C642" s="9" t="s">
        <v>26</v>
      </c>
      <c r="D642" s="52">
        <v>46133</v>
      </c>
      <c r="E642" s="48">
        <v>0.74513888888888891</v>
      </c>
      <c r="F642" s="48">
        <v>0.75902777777777775</v>
      </c>
      <c r="G642" s="43">
        <f>(F642-E642)*1440</f>
        <v>19.999999999999929</v>
      </c>
      <c r="H642" s="9" t="s">
        <v>554</v>
      </c>
      <c r="I642" s="9" t="s">
        <v>1858</v>
      </c>
      <c r="J642" s="44">
        <v>4.0999999999999996</v>
      </c>
      <c r="K642" s="60">
        <v>5.36</v>
      </c>
      <c r="L642" s="56">
        <v>5.74</v>
      </c>
      <c r="M642" s="14">
        <f>K642-L642</f>
        <v>-0.37999999999999989</v>
      </c>
      <c r="N642" s="15">
        <f>IFERROR(M642/K642,0)</f>
        <v>-7.0895522388059684E-2</v>
      </c>
      <c r="O642" s="14">
        <f>IFERROR(L642/J642,0)</f>
        <v>1.4000000000000001</v>
      </c>
      <c r="P642" s="14">
        <f>IFERROR(L642/G642,0)</f>
        <v>0.28700000000000103</v>
      </c>
      <c r="R642" s="57">
        <v>2.56</v>
      </c>
    </row>
    <row r="643" spans="1:19" x14ac:dyDescent="0.3">
      <c r="A643" s="9" t="s">
        <v>1533</v>
      </c>
      <c r="B643" s="9" t="s">
        <v>18</v>
      </c>
      <c r="C643" s="9" t="s">
        <v>184</v>
      </c>
      <c r="D643" s="52">
        <v>46134</v>
      </c>
      <c r="E643" s="48">
        <v>0.62152777777777779</v>
      </c>
      <c r="F643" s="48">
        <v>0.63194444444444442</v>
      </c>
      <c r="G643" s="43">
        <f>(F643-E643)*1440</f>
        <v>14.999999999999947</v>
      </c>
      <c r="H643" s="9" t="s">
        <v>1876</v>
      </c>
      <c r="I643" s="9" t="s">
        <v>1877</v>
      </c>
      <c r="J643" s="44">
        <v>10.01</v>
      </c>
      <c r="K643" s="60">
        <v>5.95</v>
      </c>
      <c r="L643" s="56">
        <v>3.87</v>
      </c>
      <c r="M643" s="14">
        <f>K643-L643</f>
        <v>2.08</v>
      </c>
      <c r="N643" s="15">
        <f>IFERROR(M643/K643,0)</f>
        <v>0.34957983193277309</v>
      </c>
      <c r="O643" s="14">
        <f>IFERROR(L643/J643,0)</f>
        <v>0.38661338661338662</v>
      </c>
      <c r="P643" s="14">
        <f>IFERROR(L643/G643,0)</f>
        <v>0.25800000000000095</v>
      </c>
    </row>
    <row r="644" spans="1:19" x14ac:dyDescent="0.3">
      <c r="A644" s="9" t="s">
        <v>1523</v>
      </c>
      <c r="B644" s="9" t="s">
        <v>26</v>
      </c>
      <c r="C644" s="9" t="s">
        <v>27</v>
      </c>
      <c r="D644" s="52">
        <v>46134</v>
      </c>
      <c r="E644" s="48">
        <v>0.53125</v>
      </c>
      <c r="F644" s="48">
        <v>0.54791666666666672</v>
      </c>
      <c r="G644" s="43">
        <f>(F644-E644)*1440</f>
        <v>24.000000000000075</v>
      </c>
      <c r="H644" s="9" t="s">
        <v>829</v>
      </c>
      <c r="I644" s="68" t="s">
        <v>1861</v>
      </c>
      <c r="J644" s="44">
        <v>23.2</v>
      </c>
      <c r="K644" s="60">
        <v>12.74</v>
      </c>
      <c r="L644" s="56">
        <v>9.5500000000000007</v>
      </c>
      <c r="M644" s="14">
        <f>K644-L644</f>
        <v>3.1899999999999995</v>
      </c>
      <c r="N644" s="15">
        <f>IFERROR(M644/K644,0)</f>
        <v>0.25039246467817894</v>
      </c>
      <c r="O644" s="14">
        <f>IFERROR(L644/J644,0)</f>
        <v>0.41163793103448282</v>
      </c>
      <c r="P644" s="14">
        <f>IFERROR(L644/G644,0)</f>
        <v>0.39791666666666548</v>
      </c>
    </row>
    <row r="645" spans="1:19" x14ac:dyDescent="0.3">
      <c r="A645" s="9" t="s">
        <v>1530</v>
      </c>
      <c r="B645" s="9" t="s">
        <v>26</v>
      </c>
      <c r="C645" s="9" t="s">
        <v>26</v>
      </c>
      <c r="D645" s="52">
        <v>46134</v>
      </c>
      <c r="E645" s="48">
        <v>0.86041666666666661</v>
      </c>
      <c r="F645" s="48">
        <v>0.88124999999999998</v>
      </c>
      <c r="G645" s="43">
        <f>(F645-E645)*1440</f>
        <v>30.000000000000053</v>
      </c>
      <c r="H645" s="9" t="s">
        <v>1871</v>
      </c>
      <c r="I645" s="9" t="s">
        <v>1872</v>
      </c>
      <c r="J645" s="44">
        <v>34.299999999999997</v>
      </c>
      <c r="K645" s="60">
        <v>18.96</v>
      </c>
      <c r="L645" s="56">
        <v>15.48</v>
      </c>
      <c r="M645" s="14">
        <f>K645-L645</f>
        <v>3.4800000000000004</v>
      </c>
      <c r="N645" s="15">
        <f>IFERROR(M645/K645,0)</f>
        <v>0.18354430379746836</v>
      </c>
      <c r="O645" s="14">
        <f>IFERROR(L645/J645,0)</f>
        <v>0.45131195335276975</v>
      </c>
      <c r="P645" s="14">
        <f>IFERROR(L645/G645,0)</f>
        <v>0.51599999999999913</v>
      </c>
      <c r="Q645" s="64">
        <v>0.75</v>
      </c>
    </row>
    <row r="646" spans="1:19" x14ac:dyDescent="0.3">
      <c r="A646" s="9" t="s">
        <v>1524</v>
      </c>
      <c r="B646" s="9" t="s">
        <v>26</v>
      </c>
      <c r="C646" s="9" t="s">
        <v>27</v>
      </c>
      <c r="D646" s="52">
        <v>46134</v>
      </c>
      <c r="E646" s="48">
        <v>0.55069444444444449</v>
      </c>
      <c r="F646" s="48">
        <v>0.56874999999999998</v>
      </c>
      <c r="G646" s="43">
        <f>(F646-E646)*1440</f>
        <v>25.999999999999908</v>
      </c>
      <c r="H646" s="9" t="s">
        <v>1862</v>
      </c>
      <c r="I646" s="9" t="s">
        <v>1863</v>
      </c>
      <c r="J646" s="44">
        <v>9.6999999999999993</v>
      </c>
      <c r="K646" s="60">
        <v>6.26</v>
      </c>
      <c r="L646" s="56">
        <v>4.6900000000000004</v>
      </c>
      <c r="M646" s="14">
        <f>K646-L646</f>
        <v>1.5699999999999994</v>
      </c>
      <c r="N646" s="15">
        <f>IFERROR(M646/K646,0)</f>
        <v>0.25079872204472836</v>
      </c>
      <c r="O646" s="14">
        <f>IFERROR(L646/J646,0)</f>
        <v>0.48350515463917532</v>
      </c>
      <c r="P646" s="14">
        <f>IFERROR(L646/G646,0)</f>
        <v>0.18038461538461603</v>
      </c>
    </row>
    <row r="647" spans="1:19" x14ac:dyDescent="0.3">
      <c r="A647" s="9" t="s">
        <v>1535</v>
      </c>
      <c r="B647" s="9" t="s">
        <v>18</v>
      </c>
      <c r="C647" s="9" t="s">
        <v>184</v>
      </c>
      <c r="D647" s="52">
        <v>46134</v>
      </c>
      <c r="E647" s="48">
        <v>0.71458333333333324</v>
      </c>
      <c r="F647" s="48">
        <v>0.74861111111111101</v>
      </c>
      <c r="G647" s="43">
        <f>(F647-E647)*1440</f>
        <v>48.999999999999986</v>
      </c>
      <c r="H647" s="9" t="s">
        <v>1880</v>
      </c>
      <c r="I647" s="9" t="s">
        <v>1881</v>
      </c>
      <c r="J647" s="44">
        <v>20.59</v>
      </c>
      <c r="K647" s="60">
        <v>15.96</v>
      </c>
      <c r="L647" s="56">
        <v>10.37</v>
      </c>
      <c r="M647" s="14">
        <f>K647-L647</f>
        <v>5.5900000000000016</v>
      </c>
      <c r="N647" s="15">
        <f>IFERROR(M647/K647,0)</f>
        <v>0.35025062656641615</v>
      </c>
      <c r="O647" s="14">
        <f>IFERROR(L647/J647,0)</f>
        <v>0.50364254492472071</v>
      </c>
      <c r="P647" s="14">
        <f>IFERROR(L647/G647,0)</f>
        <v>0.21163265306122453</v>
      </c>
    </row>
    <row r="648" spans="1:19" x14ac:dyDescent="0.3">
      <c r="A648" s="9" t="s">
        <v>1536</v>
      </c>
      <c r="B648" s="9" t="s">
        <v>18</v>
      </c>
      <c r="C648" s="9" t="s">
        <v>184</v>
      </c>
      <c r="D648" s="52">
        <v>46134</v>
      </c>
      <c r="E648" s="48">
        <v>0.76527777777777783</v>
      </c>
      <c r="F648" s="48">
        <v>0.79027777777777775</v>
      </c>
      <c r="G648" s="43">
        <f>(F648-E648)*1440</f>
        <v>35.999999999999872</v>
      </c>
      <c r="H648" s="9" t="s">
        <v>1882</v>
      </c>
      <c r="I648" s="9" t="s">
        <v>1883</v>
      </c>
      <c r="J648" s="44">
        <v>21.34</v>
      </c>
      <c r="K648" s="60">
        <v>16.36</v>
      </c>
      <c r="L648" s="56">
        <v>11.14</v>
      </c>
      <c r="M648" s="14">
        <f>K648-L648</f>
        <v>5.2199999999999989</v>
      </c>
      <c r="N648" s="15">
        <f>IFERROR(M648/K648,0)</f>
        <v>0.31907090464547672</v>
      </c>
      <c r="O648" s="14">
        <f>IFERROR(L648/J648,0)</f>
        <v>0.5220243673851922</v>
      </c>
      <c r="P648" s="14">
        <f>IFERROR(L648/G648,0)</f>
        <v>0.30944444444444558</v>
      </c>
    </row>
    <row r="649" spans="1:19" x14ac:dyDescent="0.3">
      <c r="A649" s="9" t="s">
        <v>1538</v>
      </c>
      <c r="B649" s="9" t="s">
        <v>18</v>
      </c>
      <c r="C649" s="9" t="s">
        <v>184</v>
      </c>
      <c r="D649" s="52">
        <v>46134</v>
      </c>
      <c r="E649" s="48">
        <v>0.82500000000000007</v>
      </c>
      <c r="F649" s="48">
        <v>0.83611111111111114</v>
      </c>
      <c r="G649" s="43">
        <f>(F649-E649)*1440</f>
        <v>15.999999999999943</v>
      </c>
      <c r="H649" s="9" t="s">
        <v>1886</v>
      </c>
      <c r="I649" s="9" t="s">
        <v>1887</v>
      </c>
      <c r="J649" s="44">
        <v>9.67</v>
      </c>
      <c r="K649" s="60">
        <v>7.93</v>
      </c>
      <c r="L649" s="56">
        <v>5.15</v>
      </c>
      <c r="M649" s="14">
        <f>K649-L649</f>
        <v>2.7799999999999994</v>
      </c>
      <c r="N649" s="15">
        <f>IFERROR(M649/K649,0)</f>
        <v>0.35056746532156363</v>
      </c>
      <c r="O649" s="14">
        <f>IFERROR(L649/J649,0)</f>
        <v>0.53257497414684596</v>
      </c>
      <c r="P649" s="14">
        <f>IFERROR(L649/G649,0)</f>
        <v>0.32187500000000119</v>
      </c>
    </row>
    <row r="650" spans="1:19" x14ac:dyDescent="0.3">
      <c r="A650" s="9" t="s">
        <v>1525</v>
      </c>
      <c r="B650" s="9" t="s">
        <v>26</v>
      </c>
      <c r="C650" s="9" t="s">
        <v>26</v>
      </c>
      <c r="D650" s="52">
        <v>46134</v>
      </c>
      <c r="E650" s="48">
        <v>0.56944444444444442</v>
      </c>
      <c r="F650" s="48">
        <v>0.5805555555555556</v>
      </c>
      <c r="G650" s="43">
        <f>(F650-E650)*1440</f>
        <v>16.000000000000103</v>
      </c>
      <c r="H650" s="9" t="s">
        <v>1865</v>
      </c>
      <c r="I650" s="9" t="s">
        <v>1864</v>
      </c>
      <c r="J650" s="44">
        <v>7.1</v>
      </c>
      <c r="K650" s="60">
        <v>5.62</v>
      </c>
      <c r="L650" s="56">
        <v>4.21</v>
      </c>
      <c r="M650" s="14">
        <f>K650-L650</f>
        <v>1.4100000000000001</v>
      </c>
      <c r="N650" s="15">
        <f>IFERROR(M650/K650,0)</f>
        <v>0.25088967971530252</v>
      </c>
      <c r="O650" s="14">
        <f>IFERROR(L650/J650,0)</f>
        <v>0.59295774647887323</v>
      </c>
      <c r="P650" s="14">
        <f>IFERROR(L650/G650,0)</f>
        <v>0.26312499999999828</v>
      </c>
    </row>
    <row r="651" spans="1:19" x14ac:dyDescent="0.3">
      <c r="A651" s="9" t="s">
        <v>1526</v>
      </c>
      <c r="B651" s="9" t="s">
        <v>26</v>
      </c>
      <c r="C651" s="9" t="s">
        <v>26</v>
      </c>
      <c r="D651" s="52">
        <v>46134</v>
      </c>
      <c r="E651" s="48">
        <v>0.64374999999999993</v>
      </c>
      <c r="F651" s="48">
        <v>0.65763888888888888</v>
      </c>
      <c r="G651" s="43">
        <f>(F651-E651)*1440</f>
        <v>20.000000000000089</v>
      </c>
      <c r="H651" s="9" t="s">
        <v>576</v>
      </c>
      <c r="I651" s="9" t="s">
        <v>1866</v>
      </c>
      <c r="J651" s="44">
        <v>12.4</v>
      </c>
      <c r="K651" s="60">
        <v>8.6300000000000008</v>
      </c>
      <c r="L651" s="56">
        <v>7.49</v>
      </c>
      <c r="M651" s="14">
        <f>K651-L651</f>
        <v>1.1400000000000006</v>
      </c>
      <c r="N651" s="15">
        <f>IFERROR(M651/K651,0)</f>
        <v>0.13209733487833145</v>
      </c>
      <c r="O651" s="14">
        <f>IFERROR(L651/J651,0)</f>
        <v>0.6040322580645161</v>
      </c>
      <c r="P651" s="14">
        <f>IFERROR(L651/G651,0)</f>
        <v>0.37449999999999833</v>
      </c>
    </row>
    <row r="652" spans="1:19" x14ac:dyDescent="0.3">
      <c r="A652" s="9" t="s">
        <v>1531</v>
      </c>
      <c r="B652" s="9" t="s">
        <v>18</v>
      </c>
      <c r="C652" s="9" t="s">
        <v>196</v>
      </c>
      <c r="D652" s="52">
        <v>46134</v>
      </c>
      <c r="E652" s="48">
        <v>0.58611111111111114</v>
      </c>
      <c r="F652" s="48">
        <v>0.59583333333333333</v>
      </c>
      <c r="G652" s="43">
        <f>(F652-E652)*1440</f>
        <v>13.99999999999995</v>
      </c>
      <c r="H652" s="9" t="s">
        <v>1873</v>
      </c>
      <c r="I652" s="9" t="s">
        <v>688</v>
      </c>
      <c r="J652" s="44">
        <v>8.41</v>
      </c>
      <c r="K652" s="60">
        <v>7.98</v>
      </c>
      <c r="L652" s="56">
        <v>5.19</v>
      </c>
      <c r="M652" s="14">
        <f>K652-L652</f>
        <v>2.79</v>
      </c>
      <c r="N652" s="15">
        <f>IFERROR(M652/K652,0)</f>
        <v>0.34962406015037595</v>
      </c>
      <c r="O652" s="14">
        <f>IFERROR(L652/J652,0)</f>
        <v>0.61712247324613556</v>
      </c>
      <c r="P652" s="14">
        <f>IFERROR(L652/G652,0)</f>
        <v>0.37071428571428705</v>
      </c>
    </row>
    <row r="653" spans="1:19" x14ac:dyDescent="0.3">
      <c r="A653" s="9" t="s">
        <v>1529</v>
      </c>
      <c r="B653" s="9" t="s">
        <v>26</v>
      </c>
      <c r="C653" s="9" t="s">
        <v>26</v>
      </c>
      <c r="D653" s="52">
        <v>46134</v>
      </c>
      <c r="E653" s="48">
        <v>0.84236111111111101</v>
      </c>
      <c r="F653" s="48">
        <v>0.85486111111111107</v>
      </c>
      <c r="G653" s="43">
        <f>(F653-E653)*1440</f>
        <v>18.000000000000096</v>
      </c>
      <c r="H653" s="9" t="s">
        <v>1869</v>
      </c>
      <c r="I653" s="9" t="s">
        <v>1870</v>
      </c>
      <c r="J653" s="44">
        <v>6.4</v>
      </c>
      <c r="K653" s="60">
        <v>4.72</v>
      </c>
      <c r="L653" s="56">
        <v>4.16</v>
      </c>
      <c r="M653" s="14">
        <f>K653-L653</f>
        <v>0.55999999999999961</v>
      </c>
      <c r="N653" s="15">
        <f>IFERROR(M653/K653,0)</f>
        <v>0.11864406779661009</v>
      </c>
      <c r="O653" s="14">
        <f>IFERROR(L653/J653,0)</f>
        <v>0.65</v>
      </c>
      <c r="P653" s="14">
        <f>IFERROR(L653/G653,0)</f>
        <v>0.23111111111110988</v>
      </c>
    </row>
    <row r="654" spans="1:19" x14ac:dyDescent="0.3">
      <c r="A654" s="9" t="s">
        <v>1537</v>
      </c>
      <c r="B654" s="9" t="s">
        <v>18</v>
      </c>
      <c r="C654" s="9" t="s">
        <v>196</v>
      </c>
      <c r="D654" s="52">
        <v>46134</v>
      </c>
      <c r="E654" s="48">
        <v>0.81111111111111101</v>
      </c>
      <c r="F654" s="48">
        <v>0.81944444444444453</v>
      </c>
      <c r="G654" s="43">
        <f>(F654-E654)*1440</f>
        <v>12.000000000000277</v>
      </c>
      <c r="H654" s="9" t="s">
        <v>1884</v>
      </c>
      <c r="I654" s="9" t="s">
        <v>1885</v>
      </c>
      <c r="J654" s="44">
        <v>6.63</v>
      </c>
      <c r="K654" s="60">
        <v>6.98</v>
      </c>
      <c r="L654" s="56">
        <v>4.54</v>
      </c>
      <c r="M654" s="14">
        <f>K654-L654</f>
        <v>2.4400000000000004</v>
      </c>
      <c r="N654" s="15">
        <f>IFERROR(M654/K654,0)</f>
        <v>0.34957020057306593</v>
      </c>
      <c r="O654" s="14">
        <f>IFERROR(L654/J654,0)</f>
        <v>0.68476621417797889</v>
      </c>
      <c r="P654" s="14">
        <f>IFERROR(L654/G654,0)</f>
        <v>0.37833333333332458</v>
      </c>
      <c r="S654" s="61">
        <v>1</v>
      </c>
    </row>
    <row r="655" spans="1:19" x14ac:dyDescent="0.3">
      <c r="A655" s="9" t="s">
        <v>1528</v>
      </c>
      <c r="B655" s="9" t="s">
        <v>26</v>
      </c>
      <c r="C655" s="9" t="s">
        <v>26</v>
      </c>
      <c r="D655" s="52">
        <v>46134</v>
      </c>
      <c r="E655" s="48">
        <v>0.8041666666666667</v>
      </c>
      <c r="F655" s="48">
        <v>0.81319444444444444</v>
      </c>
      <c r="G655" s="43">
        <f>(F655-E655)*1440</f>
        <v>12.999999999999954</v>
      </c>
      <c r="H655" s="9" t="s">
        <v>1868</v>
      </c>
      <c r="I655" s="9" t="s">
        <v>1331</v>
      </c>
      <c r="J655" s="44">
        <v>6.3</v>
      </c>
      <c r="K655" s="60">
        <v>6.27</v>
      </c>
      <c r="L655" s="56">
        <v>4.7</v>
      </c>
      <c r="M655" s="14">
        <f>K655-L655</f>
        <v>1.5699999999999994</v>
      </c>
      <c r="N655" s="15">
        <f>IFERROR(M655/K655,0)</f>
        <v>0.25039872408293451</v>
      </c>
      <c r="O655" s="14">
        <f>IFERROR(L655/J655,0)</f>
        <v>0.74603174603174605</v>
      </c>
      <c r="P655" s="14">
        <f>IFERROR(L655/G655,0)</f>
        <v>0.36153846153846286</v>
      </c>
    </row>
    <row r="656" spans="1:19" x14ac:dyDescent="0.3">
      <c r="A656" s="9" t="s">
        <v>1527</v>
      </c>
      <c r="B656" s="9" t="s">
        <v>26</v>
      </c>
      <c r="C656" s="9" t="s">
        <v>26</v>
      </c>
      <c r="D656" s="52">
        <v>46134</v>
      </c>
      <c r="E656" s="48">
        <v>0.68125000000000002</v>
      </c>
      <c r="F656" s="48">
        <v>0.71250000000000002</v>
      </c>
      <c r="G656" s="43">
        <f>(F656-E656)*1440</f>
        <v>45</v>
      </c>
      <c r="H656" s="9" t="s">
        <v>1120</v>
      </c>
      <c r="I656" s="9" t="s">
        <v>1867</v>
      </c>
      <c r="J656" s="44">
        <v>11.5</v>
      </c>
      <c r="K656" s="60">
        <v>11.14</v>
      </c>
      <c r="L656" s="56">
        <v>9.44</v>
      </c>
      <c r="M656" s="14">
        <f>K656-L656</f>
        <v>1.7000000000000011</v>
      </c>
      <c r="N656" s="15">
        <f>IFERROR(M656/K656,0)</f>
        <v>0.1526032315978457</v>
      </c>
      <c r="O656" s="14">
        <f>IFERROR(L656/J656,0)</f>
        <v>0.82086956521739129</v>
      </c>
      <c r="P656" s="14">
        <f>IFERROR(L656/G656,0)</f>
        <v>0.20977777777777776</v>
      </c>
    </row>
    <row r="657" spans="1:17" x14ac:dyDescent="0.3">
      <c r="A657" s="9" t="s">
        <v>1532</v>
      </c>
      <c r="B657" s="9" t="s">
        <v>18</v>
      </c>
      <c r="C657" s="9" t="s">
        <v>196</v>
      </c>
      <c r="D657" s="52">
        <v>46134</v>
      </c>
      <c r="E657" s="48">
        <v>0.61388888888888882</v>
      </c>
      <c r="F657" s="48">
        <v>0.62222222222222223</v>
      </c>
      <c r="G657" s="43">
        <f>(F657-E657)*1440</f>
        <v>12.000000000000117</v>
      </c>
      <c r="H657" s="9" t="s">
        <v>1874</v>
      </c>
      <c r="I657" s="9" t="s">
        <v>1875</v>
      </c>
      <c r="J657" s="44">
        <v>4.3</v>
      </c>
      <c r="K657" s="60">
        <v>4.99</v>
      </c>
      <c r="L657" s="56">
        <v>3.67</v>
      </c>
      <c r="M657" s="14">
        <f>K657-L657</f>
        <v>1.3200000000000003</v>
      </c>
      <c r="N657" s="15">
        <f>IFERROR(M657/K657,0)</f>
        <v>0.26452905811623251</v>
      </c>
      <c r="O657" s="14">
        <f>IFERROR(L657/J657,0)</f>
        <v>0.85348837209302331</v>
      </c>
      <c r="P657" s="14">
        <f>IFERROR(L657/G657,0)</f>
        <v>0.30583333333333035</v>
      </c>
    </row>
    <row r="658" spans="1:17" x14ac:dyDescent="0.3">
      <c r="A658" s="9" t="s">
        <v>1534</v>
      </c>
      <c r="B658" s="9" t="s">
        <v>18</v>
      </c>
      <c r="C658" s="9" t="s">
        <v>196</v>
      </c>
      <c r="D658" s="52">
        <v>46134</v>
      </c>
      <c r="E658" s="48">
        <v>0.65833333333333333</v>
      </c>
      <c r="F658" s="48">
        <v>0.66319444444444442</v>
      </c>
      <c r="G658" s="43">
        <f>(F658-E658)*1440</f>
        <v>6.9999999999999751</v>
      </c>
      <c r="H658" s="9" t="s">
        <v>1878</v>
      </c>
      <c r="I658" s="9" t="s">
        <v>1879</v>
      </c>
      <c r="J658" s="44">
        <v>3.46</v>
      </c>
      <c r="K658" s="60">
        <v>4.9800000000000004</v>
      </c>
      <c r="L658" s="56">
        <v>3.67</v>
      </c>
      <c r="M658" s="14">
        <f>K658-L658</f>
        <v>1.3100000000000005</v>
      </c>
      <c r="N658" s="15">
        <f>IFERROR(M658/K658,0)</f>
        <v>0.26305220883534142</v>
      </c>
      <c r="O658" s="14">
        <f>IFERROR(L658/J658,0)</f>
        <v>1.0606936416184971</v>
      </c>
      <c r="P658" s="14">
        <f>IFERROR(L658/G658,0)</f>
        <v>0.52428571428571613</v>
      </c>
    </row>
    <row r="659" spans="1:17" x14ac:dyDescent="0.3">
      <c r="A659" s="9" t="s">
        <v>1539</v>
      </c>
      <c r="B659" s="9" t="s">
        <v>18</v>
      </c>
      <c r="C659" s="9" t="s">
        <v>184</v>
      </c>
      <c r="D659" s="52">
        <v>46135</v>
      </c>
      <c r="E659" s="48">
        <v>0.56736111111111109</v>
      </c>
      <c r="F659" s="48">
        <v>0.57986111111111105</v>
      </c>
      <c r="G659" s="43">
        <f>(F659-E659)*1440</f>
        <v>17.999999999999936</v>
      </c>
      <c r="H659" s="9" t="s">
        <v>214</v>
      </c>
      <c r="I659" s="9" t="s">
        <v>1888</v>
      </c>
      <c r="J659" s="44">
        <v>17.28</v>
      </c>
      <c r="K659" s="60">
        <v>9.94</v>
      </c>
      <c r="L659" s="56">
        <v>6.9</v>
      </c>
      <c r="M659" s="14">
        <f>K659-L659</f>
        <v>3.0399999999999991</v>
      </c>
      <c r="N659" s="15">
        <f>IFERROR(M659/K659,0)</f>
        <v>0.30583501006036212</v>
      </c>
      <c r="O659" s="14">
        <f>IFERROR(L659/J659,0)</f>
        <v>0.39930555555555552</v>
      </c>
      <c r="P659" s="14">
        <f>IFERROR(L659/G659,0)</f>
        <v>0.38333333333333469</v>
      </c>
      <c r="Q659" s="64">
        <v>0.4</v>
      </c>
    </row>
    <row r="660" spans="1:17" x14ac:dyDescent="0.3">
      <c r="A660" s="9" t="s">
        <v>1554</v>
      </c>
      <c r="B660" s="9" t="s">
        <v>26</v>
      </c>
      <c r="C660" s="9" t="s">
        <v>27</v>
      </c>
      <c r="D660" s="52">
        <v>46135</v>
      </c>
      <c r="E660" s="48">
        <v>0.87291666666666667</v>
      </c>
      <c r="F660" s="48">
        <v>0.88263888888888886</v>
      </c>
      <c r="G660" s="43">
        <f>(F660-E660)*1440</f>
        <v>13.99999999999995</v>
      </c>
      <c r="H660" s="9" t="s">
        <v>210</v>
      </c>
      <c r="I660" s="9" t="s">
        <v>631</v>
      </c>
      <c r="J660" s="44">
        <v>10</v>
      </c>
      <c r="K660" s="60">
        <v>5.58</v>
      </c>
      <c r="L660" s="56">
        <v>4.18</v>
      </c>
      <c r="M660" s="14">
        <f>K660-L660</f>
        <v>1.4000000000000004</v>
      </c>
      <c r="N660" s="15">
        <f>IFERROR(M660/K660,0)</f>
        <v>0.25089605734767029</v>
      </c>
      <c r="O660" s="14">
        <f>IFERROR(L660/J660,0)</f>
        <v>0.41799999999999998</v>
      </c>
      <c r="P660" s="14">
        <f>IFERROR(L660/G660,0)</f>
        <v>0.2985714285714296</v>
      </c>
    </row>
    <row r="661" spans="1:17" x14ac:dyDescent="0.3">
      <c r="A661" s="9" t="s">
        <v>1545</v>
      </c>
      <c r="B661" s="9" t="s">
        <v>26</v>
      </c>
      <c r="C661" s="9" t="s">
        <v>27</v>
      </c>
      <c r="D661" s="52">
        <v>46135</v>
      </c>
      <c r="E661" s="48">
        <v>0.55208333333333337</v>
      </c>
      <c r="F661" s="48">
        <v>0.56597222222222221</v>
      </c>
      <c r="G661" s="43">
        <f>(F661-E661)*1440</f>
        <v>19.999999999999929</v>
      </c>
      <c r="H661" s="9" t="s">
        <v>1895</v>
      </c>
      <c r="I661" s="9" t="s">
        <v>1896</v>
      </c>
      <c r="J661" s="44">
        <v>24.1</v>
      </c>
      <c r="K661" s="60">
        <v>13.54</v>
      </c>
      <c r="L661" s="56">
        <v>11.17</v>
      </c>
      <c r="M661" s="14">
        <f>K661-L661</f>
        <v>2.3699999999999992</v>
      </c>
      <c r="N661" s="15">
        <f>IFERROR(M661/K661,0)</f>
        <v>0.1750369276218611</v>
      </c>
      <c r="O661" s="14">
        <f>IFERROR(L661/J661,0)</f>
        <v>0.4634854771784232</v>
      </c>
      <c r="P661" s="14">
        <f>IFERROR(L661/G661,0)</f>
        <v>0.55850000000000199</v>
      </c>
    </row>
    <row r="662" spans="1:17" x14ac:dyDescent="0.3">
      <c r="A662" s="9" t="s">
        <v>1546</v>
      </c>
      <c r="B662" s="9" t="s">
        <v>26</v>
      </c>
      <c r="C662" s="9" t="s">
        <v>26</v>
      </c>
      <c r="D662" s="52">
        <v>46135</v>
      </c>
      <c r="E662" s="48">
        <v>0.58888888888888891</v>
      </c>
      <c r="F662" s="48">
        <v>0.6020833333333333</v>
      </c>
      <c r="G662" s="43">
        <f>(F662-E662)*1440</f>
        <v>18.999999999999932</v>
      </c>
      <c r="H662" s="9" t="s">
        <v>1897</v>
      </c>
      <c r="I662" s="9" t="s">
        <v>1898</v>
      </c>
      <c r="J662" s="44">
        <v>18.8</v>
      </c>
      <c r="K662" s="60">
        <v>9.69</v>
      </c>
      <c r="L662" s="56">
        <v>9.18</v>
      </c>
      <c r="M662" s="14">
        <f>K662-L662</f>
        <v>0.50999999999999979</v>
      </c>
      <c r="N662" s="15">
        <f>IFERROR(M662/K662,0)</f>
        <v>5.2631578947368404E-2</v>
      </c>
      <c r="O662" s="14">
        <f>IFERROR(L662/J662,0)</f>
        <v>0.48829787234042549</v>
      </c>
      <c r="P662" s="14">
        <f>IFERROR(L662/G662,0)</f>
        <v>0.48315789473684378</v>
      </c>
    </row>
    <row r="663" spans="1:17" x14ac:dyDescent="0.3">
      <c r="A663" s="9" t="s">
        <v>1552</v>
      </c>
      <c r="B663" s="9" t="s">
        <v>26</v>
      </c>
      <c r="C663" s="9" t="s">
        <v>27</v>
      </c>
      <c r="D663" s="52">
        <v>46135</v>
      </c>
      <c r="E663" s="48">
        <v>0.82777777777777783</v>
      </c>
      <c r="F663" s="48">
        <v>0.83888888888888891</v>
      </c>
      <c r="G663" s="43">
        <f>(F663-E663)*1440</f>
        <v>15.999999999999943</v>
      </c>
      <c r="H663" s="9" t="s">
        <v>266</v>
      </c>
      <c r="I663" s="9" t="s">
        <v>1905</v>
      </c>
      <c r="J663" s="44">
        <v>8.9</v>
      </c>
      <c r="K663" s="60">
        <v>5.94</v>
      </c>
      <c r="L663" s="56">
        <v>4.45</v>
      </c>
      <c r="M663" s="14">
        <f>K663-L663</f>
        <v>1.4900000000000002</v>
      </c>
      <c r="N663" s="15">
        <f>IFERROR(M663/K663,0)</f>
        <v>0.25084175084175087</v>
      </c>
      <c r="O663" s="14">
        <f>IFERROR(L663/J663,0)</f>
        <v>0.5</v>
      </c>
      <c r="P663" s="14">
        <f>IFERROR(L663/G663,0)</f>
        <v>0.27812500000000101</v>
      </c>
    </row>
    <row r="664" spans="1:17" x14ac:dyDescent="0.3">
      <c r="A664" s="9" t="s">
        <v>1541</v>
      </c>
      <c r="B664" s="9" t="s">
        <v>18</v>
      </c>
      <c r="C664" s="9" t="s">
        <v>184</v>
      </c>
      <c r="D664" s="52">
        <v>46135</v>
      </c>
      <c r="E664" s="48">
        <v>0.65486111111111112</v>
      </c>
      <c r="F664" s="48">
        <v>0.67638888888888893</v>
      </c>
      <c r="G664" s="43">
        <f>(F664-E664)*1440</f>
        <v>31.00000000000005</v>
      </c>
      <c r="H664" s="9" t="s">
        <v>1120</v>
      </c>
      <c r="I664" s="9" t="s">
        <v>1889</v>
      </c>
      <c r="J664" s="44">
        <v>15.14</v>
      </c>
      <c r="K664" s="60">
        <v>13.94</v>
      </c>
      <c r="L664" s="56">
        <v>8.3699999999999992</v>
      </c>
      <c r="M664" s="14">
        <f>K664-L664</f>
        <v>5.57</v>
      </c>
      <c r="N664" s="15">
        <f>IFERROR(M664/K664,0)</f>
        <v>0.39956958393113345</v>
      </c>
      <c r="O664" s="14">
        <f>IFERROR(L664/J664,0)</f>
        <v>0.55284015852047552</v>
      </c>
      <c r="P664" s="14">
        <f>IFERROR(L664/G664,0)</f>
        <v>0.26999999999999952</v>
      </c>
    </row>
    <row r="665" spans="1:17" x14ac:dyDescent="0.3">
      <c r="A665" s="9" t="s">
        <v>1548</v>
      </c>
      <c r="B665" s="9" t="s">
        <v>26</v>
      </c>
      <c r="C665" s="9" t="s">
        <v>26</v>
      </c>
      <c r="D665" s="52">
        <v>46135</v>
      </c>
      <c r="E665" s="48">
        <v>0.68611111111111101</v>
      </c>
      <c r="F665" s="48">
        <v>0.69652777777777775</v>
      </c>
      <c r="G665" s="43">
        <f>(F665-E665)*1440</f>
        <v>15.000000000000107</v>
      </c>
      <c r="H665" s="9" t="s">
        <v>1285</v>
      </c>
      <c r="I665" s="9" t="s">
        <v>1899</v>
      </c>
      <c r="J665" s="44">
        <v>8.1999999999999993</v>
      </c>
      <c r="K665" s="60">
        <v>5.03</v>
      </c>
      <c r="L665" s="56">
        <v>4.72</v>
      </c>
      <c r="M665" s="14">
        <f>K665-L665</f>
        <v>0.3100000000000005</v>
      </c>
      <c r="N665" s="15">
        <f>IFERROR(M665/K665,0)</f>
        <v>6.1630218687872856E-2</v>
      </c>
      <c r="O665" s="14">
        <f>IFERROR(L665/J665,0)</f>
        <v>0.57560975609756104</v>
      </c>
      <c r="P665" s="14">
        <f>IFERROR(L665/G665,0)</f>
        <v>0.31466666666666443</v>
      </c>
    </row>
    <row r="666" spans="1:17" x14ac:dyDescent="0.3">
      <c r="A666" s="9" t="s">
        <v>1549</v>
      </c>
      <c r="B666" s="9" t="s">
        <v>26</v>
      </c>
      <c r="C666" s="9" t="s">
        <v>26</v>
      </c>
      <c r="D666" s="52">
        <v>46135</v>
      </c>
      <c r="E666" s="48">
        <v>0.71944444444444444</v>
      </c>
      <c r="F666" s="48">
        <v>0.73125000000000007</v>
      </c>
      <c r="G666" s="43">
        <f>(F666-E666)*1440</f>
        <v>17.000000000000099</v>
      </c>
      <c r="H666" s="9" t="s">
        <v>1899</v>
      </c>
      <c r="I666" s="9" t="s">
        <v>1900</v>
      </c>
      <c r="J666" s="44">
        <v>8.4</v>
      </c>
      <c r="K666" s="60">
        <v>6.32</v>
      </c>
      <c r="L666" s="56">
        <v>5.26</v>
      </c>
      <c r="M666" s="14">
        <f>K666-L666</f>
        <v>1.0600000000000005</v>
      </c>
      <c r="N666" s="15">
        <f>IFERROR(M666/K666,0)</f>
        <v>0.16772151898734183</v>
      </c>
      <c r="O666" s="14">
        <f>IFERROR(L666/J666,0)</f>
        <v>0.62619047619047619</v>
      </c>
      <c r="P666" s="14">
        <f>IFERROR(L666/G666,0)</f>
        <v>0.30941176470588055</v>
      </c>
    </row>
    <row r="667" spans="1:17" x14ac:dyDescent="0.3">
      <c r="A667" s="9" t="s">
        <v>1553</v>
      </c>
      <c r="B667" s="9" t="s">
        <v>26</v>
      </c>
      <c r="C667" s="9" t="s">
        <v>27</v>
      </c>
      <c r="D667" s="52">
        <v>46135</v>
      </c>
      <c r="E667" s="48">
        <v>0.85972222222222217</v>
      </c>
      <c r="F667" s="48">
        <v>0.87013888888888891</v>
      </c>
      <c r="G667" s="43">
        <f>(F667-E667)*1440</f>
        <v>15.000000000000107</v>
      </c>
      <c r="H667" s="9" t="s">
        <v>1367</v>
      </c>
      <c r="I667" s="9" t="s">
        <v>1906</v>
      </c>
      <c r="J667" s="44">
        <v>8.9</v>
      </c>
      <c r="K667" s="60">
        <v>6.88</v>
      </c>
      <c r="L667" s="56">
        <v>5.68</v>
      </c>
      <c r="M667" s="14">
        <f>K667-L667</f>
        <v>1.2000000000000002</v>
      </c>
      <c r="N667" s="15">
        <f>IFERROR(M667/K667,0)</f>
        <v>0.17441860465116282</v>
      </c>
      <c r="O667" s="14">
        <f>IFERROR(L667/J667,0)</f>
        <v>0.63820224719101115</v>
      </c>
      <c r="P667" s="14">
        <f>IFERROR(L667/G667,0)</f>
        <v>0.37866666666666393</v>
      </c>
    </row>
    <row r="668" spans="1:17" x14ac:dyDescent="0.3">
      <c r="A668" s="9" t="s">
        <v>1544</v>
      </c>
      <c r="B668" s="9" t="s">
        <v>18</v>
      </c>
      <c r="C668" s="9" t="s">
        <v>196</v>
      </c>
      <c r="D668" s="52">
        <v>46135</v>
      </c>
      <c r="E668" s="48">
        <v>0.84027777777777779</v>
      </c>
      <c r="F668" s="48">
        <v>0.85277777777777775</v>
      </c>
      <c r="G668" s="43">
        <f>(F668-E668)*1440</f>
        <v>17.999999999999936</v>
      </c>
      <c r="H668" s="9" t="s">
        <v>1893</v>
      </c>
      <c r="I668" s="9" t="s">
        <v>1894</v>
      </c>
      <c r="J668" s="44">
        <v>9.5</v>
      </c>
      <c r="K668" s="60">
        <v>8.99</v>
      </c>
      <c r="L668" s="56">
        <v>6.23</v>
      </c>
      <c r="M668" s="14">
        <f>K668-L668</f>
        <v>2.76</v>
      </c>
      <c r="N668" s="15">
        <f>IFERROR(M668/K668,0)</f>
        <v>0.30700778642936594</v>
      </c>
      <c r="O668" s="14">
        <f>IFERROR(L668/J668,0)</f>
        <v>0.65578947368421059</v>
      </c>
      <c r="P668" s="14">
        <f>IFERROR(L668/G668,0)</f>
        <v>0.34611111111111237</v>
      </c>
    </row>
    <row r="669" spans="1:17" x14ac:dyDescent="0.3">
      <c r="A669" s="9" t="s">
        <v>1551</v>
      </c>
      <c r="B669" s="9" t="s">
        <v>26</v>
      </c>
      <c r="C669" s="9" t="s">
        <v>26</v>
      </c>
      <c r="D669" s="52">
        <v>46135</v>
      </c>
      <c r="E669" s="48">
        <v>0.77430555555555547</v>
      </c>
      <c r="F669" s="48">
        <v>0.7895833333333333</v>
      </c>
      <c r="G669" s="43">
        <f>(F669-E669)*1440</f>
        <v>22.000000000000082</v>
      </c>
      <c r="H669" s="9" t="s">
        <v>1903</v>
      </c>
      <c r="I669" s="9" t="s">
        <v>1904</v>
      </c>
      <c r="J669" s="44">
        <v>10</v>
      </c>
      <c r="K669" s="60">
        <v>7.22</v>
      </c>
      <c r="L669" s="56">
        <v>6.77</v>
      </c>
      <c r="M669" s="14">
        <f>K669-L669</f>
        <v>0.45000000000000018</v>
      </c>
      <c r="N669" s="15">
        <f>IFERROR(M669/K669,0)</f>
        <v>6.2326869806094212E-2</v>
      </c>
      <c r="O669" s="14">
        <f>IFERROR(L669/J669,0)</f>
        <v>0.67699999999999994</v>
      </c>
      <c r="P669" s="14">
        <f>IFERROR(L669/G669,0)</f>
        <v>0.30772727272727157</v>
      </c>
    </row>
    <row r="670" spans="1:17" x14ac:dyDescent="0.3">
      <c r="A670" s="9" t="s">
        <v>1547</v>
      </c>
      <c r="B670" s="9" t="s">
        <v>26</v>
      </c>
      <c r="C670" s="9" t="s">
        <v>27</v>
      </c>
      <c r="D670" s="52">
        <v>46135</v>
      </c>
      <c r="E670" s="48">
        <v>0.62708333333333333</v>
      </c>
      <c r="F670" s="48">
        <v>0.63958333333333328</v>
      </c>
      <c r="G670" s="43">
        <f>(F670-E670)*1440</f>
        <v>17.999999999999936</v>
      </c>
      <c r="H670" s="9" t="s">
        <v>844</v>
      </c>
      <c r="I670" s="9" t="s">
        <v>611</v>
      </c>
      <c r="J670" s="44">
        <v>6</v>
      </c>
      <c r="K670" s="60">
        <v>5.03</v>
      </c>
      <c r="L670" s="56">
        <v>4.1500000000000004</v>
      </c>
      <c r="M670" s="14">
        <f>K670-L670</f>
        <v>0.87999999999999989</v>
      </c>
      <c r="N670" s="15">
        <f>IFERROR(M670/K670,0)</f>
        <v>0.17495029821073554</v>
      </c>
      <c r="O670" s="14">
        <f>IFERROR(L670/J670,0)</f>
        <v>0.69166666666666676</v>
      </c>
      <c r="P670" s="14">
        <f>IFERROR(L670/G670,0)</f>
        <v>0.2305555555555564</v>
      </c>
    </row>
    <row r="671" spans="1:17" x14ac:dyDescent="0.3">
      <c r="A671" s="9" t="s">
        <v>1550</v>
      </c>
      <c r="B671" s="9" t="s">
        <v>26</v>
      </c>
      <c r="C671" s="9" t="s">
        <v>26</v>
      </c>
      <c r="D671" s="52">
        <v>46135</v>
      </c>
      <c r="E671" s="48">
        <v>0.73472222222222217</v>
      </c>
      <c r="F671" s="48">
        <v>0.74375000000000002</v>
      </c>
      <c r="G671" s="43">
        <v>13</v>
      </c>
      <c r="H671" s="9" t="s">
        <v>1902</v>
      </c>
      <c r="I671" s="9" t="s">
        <v>1901</v>
      </c>
      <c r="J671" s="44">
        <v>6.6</v>
      </c>
      <c r="K671" s="60">
        <v>6.23</v>
      </c>
      <c r="L671" s="56">
        <v>4.92</v>
      </c>
      <c r="M671" s="14">
        <f>K671-L671</f>
        <v>1.3100000000000005</v>
      </c>
      <c r="N671" s="15">
        <f>IFERROR(M671/K671,0)</f>
        <v>0.21027287319422158</v>
      </c>
      <c r="O671" s="14">
        <f>IFERROR(L671/J671,0)</f>
        <v>0.74545454545454548</v>
      </c>
      <c r="P671" s="14">
        <f>IFERROR(L671/G671,0)</f>
        <v>0.37846153846153846</v>
      </c>
    </row>
    <row r="672" spans="1:17" x14ac:dyDescent="0.3">
      <c r="A672" s="9" t="s">
        <v>1543</v>
      </c>
      <c r="B672" s="9" t="s">
        <v>18</v>
      </c>
      <c r="C672" s="9" t="s">
        <v>184</v>
      </c>
      <c r="D672" s="52">
        <v>46135</v>
      </c>
      <c r="E672" s="48">
        <v>0.7909722222222223</v>
      </c>
      <c r="F672" s="48">
        <v>0.8027777777777777</v>
      </c>
      <c r="G672" s="43">
        <f>(F672-E672)*1440</f>
        <v>16.99999999999978</v>
      </c>
      <c r="H672" s="9" t="s">
        <v>823</v>
      </c>
      <c r="I672" s="9" t="s">
        <v>1892</v>
      </c>
      <c r="J672" s="44">
        <v>11.14</v>
      </c>
      <c r="K672" s="60">
        <v>9.98</v>
      </c>
      <c r="L672" s="56">
        <v>8.51</v>
      </c>
      <c r="M672" s="14">
        <f>K672-L672</f>
        <v>1.4700000000000006</v>
      </c>
      <c r="N672" s="15">
        <f>IFERROR(M672/K672,0)</f>
        <v>0.14729458917835678</v>
      </c>
      <c r="O672" s="14">
        <f>IFERROR(L672/J672,0)</f>
        <v>0.76391382405745056</v>
      </c>
      <c r="P672" s="14">
        <f>IFERROR(L672/G672,0)</f>
        <v>0.50058823529412411</v>
      </c>
    </row>
    <row r="673" spans="1:19" x14ac:dyDescent="0.3">
      <c r="A673" s="9" t="s">
        <v>1542</v>
      </c>
      <c r="B673" s="9" t="s">
        <v>18</v>
      </c>
      <c r="C673" s="9" t="s">
        <v>184</v>
      </c>
      <c r="D673" s="52">
        <v>46135</v>
      </c>
      <c r="E673" s="48">
        <v>0.74513888888888891</v>
      </c>
      <c r="F673" s="48">
        <v>0.75763888888888886</v>
      </c>
      <c r="G673" s="43">
        <f>(F673-E673)*1440</f>
        <v>17.999999999999936</v>
      </c>
      <c r="H673" s="9" t="s">
        <v>1890</v>
      </c>
      <c r="I673" s="9" t="s">
        <v>1891</v>
      </c>
      <c r="J673" s="44">
        <v>9.91</v>
      </c>
      <c r="K673" s="60">
        <v>8.0399999999999991</v>
      </c>
      <c r="L673" s="56">
        <v>7.83</v>
      </c>
      <c r="M673" s="14">
        <f>K673-L673</f>
        <v>0.20999999999999908</v>
      </c>
      <c r="N673" s="15">
        <f>IFERROR(M673/K673,0)</f>
        <v>2.6119402985074515E-2</v>
      </c>
      <c r="O673" s="14">
        <f>IFERROR(L673/J673,0)</f>
        <v>0.7901109989909183</v>
      </c>
      <c r="P673" s="14">
        <f>IFERROR(L673/G673,0)</f>
        <v>0.43500000000000155</v>
      </c>
    </row>
    <row r="674" spans="1:19" x14ac:dyDescent="0.3">
      <c r="A674" s="9" t="s">
        <v>1540</v>
      </c>
      <c r="B674" s="9" t="s">
        <v>18</v>
      </c>
      <c r="C674" s="9" t="s">
        <v>184</v>
      </c>
      <c r="D674" s="52">
        <v>46135</v>
      </c>
      <c r="E674" s="48">
        <v>0.60347222222222219</v>
      </c>
      <c r="F674" s="48">
        <v>0.61388888888888882</v>
      </c>
      <c r="G674" s="43">
        <f>(F674-E674)*1440</f>
        <v>14.999999999999947</v>
      </c>
      <c r="H674" s="9" t="s">
        <v>186</v>
      </c>
      <c r="I674" s="9" t="s">
        <v>835</v>
      </c>
      <c r="J674" s="44">
        <v>4.1900000000000004</v>
      </c>
      <c r="K674" s="60">
        <v>5.95</v>
      </c>
      <c r="L674" s="56">
        <v>3.87</v>
      </c>
      <c r="M674" s="14">
        <f>K674-L674</f>
        <v>2.08</v>
      </c>
      <c r="N674" s="15">
        <f>IFERROR(M674/K674,0)</f>
        <v>0.34957983193277309</v>
      </c>
      <c r="O674" s="14">
        <f>IFERROR(L674/J674,0)</f>
        <v>0.92362768496420045</v>
      </c>
      <c r="P674" s="14">
        <f>IFERROR(L674/G674,0)</f>
        <v>0.25800000000000095</v>
      </c>
    </row>
    <row r="675" spans="1:19" x14ac:dyDescent="0.3">
      <c r="A675" s="9" t="s">
        <v>1555</v>
      </c>
      <c r="B675" s="9" t="s">
        <v>26</v>
      </c>
      <c r="C675" s="9" t="s">
        <v>27</v>
      </c>
      <c r="D675" s="52">
        <v>46136</v>
      </c>
      <c r="E675" s="48">
        <v>0.55208333333333337</v>
      </c>
      <c r="F675" s="48">
        <v>0.56527777777777777</v>
      </c>
      <c r="G675" s="43">
        <f>(F675-E675)*1440</f>
        <v>18.999999999999932</v>
      </c>
      <c r="H675" s="9" t="s">
        <v>1907</v>
      </c>
      <c r="I675" s="9" t="s">
        <v>1908</v>
      </c>
      <c r="J675" s="44">
        <v>19.3</v>
      </c>
      <c r="K675" s="60">
        <v>11</v>
      </c>
      <c r="L675" s="56">
        <v>8.25</v>
      </c>
      <c r="M675" s="14">
        <f>K675-L675</f>
        <v>2.75</v>
      </c>
      <c r="N675" s="15">
        <f>IFERROR(M675/K675,0)</f>
        <v>0.25</v>
      </c>
      <c r="O675" s="14">
        <f>IFERROR(L675/J675,0)</f>
        <v>0.42746113989637302</v>
      </c>
      <c r="P675" s="14">
        <f>IFERROR(L675/G675,0)</f>
        <v>0.43421052631579099</v>
      </c>
    </row>
    <row r="676" spans="1:19" x14ac:dyDescent="0.3">
      <c r="A676" s="9" t="s">
        <v>1559</v>
      </c>
      <c r="B676" s="9" t="s">
        <v>26</v>
      </c>
      <c r="C676" s="9" t="s">
        <v>27</v>
      </c>
      <c r="D676" s="52">
        <v>46136</v>
      </c>
      <c r="E676" s="48">
        <v>0.64861111111111114</v>
      </c>
      <c r="F676" s="48">
        <v>0.66041666666666665</v>
      </c>
      <c r="G676" s="43">
        <f>(F676-E676)*1440</f>
        <v>16.99999999999994</v>
      </c>
      <c r="H676" s="9" t="s">
        <v>1770</v>
      </c>
      <c r="I676" s="9" t="s">
        <v>1367</v>
      </c>
      <c r="J676" s="44">
        <v>13.1</v>
      </c>
      <c r="K676" s="60">
        <v>8.1300000000000008</v>
      </c>
      <c r="L676" s="56">
        <v>6.1</v>
      </c>
      <c r="M676" s="14">
        <f>K676-L676</f>
        <v>2.0300000000000011</v>
      </c>
      <c r="N676" s="15">
        <f>IFERROR(M676/K676,0)</f>
        <v>0.24969249692496936</v>
      </c>
      <c r="O676" s="14">
        <f>IFERROR(L676/J676,0)</f>
        <v>0.46564885496183206</v>
      </c>
      <c r="P676" s="14">
        <f>IFERROR(L676/G676,0)</f>
        <v>0.35882352941176598</v>
      </c>
    </row>
    <row r="677" spans="1:19" x14ac:dyDescent="0.3">
      <c r="A677" s="9" t="s">
        <v>1556</v>
      </c>
      <c r="B677" s="9" t="s">
        <v>26</v>
      </c>
      <c r="C677" s="9" t="s">
        <v>27</v>
      </c>
      <c r="D677" s="52">
        <v>46136</v>
      </c>
      <c r="E677" s="48">
        <v>0.56944444444444442</v>
      </c>
      <c r="F677" s="48">
        <v>0.58194444444444449</v>
      </c>
      <c r="G677" s="43">
        <f>(F677-E677)*1440</f>
        <v>18.000000000000096</v>
      </c>
      <c r="H677" s="9" t="s">
        <v>1909</v>
      </c>
      <c r="I677" s="9" t="s">
        <v>1910</v>
      </c>
      <c r="J677" s="44">
        <v>13.5</v>
      </c>
      <c r="K677" s="60">
        <v>8.64</v>
      </c>
      <c r="L677" s="56">
        <v>6.48</v>
      </c>
      <c r="M677" s="14">
        <f>K677-L677</f>
        <v>2.16</v>
      </c>
      <c r="N677" s="15">
        <f>IFERROR(M677/K677,0)</f>
        <v>0.25</v>
      </c>
      <c r="O677" s="14">
        <f>IFERROR(L677/J677,0)</f>
        <v>0.48000000000000004</v>
      </c>
      <c r="P677" s="14">
        <f>IFERROR(L677/G677,0)</f>
        <v>0.3599999999999981</v>
      </c>
    </row>
    <row r="678" spans="1:19" x14ac:dyDescent="0.3">
      <c r="A678" s="9" t="s">
        <v>1567</v>
      </c>
      <c r="B678" s="9" t="s">
        <v>18</v>
      </c>
      <c r="C678" s="9" t="s">
        <v>184</v>
      </c>
      <c r="D678" s="52">
        <v>46136</v>
      </c>
      <c r="E678" s="48">
        <v>0.69027777777777777</v>
      </c>
      <c r="F678" s="48">
        <v>0.69791666666666663</v>
      </c>
      <c r="G678" s="43">
        <f>(F678-E678)*1440</f>
        <v>10.999999999999961</v>
      </c>
      <c r="H678" s="9" t="s">
        <v>1922</v>
      </c>
      <c r="I678" s="9" t="s">
        <v>234</v>
      </c>
      <c r="J678" s="44">
        <v>8.27</v>
      </c>
      <c r="K678" s="60">
        <v>5.94</v>
      </c>
      <c r="L678" s="56">
        <v>4.2699999999999996</v>
      </c>
      <c r="M678" s="14">
        <f>K678-L678</f>
        <v>1.6700000000000008</v>
      </c>
      <c r="N678" s="15">
        <f>IFERROR(M678/K678,0)</f>
        <v>0.28114478114478125</v>
      </c>
      <c r="O678" s="14">
        <f>IFERROR(L678/J678,0)</f>
        <v>0.5163240628778718</v>
      </c>
      <c r="P678" s="14">
        <f>IFERROR(L678/G678,0)</f>
        <v>0.38818181818181952</v>
      </c>
    </row>
    <row r="679" spans="1:19" x14ac:dyDescent="0.3">
      <c r="A679" s="9" t="s">
        <v>1571</v>
      </c>
      <c r="B679" s="9" t="s">
        <v>18</v>
      </c>
      <c r="C679" s="9" t="s">
        <v>184</v>
      </c>
      <c r="D679" s="52">
        <v>46136</v>
      </c>
      <c r="E679" s="48">
        <v>0.78055555555555556</v>
      </c>
      <c r="F679" s="48">
        <v>0.79305555555555562</v>
      </c>
      <c r="G679" s="43">
        <f>(F679-E679)*1440</f>
        <v>18.000000000000096</v>
      </c>
      <c r="H679" s="9" t="s">
        <v>1256</v>
      </c>
      <c r="I679" s="9" t="s">
        <v>233</v>
      </c>
      <c r="J679" s="44">
        <v>9.39</v>
      </c>
      <c r="K679" s="60">
        <v>7.94</v>
      </c>
      <c r="L679" s="56">
        <v>5.16</v>
      </c>
      <c r="M679" s="14">
        <f>K679-L679</f>
        <v>2.7800000000000002</v>
      </c>
      <c r="N679" s="15">
        <f>IFERROR(M679/K679,0)</f>
        <v>0.3501259445843829</v>
      </c>
      <c r="O679" s="14">
        <f>IFERROR(L679/J679,0)</f>
        <v>0.54952076677316297</v>
      </c>
      <c r="P679" s="14">
        <f>IFERROR(L679/G679,0)</f>
        <v>0.28666666666666513</v>
      </c>
    </row>
    <row r="680" spans="1:19" x14ac:dyDescent="0.3">
      <c r="A680" s="9" t="s">
        <v>1566</v>
      </c>
      <c r="B680" s="9" t="s">
        <v>18</v>
      </c>
      <c r="C680" s="9" t="s">
        <v>184</v>
      </c>
      <c r="D680" s="52">
        <v>46136</v>
      </c>
      <c r="E680" s="48">
        <v>0.66111111111111109</v>
      </c>
      <c r="F680" s="48">
        <v>0.67569444444444438</v>
      </c>
      <c r="G680" s="43">
        <f>(F680-E680)*1440</f>
        <v>20.999999999999925</v>
      </c>
      <c r="H680" s="9" t="s">
        <v>1733</v>
      </c>
      <c r="I680" s="9" t="s">
        <v>1921</v>
      </c>
      <c r="J680" s="44">
        <v>11.33</v>
      </c>
      <c r="K680" s="60">
        <v>6.94</v>
      </c>
      <c r="L680" s="56">
        <v>6.25</v>
      </c>
      <c r="M680" s="14">
        <f>K680-L680</f>
        <v>0.69000000000000039</v>
      </c>
      <c r="N680" s="15">
        <f>IFERROR(M680/K680,0)</f>
        <v>9.9423631123919359E-2</v>
      </c>
      <c r="O680" s="14">
        <f>IFERROR(L680/J680,0)</f>
        <v>0.55163283318623124</v>
      </c>
      <c r="P680" s="14">
        <f>IFERROR(L680/G680,0)</f>
        <v>0.29761904761904867</v>
      </c>
    </row>
    <row r="681" spans="1:19" x14ac:dyDescent="0.3">
      <c r="A681" s="9" t="s">
        <v>1557</v>
      </c>
      <c r="B681" s="9" t="s">
        <v>26</v>
      </c>
      <c r="C681" s="9" t="s">
        <v>26</v>
      </c>
      <c r="D681" s="52">
        <v>46136</v>
      </c>
      <c r="E681" s="48">
        <v>0.59791666666666665</v>
      </c>
      <c r="F681" s="48">
        <v>0.61944444444444446</v>
      </c>
      <c r="G681" s="43">
        <f>(F681-E681)*1440</f>
        <v>31.00000000000005</v>
      </c>
      <c r="H681" s="9" t="s">
        <v>1911</v>
      </c>
      <c r="I681" s="9" t="s">
        <v>1912</v>
      </c>
      <c r="J681" s="44">
        <v>16.2</v>
      </c>
      <c r="K681" s="60">
        <v>9.65</v>
      </c>
      <c r="L681" s="56">
        <v>9.0399999999999991</v>
      </c>
      <c r="M681" s="14">
        <f>K681-L681</f>
        <v>0.61000000000000121</v>
      </c>
      <c r="N681" s="15">
        <f>IFERROR(M681/K681,0)</f>
        <v>6.3212435233160738E-2</v>
      </c>
      <c r="O681" s="14">
        <f>IFERROR(L681/J681,0)</f>
        <v>0.55802469135802468</v>
      </c>
      <c r="P681" s="14">
        <f>IFERROR(L681/G681,0)</f>
        <v>0.29161290322580596</v>
      </c>
    </row>
    <row r="682" spans="1:19" x14ac:dyDescent="0.3">
      <c r="A682" s="9" t="s">
        <v>1564</v>
      </c>
      <c r="B682" s="9" t="s">
        <v>18</v>
      </c>
      <c r="C682" s="9" t="s">
        <v>184</v>
      </c>
      <c r="D682" s="52">
        <v>46136</v>
      </c>
      <c r="E682" s="48">
        <v>0.58263888888888882</v>
      </c>
      <c r="F682" s="48">
        <v>0.59305555555555556</v>
      </c>
      <c r="G682" s="43">
        <f>(F682-E682)*1440</f>
        <v>15.000000000000107</v>
      </c>
      <c r="H682" s="9" t="s">
        <v>1902</v>
      </c>
      <c r="I682" s="9" t="s">
        <v>1920</v>
      </c>
      <c r="J682" s="44">
        <v>9.17</v>
      </c>
      <c r="K682" s="60">
        <v>6.94</v>
      </c>
      <c r="L682" s="56">
        <v>5.13</v>
      </c>
      <c r="M682" s="14">
        <f>K682-L682</f>
        <v>1.8100000000000005</v>
      </c>
      <c r="N682" s="15">
        <f>IFERROR(M682/K682,0)</f>
        <v>0.26080691642651305</v>
      </c>
      <c r="O682" s="14">
        <f>IFERROR(L682/J682,0)</f>
        <v>0.55943293347873502</v>
      </c>
      <c r="P682" s="14">
        <f>IFERROR(L682/G682,0)</f>
        <v>0.34199999999999758</v>
      </c>
    </row>
    <row r="683" spans="1:19" x14ac:dyDescent="0.3">
      <c r="A683" s="9" t="s">
        <v>1572</v>
      </c>
      <c r="B683" s="9" t="s">
        <v>18</v>
      </c>
      <c r="C683" s="9" t="s">
        <v>184</v>
      </c>
      <c r="D683" s="52">
        <v>46136</v>
      </c>
      <c r="E683" s="48">
        <v>0.85625000000000007</v>
      </c>
      <c r="F683" s="48">
        <v>0.8652777777777777</v>
      </c>
      <c r="G683" s="43">
        <f>(F683-E683)*1440</f>
        <v>12.999999999999794</v>
      </c>
      <c r="H683" s="9" t="s">
        <v>1925</v>
      </c>
      <c r="I683" s="9" t="s">
        <v>1926</v>
      </c>
      <c r="J683" s="44">
        <v>10.35</v>
      </c>
      <c r="K683" s="60">
        <v>7.95</v>
      </c>
      <c r="L683" s="56">
        <v>6.27</v>
      </c>
      <c r="M683" s="14">
        <f>K683-L683</f>
        <v>1.6800000000000006</v>
      </c>
      <c r="N683" s="15">
        <f>IFERROR(M683/K683,0)</f>
        <v>0.2113207547169812</v>
      </c>
      <c r="O683" s="14">
        <f>IFERROR(L683/J683,0)</f>
        <v>0.60579710144927534</v>
      </c>
      <c r="P683" s="14">
        <f>IFERROR(L683/G683,0)</f>
        <v>0.48230769230769993</v>
      </c>
    </row>
    <row r="684" spans="1:19" x14ac:dyDescent="0.3">
      <c r="A684" s="9" t="s">
        <v>1561</v>
      </c>
      <c r="B684" s="9" t="s">
        <v>26</v>
      </c>
      <c r="C684" s="9" t="s">
        <v>27</v>
      </c>
      <c r="D684" s="52">
        <v>46136</v>
      </c>
      <c r="E684" s="48">
        <v>0.7993055555555556</v>
      </c>
      <c r="F684" s="48">
        <v>0.81111111111111101</v>
      </c>
      <c r="G684" s="43">
        <f>(F684-E684)*1440</f>
        <v>16.99999999999978</v>
      </c>
      <c r="H684" s="9" t="s">
        <v>1917</v>
      </c>
      <c r="I684" s="9" t="s">
        <v>1918</v>
      </c>
      <c r="J684" s="44">
        <v>11</v>
      </c>
      <c r="K684" s="60">
        <v>8.84</v>
      </c>
      <c r="L684" s="56">
        <v>6.73</v>
      </c>
      <c r="M684" s="14">
        <f>K684-L684</f>
        <v>2.1099999999999994</v>
      </c>
      <c r="N684" s="15">
        <f>IFERROR(M684/K684,0)</f>
        <v>0.23868778280542979</v>
      </c>
      <c r="O684" s="14">
        <f>IFERROR(L684/J684,0)</f>
        <v>0.61181818181818182</v>
      </c>
      <c r="P684" s="14">
        <f>IFERROR(L684/G684,0)</f>
        <v>0.39588235294118163</v>
      </c>
    </row>
    <row r="685" spans="1:19" x14ac:dyDescent="0.3">
      <c r="A685" s="9" t="s">
        <v>1562</v>
      </c>
      <c r="B685" s="9" t="s">
        <v>26</v>
      </c>
      <c r="C685" s="9" t="s">
        <v>27</v>
      </c>
      <c r="D685" s="52">
        <v>46136</v>
      </c>
      <c r="E685" s="48">
        <v>0.81458333333333333</v>
      </c>
      <c r="F685" s="48">
        <v>0.83194444444444438</v>
      </c>
      <c r="G685" s="43">
        <f>(F685-E685)*1440</f>
        <v>24.999999999999911</v>
      </c>
      <c r="H685" s="9" t="s">
        <v>246</v>
      </c>
      <c r="I685" s="9" t="s">
        <v>1709</v>
      </c>
      <c r="J685" s="44">
        <v>17.600000000000001</v>
      </c>
      <c r="K685" s="60">
        <v>13.62</v>
      </c>
      <c r="L685" s="56">
        <v>11.48</v>
      </c>
      <c r="M685" s="14">
        <f>K685-L685</f>
        <v>2.1399999999999988</v>
      </c>
      <c r="N685" s="15">
        <f>IFERROR(M685/K685,0)</f>
        <v>0.15712187958883986</v>
      </c>
      <c r="O685" s="14">
        <f>IFERROR(L685/J685,0)</f>
        <v>0.65227272727272723</v>
      </c>
      <c r="P685" s="14">
        <f>IFERROR(L685/G685,0)</f>
        <v>0.45920000000000166</v>
      </c>
      <c r="Q685" s="64">
        <v>0.4</v>
      </c>
      <c r="S685" s="61">
        <v>1</v>
      </c>
    </row>
    <row r="686" spans="1:19" x14ac:dyDescent="0.3">
      <c r="A686" s="9" t="s">
        <v>1563</v>
      </c>
      <c r="B686" s="9" t="s">
        <v>26</v>
      </c>
      <c r="C686" s="9" t="s">
        <v>26</v>
      </c>
      <c r="D686" s="52">
        <v>46136</v>
      </c>
      <c r="E686" s="48">
        <v>0.84236111111111101</v>
      </c>
      <c r="F686" s="48">
        <v>0.85625000000000007</v>
      </c>
      <c r="G686" s="43">
        <f>(F686-E686)*1440</f>
        <v>20.000000000000249</v>
      </c>
      <c r="H686" s="9" t="s">
        <v>1189</v>
      </c>
      <c r="I686" s="9" t="s">
        <v>1919</v>
      </c>
      <c r="J686" s="44">
        <v>9</v>
      </c>
      <c r="K686" s="60">
        <v>6.44</v>
      </c>
      <c r="L686" s="56">
        <v>6.04</v>
      </c>
      <c r="M686" s="14">
        <f>K686-L686</f>
        <v>0.40000000000000036</v>
      </c>
      <c r="N686" s="15">
        <f>IFERROR(M686/K686,0)</f>
        <v>6.211180124223608E-2</v>
      </c>
      <c r="O686" s="14">
        <f>IFERROR(L686/J686,0)</f>
        <v>0.6711111111111111</v>
      </c>
      <c r="P686" s="14">
        <f>IFERROR(L686/G686,0)</f>
        <v>0.30199999999999627</v>
      </c>
    </row>
    <row r="687" spans="1:19" x14ac:dyDescent="0.3">
      <c r="A687" s="9" t="s">
        <v>1558</v>
      </c>
      <c r="B687" s="9" t="s">
        <v>26</v>
      </c>
      <c r="C687" s="9" t="s">
        <v>26</v>
      </c>
      <c r="D687" s="52">
        <v>46136</v>
      </c>
      <c r="E687" s="48">
        <v>0.62986111111111109</v>
      </c>
      <c r="F687" s="48">
        <v>0.6479166666666667</v>
      </c>
      <c r="G687" s="43">
        <f>(F687-E687)*1440</f>
        <v>26.000000000000068</v>
      </c>
      <c r="H687" s="9" t="s">
        <v>1913</v>
      </c>
      <c r="I687" s="9" t="s">
        <v>1914</v>
      </c>
      <c r="J687" s="44">
        <v>13.3</v>
      </c>
      <c r="K687" s="60">
        <v>9.18</v>
      </c>
      <c r="L687" s="56">
        <v>9.4600000000000009</v>
      </c>
      <c r="M687" s="14">
        <f>K687-L687</f>
        <v>-0.28000000000000114</v>
      </c>
      <c r="N687" s="15">
        <f>IFERROR(M687/K687,0)</f>
        <v>-3.0501089324618862E-2</v>
      </c>
      <c r="O687" s="14">
        <f>IFERROR(L687/J687,0)</f>
        <v>0.71127819548872184</v>
      </c>
      <c r="P687" s="14">
        <f>IFERROR(L687/G687,0)</f>
        <v>0.36384615384615293</v>
      </c>
    </row>
    <row r="688" spans="1:19" x14ac:dyDescent="0.3">
      <c r="A688" s="9" t="s">
        <v>1560</v>
      </c>
      <c r="B688" s="9" t="s">
        <v>26</v>
      </c>
      <c r="C688" s="9" t="s">
        <v>26</v>
      </c>
      <c r="D688" s="52">
        <v>46136</v>
      </c>
      <c r="E688" s="48">
        <v>0.73541666666666661</v>
      </c>
      <c r="F688" s="48">
        <v>0.75</v>
      </c>
      <c r="G688" s="43">
        <f>(F688-E688)*1440</f>
        <v>21.000000000000085</v>
      </c>
      <c r="H688" s="9" t="s">
        <v>1915</v>
      </c>
      <c r="I688" s="9" t="s">
        <v>1916</v>
      </c>
      <c r="J688" s="44">
        <v>7.5</v>
      </c>
      <c r="K688" s="60">
        <v>6.45</v>
      </c>
      <c r="L688" s="56">
        <v>6.64</v>
      </c>
      <c r="M688" s="14">
        <f>K688-L688</f>
        <v>-0.1899999999999995</v>
      </c>
      <c r="N688" s="15">
        <f>IFERROR(M688/K688,0)</f>
        <v>-2.9457364341085195E-2</v>
      </c>
      <c r="O688" s="14">
        <f>IFERROR(L688/J688,0)</f>
        <v>0.88533333333333331</v>
      </c>
      <c r="P688" s="14">
        <f>IFERROR(L688/G688,0)</f>
        <v>0.31619047619047491</v>
      </c>
    </row>
    <row r="689" spans="1:19" x14ac:dyDescent="0.3">
      <c r="A689" s="9" t="s">
        <v>1569</v>
      </c>
      <c r="B689" s="9" t="s">
        <v>18</v>
      </c>
      <c r="C689" s="9" t="s">
        <v>184</v>
      </c>
      <c r="D689" s="52">
        <v>46136</v>
      </c>
      <c r="E689" s="48">
        <v>0.71319444444444446</v>
      </c>
      <c r="F689" s="48">
        <v>0.72083333333333333</v>
      </c>
      <c r="G689" s="43">
        <f>(F689-E689)*1440</f>
        <v>10.999999999999961</v>
      </c>
      <c r="H689" s="9" t="s">
        <v>214</v>
      </c>
      <c r="I689" s="9" t="s">
        <v>1924</v>
      </c>
      <c r="J689" s="44">
        <v>5.36</v>
      </c>
      <c r="K689" s="60">
        <v>5.67</v>
      </c>
      <c r="L689" s="56">
        <v>5.52</v>
      </c>
      <c r="M689" s="14">
        <f>K689-L689</f>
        <v>0.15000000000000036</v>
      </c>
      <c r="N689" s="15">
        <f>IFERROR(M689/K689,0)</f>
        <v>2.6455026455026519E-2</v>
      </c>
      <c r="O689" s="14">
        <f>IFERROR(L689/J689,0)</f>
        <v>1.0298507462686566</v>
      </c>
      <c r="P689" s="14">
        <f>IFERROR(L689/G689,0)</f>
        <v>0.50181818181818361</v>
      </c>
    </row>
    <row r="690" spans="1:19" x14ac:dyDescent="0.3">
      <c r="A690" s="9" t="s">
        <v>1570</v>
      </c>
      <c r="B690" s="9" t="s">
        <v>18</v>
      </c>
      <c r="C690" s="9" t="s">
        <v>196</v>
      </c>
      <c r="D690" s="52">
        <v>46136</v>
      </c>
      <c r="E690" s="48">
        <v>0.76041666666666663</v>
      </c>
      <c r="F690" s="48">
        <v>0.77569444444444446</v>
      </c>
      <c r="G690" s="43">
        <f>(F690-E690)*1440</f>
        <v>22.000000000000082</v>
      </c>
      <c r="H690" s="9" t="s">
        <v>1330</v>
      </c>
      <c r="I690" s="9" t="s">
        <v>582</v>
      </c>
      <c r="J690" s="44">
        <v>6.57</v>
      </c>
      <c r="K690" s="60">
        <v>8.99</v>
      </c>
      <c r="L690" s="56">
        <v>7.2</v>
      </c>
      <c r="M690" s="14">
        <f>K690-L690</f>
        <v>1.79</v>
      </c>
      <c r="N690" s="15">
        <f>IFERROR(M690/K690,0)</f>
        <v>0.19911012235817574</v>
      </c>
      <c r="O690" s="14">
        <f>IFERROR(L690/J690,0)</f>
        <v>1.095890410958904</v>
      </c>
      <c r="P690" s="14">
        <f>IFERROR(L690/G690,0)</f>
        <v>0.32727272727272605</v>
      </c>
    </row>
    <row r="691" spans="1:19" x14ac:dyDescent="0.3">
      <c r="A691" s="9" t="s">
        <v>1568</v>
      </c>
      <c r="B691" s="9" t="s">
        <v>18</v>
      </c>
      <c r="C691" s="9" t="s">
        <v>184</v>
      </c>
      <c r="D691" s="52">
        <v>46136</v>
      </c>
      <c r="E691" s="48">
        <v>0.70277777777777783</v>
      </c>
      <c r="F691" s="48">
        <v>0.7090277777777777</v>
      </c>
      <c r="G691" s="43">
        <f>(F691-E691)*1440</f>
        <v>8.9999999999998082</v>
      </c>
      <c r="H691" s="9" t="s">
        <v>214</v>
      </c>
      <c r="I691" s="9" t="s">
        <v>1923</v>
      </c>
      <c r="J691" s="44">
        <v>2.65</v>
      </c>
      <c r="K691" s="60">
        <v>4.95</v>
      </c>
      <c r="L691" s="56">
        <v>3.38</v>
      </c>
      <c r="M691" s="14">
        <f>K691-L691</f>
        <v>1.5700000000000003</v>
      </c>
      <c r="N691" s="15">
        <f>IFERROR(M691/K691,0)</f>
        <v>0.31717171717171722</v>
      </c>
      <c r="O691" s="14">
        <f>IFERROR(L691/J691,0)</f>
        <v>1.2754716981132075</v>
      </c>
      <c r="P691" s="14">
        <f>IFERROR(L691/G691,0)</f>
        <v>0.37555555555556352</v>
      </c>
    </row>
    <row r="692" spans="1:19" x14ac:dyDescent="0.3">
      <c r="A692" s="9" t="s">
        <v>1565</v>
      </c>
      <c r="B692" s="9" t="s">
        <v>18</v>
      </c>
      <c r="C692" s="9" t="s">
        <v>196</v>
      </c>
      <c r="D692" s="52">
        <v>46136</v>
      </c>
      <c r="E692" s="48">
        <v>0.61875000000000002</v>
      </c>
      <c r="F692" s="48">
        <v>0.625</v>
      </c>
      <c r="G692" s="43">
        <f>(F692-E692)*1440</f>
        <v>8.999999999999968</v>
      </c>
      <c r="H692" s="9" t="s">
        <v>228</v>
      </c>
      <c r="I692" s="9" t="s">
        <v>535</v>
      </c>
      <c r="J692" s="44">
        <v>1.29</v>
      </c>
      <c r="K692" s="60">
        <v>7.99</v>
      </c>
      <c r="L692" s="56">
        <v>5.69</v>
      </c>
      <c r="M692" s="14">
        <f>K692-L692</f>
        <v>2.2999999999999998</v>
      </c>
      <c r="N692" s="15">
        <f>IFERROR(M692/K692,0)</f>
        <v>0.28785982478097621</v>
      </c>
      <c r="O692" s="14">
        <f>IFERROR(L692/J692,0)</f>
        <v>4.4108527131782944</v>
      </c>
      <c r="P692" s="14">
        <f>IFERROR(L692/G692,0)</f>
        <v>0.63222222222222446</v>
      </c>
      <c r="S692" s="61">
        <v>2</v>
      </c>
    </row>
    <row r="693" spans="1:19" x14ac:dyDescent="0.3">
      <c r="A693" s="9" t="s">
        <v>1573</v>
      </c>
      <c r="B693" s="9" t="s">
        <v>18</v>
      </c>
      <c r="C693" s="9" t="s">
        <v>230</v>
      </c>
      <c r="D693" s="52">
        <v>46137</v>
      </c>
      <c r="E693" s="48">
        <v>0.46666666666666662</v>
      </c>
      <c r="F693" s="48">
        <v>0.4770833333333333</v>
      </c>
      <c r="G693" s="43">
        <f>(F693-E693)*1440</f>
        <v>15.000000000000027</v>
      </c>
      <c r="H693" s="9" t="s">
        <v>1927</v>
      </c>
      <c r="I693" s="9" t="s">
        <v>1928</v>
      </c>
      <c r="J693" s="44">
        <v>12.44</v>
      </c>
      <c r="K693" s="60">
        <v>6.91</v>
      </c>
      <c r="L693" s="56">
        <v>4.49</v>
      </c>
      <c r="M693" s="14">
        <f>K693-L693</f>
        <v>2.42</v>
      </c>
      <c r="N693" s="15">
        <f>IFERROR(M693/K693,0)</f>
        <v>0.35021707670043412</v>
      </c>
      <c r="O693" s="14">
        <f>IFERROR(L693/J693,0)</f>
        <v>0.36093247588424443</v>
      </c>
      <c r="P693" s="14">
        <f>IFERROR(L693/G693,0)</f>
        <v>0.29933333333333284</v>
      </c>
    </row>
    <row r="694" spans="1:19" x14ac:dyDescent="0.3">
      <c r="A694" s="9" t="s">
        <v>1580</v>
      </c>
      <c r="B694" s="9" t="s">
        <v>26</v>
      </c>
      <c r="C694" s="9" t="s">
        <v>27</v>
      </c>
      <c r="D694" s="52">
        <v>46137</v>
      </c>
      <c r="E694" s="48">
        <v>0.43888888888888888</v>
      </c>
      <c r="F694" s="48">
        <v>0.4597222222222222</v>
      </c>
      <c r="G694" s="43">
        <f>(F694-E694)*1440</f>
        <v>29.999999999999972</v>
      </c>
      <c r="H694" s="9" t="s">
        <v>1935</v>
      </c>
      <c r="I694" s="9" t="s">
        <v>1936</v>
      </c>
      <c r="J694" s="44">
        <v>31.1</v>
      </c>
      <c r="K694" s="60">
        <v>18.100000000000001</v>
      </c>
      <c r="L694" s="56">
        <v>14.2</v>
      </c>
      <c r="M694" s="14">
        <f>K694-L694</f>
        <v>3.9000000000000021</v>
      </c>
      <c r="N694" s="15">
        <f>IFERROR(M694/K694,0)</f>
        <v>0.2154696132596686</v>
      </c>
      <c r="O694" s="14">
        <f>IFERROR(L694/J694,0)</f>
        <v>0.45659163987138257</v>
      </c>
      <c r="P694" s="14">
        <f>IFERROR(L694/G694,0)</f>
        <v>0.47333333333333377</v>
      </c>
    </row>
    <row r="695" spans="1:19" x14ac:dyDescent="0.3">
      <c r="A695" s="9" t="s">
        <v>1576</v>
      </c>
      <c r="B695" s="9" t="s">
        <v>538</v>
      </c>
      <c r="C695" s="9" t="s">
        <v>184</v>
      </c>
      <c r="D695" s="52">
        <v>46137</v>
      </c>
      <c r="E695" s="48">
        <v>0.59444444444444444</v>
      </c>
      <c r="F695" s="48">
        <v>0.60486111111111118</v>
      </c>
      <c r="G695" s="43">
        <f>(F695-E695)*1440</f>
        <v>15.000000000000107</v>
      </c>
      <c r="H695" s="9" t="s">
        <v>1932</v>
      </c>
      <c r="I695" s="9" t="s">
        <v>581</v>
      </c>
      <c r="J695" s="44">
        <v>9.2100000000000009</v>
      </c>
      <c r="K695" s="60">
        <v>6.94</v>
      </c>
      <c r="L695" s="56">
        <v>4.67</v>
      </c>
      <c r="M695" s="14">
        <f>K695-L695</f>
        <v>2.2700000000000005</v>
      </c>
      <c r="N695" s="15">
        <f>IFERROR(M695/K695,0)</f>
        <v>0.32708933717579258</v>
      </c>
      <c r="O695" s="14">
        <f>IFERROR(L695/J695,0)</f>
        <v>0.50705754614549392</v>
      </c>
      <c r="P695" s="14">
        <f>IFERROR(L695/G695,0)</f>
        <v>0.31133333333333113</v>
      </c>
    </row>
    <row r="696" spans="1:19" x14ac:dyDescent="0.3">
      <c r="A696" s="9" t="s">
        <v>1579</v>
      </c>
      <c r="B696" s="9" t="s">
        <v>18</v>
      </c>
      <c r="C696" s="9" t="s">
        <v>184</v>
      </c>
      <c r="D696" s="52">
        <v>46137</v>
      </c>
      <c r="E696" s="48">
        <v>0.80763888888888891</v>
      </c>
      <c r="F696" s="48">
        <v>0.81874999999999998</v>
      </c>
      <c r="G696" s="43">
        <f>(F696-E696)*1440</f>
        <v>15.999999999999943</v>
      </c>
      <c r="H696" s="9" t="s">
        <v>1933</v>
      </c>
      <c r="I696" s="9" t="s">
        <v>1934</v>
      </c>
      <c r="J696" s="44">
        <v>11.33</v>
      </c>
      <c r="K696" s="60">
        <v>8.9499999999999993</v>
      </c>
      <c r="L696" s="56">
        <v>6.37</v>
      </c>
      <c r="M696" s="14">
        <f>K696-L696</f>
        <v>2.5799999999999992</v>
      </c>
      <c r="N696" s="15">
        <f>IFERROR(M696/K696,0)</f>
        <v>0.28826815642458092</v>
      </c>
      <c r="O696" s="14">
        <f>IFERROR(L696/J696,0)</f>
        <v>0.56222418358340687</v>
      </c>
      <c r="P696" s="14">
        <f>IFERROR(L696/G696,0)</f>
        <v>0.39812500000000139</v>
      </c>
    </row>
    <row r="697" spans="1:19" x14ac:dyDescent="0.3">
      <c r="A697" s="9" t="s">
        <v>1574</v>
      </c>
      <c r="B697" s="9" t="s">
        <v>18</v>
      </c>
      <c r="C697" s="9" t="s">
        <v>184</v>
      </c>
      <c r="D697" s="52">
        <v>46137</v>
      </c>
      <c r="E697" s="48">
        <v>0.49791666666666662</v>
      </c>
      <c r="F697" s="48">
        <v>0.5083333333333333</v>
      </c>
      <c r="G697" s="43">
        <f>(F697-E697)*1440</f>
        <v>15.000000000000027</v>
      </c>
      <c r="H697" s="9" t="s">
        <v>1929</v>
      </c>
      <c r="I697" s="9" t="s">
        <v>1851</v>
      </c>
      <c r="J697" s="44">
        <v>8.52</v>
      </c>
      <c r="K697" s="60">
        <v>7.02</v>
      </c>
      <c r="L697" s="56">
        <v>4.9800000000000004</v>
      </c>
      <c r="M697" s="14">
        <f>K697-L697</f>
        <v>2.0399999999999991</v>
      </c>
      <c r="N697" s="15">
        <f>IFERROR(M697/K697,0)</f>
        <v>0.29059829059829051</v>
      </c>
      <c r="O697" s="14">
        <f>IFERROR(L697/J697,0)</f>
        <v>0.58450704225352124</v>
      </c>
      <c r="P697" s="14">
        <f>IFERROR(L697/G697,0)</f>
        <v>0.33199999999999946</v>
      </c>
    </row>
    <row r="698" spans="1:19" x14ac:dyDescent="0.3">
      <c r="A698" s="9" t="s">
        <v>1581</v>
      </c>
      <c r="B698" s="9" t="s">
        <v>26</v>
      </c>
      <c r="C698" s="9" t="s">
        <v>27</v>
      </c>
      <c r="D698" s="52">
        <v>46137</v>
      </c>
      <c r="E698" s="48">
        <v>0.51736111111111105</v>
      </c>
      <c r="F698" s="48">
        <v>0.53055555555555556</v>
      </c>
      <c r="G698" s="43">
        <f>(F698-E698)*1440</f>
        <v>19.000000000000092</v>
      </c>
      <c r="H698" s="9" t="s">
        <v>698</v>
      </c>
      <c r="I698" s="9" t="s">
        <v>1937</v>
      </c>
      <c r="J698" s="44">
        <v>8.3000000000000007</v>
      </c>
      <c r="K698" s="60">
        <v>6.97</v>
      </c>
      <c r="L698" s="56">
        <v>5.23</v>
      </c>
      <c r="M698" s="14">
        <f>K698-L698</f>
        <v>1.7399999999999993</v>
      </c>
      <c r="N698" s="15">
        <f>IFERROR(M698/K698,0)</f>
        <v>0.2496413199426111</v>
      </c>
      <c r="O698" s="14">
        <f>IFERROR(L698/J698,0)</f>
        <v>0.63012048192771086</v>
      </c>
      <c r="P698" s="14">
        <f>IFERROR(L698/G698,0)</f>
        <v>0.27526315789473554</v>
      </c>
    </row>
    <row r="699" spans="1:19" x14ac:dyDescent="0.3">
      <c r="A699" s="9" t="s">
        <v>1582</v>
      </c>
      <c r="B699" s="9" t="s">
        <v>26</v>
      </c>
      <c r="C699" s="9" t="s">
        <v>27</v>
      </c>
      <c r="D699" s="52">
        <v>46137</v>
      </c>
      <c r="E699" s="48">
        <v>0.53611111111111109</v>
      </c>
      <c r="F699" s="48">
        <v>0.54375000000000007</v>
      </c>
      <c r="G699" s="43">
        <f>(F699-E699)*1440</f>
        <v>11.000000000000121</v>
      </c>
      <c r="H699" s="9" t="s">
        <v>835</v>
      </c>
      <c r="I699" s="9" t="s">
        <v>1938</v>
      </c>
      <c r="J699" s="44">
        <v>8.1</v>
      </c>
      <c r="K699" s="60">
        <v>6.39</v>
      </c>
      <c r="L699" s="56">
        <v>5.27</v>
      </c>
      <c r="M699" s="14">
        <f>K699-L699</f>
        <v>1.1200000000000001</v>
      </c>
      <c r="N699" s="15">
        <f>IFERROR(M699/K699,0)</f>
        <v>0.17527386541471052</v>
      </c>
      <c r="O699" s="14">
        <f>IFERROR(L699/J699,0)</f>
        <v>0.65061728395061724</v>
      </c>
      <c r="P699" s="14">
        <f>IFERROR(L699/G699,0)</f>
        <v>0.47909090909090379</v>
      </c>
      <c r="R699" s="57">
        <v>1.48</v>
      </c>
    </row>
    <row r="700" spans="1:19" x14ac:dyDescent="0.3">
      <c r="A700" s="9" t="s">
        <v>1577</v>
      </c>
      <c r="B700" s="9" t="s">
        <v>18</v>
      </c>
      <c r="C700" s="9" t="s">
        <v>184</v>
      </c>
      <c r="D700" s="52">
        <v>46137</v>
      </c>
      <c r="E700" s="48">
        <v>0.61249999999999993</v>
      </c>
      <c r="F700" s="48">
        <v>0.62152777777777779</v>
      </c>
      <c r="G700" s="43">
        <f>(F700-E700)*1440</f>
        <v>13.000000000000114</v>
      </c>
      <c r="H700" s="9" t="s">
        <v>1179</v>
      </c>
      <c r="I700" s="9" t="s">
        <v>1358</v>
      </c>
      <c r="J700" s="44">
        <v>8.5</v>
      </c>
      <c r="K700" s="60">
        <v>6.08</v>
      </c>
      <c r="L700" s="56">
        <v>5.9</v>
      </c>
      <c r="M700" s="14">
        <f>K700-L700</f>
        <v>0.17999999999999972</v>
      </c>
      <c r="N700" s="15">
        <f>IFERROR(M700/K700,0)</f>
        <v>2.960526315789469E-2</v>
      </c>
      <c r="O700" s="14">
        <f>IFERROR(L700/J700,0)</f>
        <v>0.69411764705882362</v>
      </c>
      <c r="P700" s="14">
        <f>IFERROR(L700/G700,0)</f>
        <v>0.4538461538461499</v>
      </c>
      <c r="S700" s="61">
        <v>2</v>
      </c>
    </row>
    <row r="701" spans="1:19" x14ac:dyDescent="0.3">
      <c r="A701" s="9" t="s">
        <v>1575</v>
      </c>
      <c r="B701" s="9" t="s">
        <v>18</v>
      </c>
      <c r="C701" s="9" t="s">
        <v>184</v>
      </c>
      <c r="D701" s="52">
        <v>46137</v>
      </c>
      <c r="E701" s="48">
        <v>0.58472222222222225</v>
      </c>
      <c r="F701" s="48">
        <v>0.59166666666666667</v>
      </c>
      <c r="G701" s="43">
        <f>(F701-E701)*1440</f>
        <v>9.9999999999999645</v>
      </c>
      <c r="H701" s="9" t="s">
        <v>1930</v>
      </c>
      <c r="I701" s="9" t="s">
        <v>1931</v>
      </c>
      <c r="J701" s="44">
        <v>4.76</v>
      </c>
      <c r="K701" s="60">
        <v>5.98</v>
      </c>
      <c r="L701" s="56">
        <v>3.89</v>
      </c>
      <c r="M701" s="14">
        <f>K701-L701</f>
        <v>2.0900000000000003</v>
      </c>
      <c r="N701" s="15">
        <f>IFERROR(M701/K701,0)</f>
        <v>0.34949832775919737</v>
      </c>
      <c r="O701" s="14">
        <f>IFERROR(L701/J701,0)</f>
        <v>0.81722689075630262</v>
      </c>
      <c r="P701" s="14">
        <f>IFERROR(L701/G701,0)</f>
        <v>0.3890000000000014</v>
      </c>
    </row>
    <row r="702" spans="1:19" x14ac:dyDescent="0.3">
      <c r="A702" s="9" t="s">
        <v>1578</v>
      </c>
      <c r="B702" s="9" t="s">
        <v>18</v>
      </c>
      <c r="C702" s="9" t="s">
        <v>196</v>
      </c>
      <c r="D702" s="52">
        <v>46137</v>
      </c>
      <c r="E702" s="48">
        <v>0.78611111111111109</v>
      </c>
      <c r="F702" s="48">
        <v>0.80069444444444438</v>
      </c>
      <c r="G702" s="43">
        <f>(F702-E702)*1440</f>
        <v>20.999999999999925</v>
      </c>
      <c r="H702" s="9" t="s">
        <v>1340</v>
      </c>
      <c r="I702" s="9" t="s">
        <v>581</v>
      </c>
      <c r="J702" s="44">
        <v>6.79</v>
      </c>
      <c r="K702" s="60">
        <v>9.98</v>
      </c>
      <c r="L702" s="56">
        <v>8.4499999999999993</v>
      </c>
      <c r="M702" s="14">
        <f>K702-L702</f>
        <v>1.5300000000000011</v>
      </c>
      <c r="N702" s="15">
        <f>IFERROR(M702/K702,0)</f>
        <v>0.153306613226453</v>
      </c>
      <c r="O702" s="14">
        <f>IFERROR(L702/J702,0)</f>
        <v>1.2444771723122237</v>
      </c>
      <c r="P702" s="14">
        <f>IFERROR(L702/G702,0)</f>
        <v>0.40238095238095378</v>
      </c>
    </row>
    <row r="703" spans="1:19" x14ac:dyDescent="0.3">
      <c r="A703" s="9" t="s">
        <v>1589</v>
      </c>
      <c r="B703" s="9" t="s">
        <v>18</v>
      </c>
      <c r="C703" s="9" t="s">
        <v>184</v>
      </c>
      <c r="D703" s="52">
        <v>46138</v>
      </c>
      <c r="E703" s="48">
        <v>0.50555555555555554</v>
      </c>
      <c r="F703" s="48">
        <v>0.51736111111111105</v>
      </c>
      <c r="G703" s="43">
        <f>(F703-E703)*1440</f>
        <v>16.99999999999994</v>
      </c>
      <c r="H703" s="9" t="s">
        <v>1944</v>
      </c>
      <c r="I703" s="9" t="s">
        <v>1207</v>
      </c>
      <c r="J703" s="44">
        <v>10.74</v>
      </c>
      <c r="K703" s="60">
        <v>7.94</v>
      </c>
      <c r="L703" s="56">
        <v>5.55</v>
      </c>
      <c r="M703" s="14">
        <f>K703-L703</f>
        <v>2.3900000000000006</v>
      </c>
      <c r="N703" s="15">
        <f>IFERROR(M703/K703,0)</f>
        <v>0.30100755667506301</v>
      </c>
      <c r="O703" s="14">
        <f>IFERROR(L703/J703,0)</f>
        <v>0.51675977653631278</v>
      </c>
      <c r="P703" s="14">
        <f>IFERROR(L703/G703,0)</f>
        <v>0.32647058823529529</v>
      </c>
      <c r="S703" s="61">
        <v>1</v>
      </c>
    </row>
    <row r="704" spans="1:19" x14ac:dyDescent="0.3">
      <c r="A704" s="9" t="s">
        <v>1590</v>
      </c>
      <c r="B704" s="9" t="s">
        <v>18</v>
      </c>
      <c r="C704" s="9" t="s">
        <v>184</v>
      </c>
      <c r="D704" s="52">
        <v>46138</v>
      </c>
      <c r="E704" s="48">
        <v>0.63680555555555551</v>
      </c>
      <c r="F704" s="48">
        <v>0.65208333333333335</v>
      </c>
      <c r="G704" s="43">
        <f>(F704-E704)*1440</f>
        <v>22.000000000000082</v>
      </c>
      <c r="H704" s="9" t="s">
        <v>1120</v>
      </c>
      <c r="I704" s="9" t="s">
        <v>1224</v>
      </c>
      <c r="J704" s="44">
        <v>16.27</v>
      </c>
      <c r="K704" s="60">
        <v>14</v>
      </c>
      <c r="L704" s="56">
        <v>8.41</v>
      </c>
      <c r="M704" s="14">
        <f>K704-L704</f>
        <v>5.59</v>
      </c>
      <c r="N704" s="15">
        <f>IFERROR(M704/K704,0)</f>
        <v>0.3992857142857143</v>
      </c>
      <c r="O704" s="14">
        <f>IFERROR(L704/J704,0)</f>
        <v>0.5169022741241549</v>
      </c>
      <c r="P704" s="14">
        <f>IFERROR(L704/G704,0)</f>
        <v>0.38227272727272588</v>
      </c>
      <c r="S704" s="61">
        <v>6</v>
      </c>
    </row>
    <row r="705" spans="1:19" x14ac:dyDescent="0.3">
      <c r="A705" s="9" t="s">
        <v>1591</v>
      </c>
      <c r="B705" s="9" t="s">
        <v>18</v>
      </c>
      <c r="C705" s="9" t="s">
        <v>184</v>
      </c>
      <c r="D705" s="52">
        <v>46138</v>
      </c>
      <c r="E705" s="48">
        <v>0.65694444444444444</v>
      </c>
      <c r="F705" s="48">
        <v>0.67638888888888893</v>
      </c>
      <c r="G705" s="43">
        <f>(F705-E705)*1440</f>
        <v>28.00000000000006</v>
      </c>
      <c r="H705" s="9" t="s">
        <v>1945</v>
      </c>
      <c r="I705" s="9" t="s">
        <v>1120</v>
      </c>
      <c r="J705" s="44">
        <v>14.78</v>
      </c>
      <c r="K705" s="60">
        <v>11.96</v>
      </c>
      <c r="L705" s="56">
        <v>7.77</v>
      </c>
      <c r="M705" s="14">
        <f>K705-L705</f>
        <v>4.1900000000000013</v>
      </c>
      <c r="N705" s="15">
        <f>IFERROR(M705/K705,0)</f>
        <v>0.35033444816053522</v>
      </c>
      <c r="O705" s="14">
        <f>IFERROR(L705/J705,0)</f>
        <v>0.52571041948579156</v>
      </c>
      <c r="P705" s="14">
        <f>IFERROR(L705/G705,0)</f>
        <v>0.27749999999999941</v>
      </c>
      <c r="S705" s="61">
        <v>2</v>
      </c>
    </row>
    <row r="706" spans="1:19" x14ac:dyDescent="0.3">
      <c r="A706" s="9" t="s">
        <v>1587</v>
      </c>
      <c r="B706" s="9" t="s">
        <v>18</v>
      </c>
      <c r="C706" s="9" t="s">
        <v>184</v>
      </c>
      <c r="D706" s="52">
        <v>46138</v>
      </c>
      <c r="E706" s="48">
        <v>0.42291666666666666</v>
      </c>
      <c r="F706" s="48">
        <v>0.4381944444444445</v>
      </c>
      <c r="G706" s="43">
        <f>(F706-E706)*1440</f>
        <v>22.000000000000082</v>
      </c>
      <c r="H706" s="9" t="s">
        <v>1120</v>
      </c>
      <c r="I706" s="9" t="s">
        <v>1942</v>
      </c>
      <c r="J706" s="44">
        <v>13.44</v>
      </c>
      <c r="K706" s="60">
        <v>11.99</v>
      </c>
      <c r="L706" s="56">
        <v>7.1</v>
      </c>
      <c r="M706" s="14">
        <f>K706-L706</f>
        <v>4.8900000000000006</v>
      </c>
      <c r="N706" s="15">
        <f>IFERROR(M706/K706,0)</f>
        <v>0.40783986655546295</v>
      </c>
      <c r="O706" s="14">
        <f>IFERROR(L706/J706,0)</f>
        <v>0.52827380952380953</v>
      </c>
      <c r="P706" s="14">
        <f>IFERROR(L706/G706,0)</f>
        <v>0.32272727272727153</v>
      </c>
      <c r="S706" s="61">
        <v>1.1499999999999999</v>
      </c>
    </row>
    <row r="707" spans="1:19" x14ac:dyDescent="0.3">
      <c r="A707" s="9" t="s">
        <v>1588</v>
      </c>
      <c r="B707" s="9" t="s">
        <v>18</v>
      </c>
      <c r="C707" s="9" t="s">
        <v>184</v>
      </c>
      <c r="D707" s="52">
        <v>46138</v>
      </c>
      <c r="E707" s="48">
        <v>0.44236111111111115</v>
      </c>
      <c r="F707" s="48">
        <v>0.45902777777777781</v>
      </c>
      <c r="G707" s="43">
        <f>(F707-E707)*1440</f>
        <v>23.999999999999993</v>
      </c>
      <c r="H707" s="9" t="s">
        <v>1943</v>
      </c>
      <c r="I707" s="9" t="s">
        <v>1120</v>
      </c>
      <c r="J707" s="44">
        <v>12.09</v>
      </c>
      <c r="K707" s="60">
        <v>11.98</v>
      </c>
      <c r="L707" s="56">
        <v>7.79</v>
      </c>
      <c r="M707" s="14">
        <f>K707-L707</f>
        <v>4.1900000000000004</v>
      </c>
      <c r="N707" s="15">
        <f>IFERROR(M707/K707,0)</f>
        <v>0.34974958263772959</v>
      </c>
      <c r="O707" s="14">
        <f>IFERROR(L707/J707,0)</f>
        <v>0.6443341604631927</v>
      </c>
      <c r="P707" s="14">
        <f>IFERROR(L707/G707,0)</f>
        <v>0.32458333333333345</v>
      </c>
    </row>
    <row r="708" spans="1:19" x14ac:dyDescent="0.3">
      <c r="A708" s="9" t="s">
        <v>1584</v>
      </c>
      <c r="B708" s="9" t="s">
        <v>26</v>
      </c>
      <c r="C708" s="9" t="s">
        <v>27</v>
      </c>
      <c r="D708" s="52">
        <v>46138</v>
      </c>
      <c r="E708" s="48">
        <v>0.55208333333333337</v>
      </c>
      <c r="F708" s="48">
        <v>0.56944444444444442</v>
      </c>
      <c r="G708" s="43">
        <f>(F708-E708)*1440</f>
        <v>24.999999999999911</v>
      </c>
      <c r="H708" s="9" t="s">
        <v>241</v>
      </c>
      <c r="I708" s="9" t="s">
        <v>1120</v>
      </c>
      <c r="J708" s="44">
        <v>7.8</v>
      </c>
      <c r="K708" s="60">
        <v>7.34</v>
      </c>
      <c r="L708" s="56">
        <v>6.05</v>
      </c>
      <c r="M708" s="14">
        <f>K708-L708</f>
        <v>1.29</v>
      </c>
      <c r="N708" s="15">
        <f>IFERROR(M708/K708,0)</f>
        <v>0.17574931880108993</v>
      </c>
      <c r="O708" s="14">
        <f>IFERROR(L708/J708,0)</f>
        <v>0.77564102564102566</v>
      </c>
      <c r="P708" s="14">
        <f>IFERROR(L708/G708,0)</f>
        <v>0.24200000000000085</v>
      </c>
    </row>
    <row r="709" spans="1:19" x14ac:dyDescent="0.3">
      <c r="A709" s="9" t="s">
        <v>1585</v>
      </c>
      <c r="B709" s="9" t="s">
        <v>26</v>
      </c>
      <c r="C709" s="9" t="s">
        <v>26</v>
      </c>
      <c r="D709" s="52">
        <v>46138</v>
      </c>
      <c r="E709" s="48">
        <v>0.60486111111111118</v>
      </c>
      <c r="F709" s="48">
        <v>0.61805555555555558</v>
      </c>
      <c r="G709" s="43">
        <f>(F709-E709)*1440</f>
        <v>18.999999999999932</v>
      </c>
      <c r="H709" s="9" t="s">
        <v>1940</v>
      </c>
      <c r="I709" s="9" t="s">
        <v>1941</v>
      </c>
      <c r="J709" s="44">
        <v>8.8000000000000007</v>
      </c>
      <c r="K709" s="60">
        <v>10.9</v>
      </c>
      <c r="L709" s="56">
        <v>8.17</v>
      </c>
      <c r="M709" s="14">
        <f>K709-L709</f>
        <v>2.7300000000000004</v>
      </c>
      <c r="N709" s="15">
        <f>IFERROR(M709/K709,0)</f>
        <v>0.25045871559633032</v>
      </c>
      <c r="O709" s="14">
        <f>IFERROR(L709/J709,0)</f>
        <v>0.92840909090909085</v>
      </c>
      <c r="P709" s="14">
        <f>IFERROR(L709/G709,0)</f>
        <v>0.43000000000000155</v>
      </c>
      <c r="R709" s="57">
        <v>1.81</v>
      </c>
    </row>
    <row r="710" spans="1:19" x14ac:dyDescent="0.3">
      <c r="A710" s="9" t="s">
        <v>1586</v>
      </c>
      <c r="B710" s="9" t="s">
        <v>18</v>
      </c>
      <c r="C710" s="9" t="s">
        <v>184</v>
      </c>
      <c r="D710" s="52">
        <v>46138</v>
      </c>
      <c r="E710" s="48">
        <v>0.41041666666666665</v>
      </c>
      <c r="F710" s="48">
        <v>0.41805555555555557</v>
      </c>
      <c r="G710" s="43">
        <f>(F710-E710)*1440</f>
        <v>11.000000000000041</v>
      </c>
      <c r="H710" s="9" t="s">
        <v>837</v>
      </c>
      <c r="I710" s="9" t="s">
        <v>1120</v>
      </c>
      <c r="J710" s="44">
        <v>3.6</v>
      </c>
      <c r="K710" s="60">
        <v>4.95</v>
      </c>
      <c r="L710" s="56">
        <v>3.5</v>
      </c>
      <c r="M710" s="14">
        <f>K710-L710</f>
        <v>1.4500000000000002</v>
      </c>
      <c r="N710" s="15">
        <f>IFERROR(M710/K710,0)</f>
        <v>0.29292929292929293</v>
      </c>
      <c r="O710" s="14">
        <f>IFERROR(L710/J710,0)</f>
        <v>0.97222222222222221</v>
      </c>
      <c r="P710" s="14">
        <f>IFERROR(L710/G710,0)</f>
        <v>0.31818181818181701</v>
      </c>
    </row>
    <row r="711" spans="1:19" x14ac:dyDescent="0.3">
      <c r="A711" s="9" t="s">
        <v>1583</v>
      </c>
      <c r="B711" s="9" t="s">
        <v>26</v>
      </c>
      <c r="C711" s="9" t="s">
        <v>27</v>
      </c>
      <c r="D711" s="52">
        <v>46138</v>
      </c>
      <c r="E711" s="48">
        <v>0.39999999999999997</v>
      </c>
      <c r="F711" s="48">
        <v>0.41041666666666665</v>
      </c>
      <c r="G711" s="43">
        <f>(F711-E711)*1440</f>
        <v>15.000000000000027</v>
      </c>
      <c r="H711" s="9" t="s">
        <v>1939</v>
      </c>
      <c r="I711" s="9" t="s">
        <v>530</v>
      </c>
      <c r="J711" s="44">
        <v>7.2</v>
      </c>
      <c r="K711" s="60">
        <v>10.130000000000001</v>
      </c>
      <c r="L711" s="56">
        <v>7.6</v>
      </c>
      <c r="M711" s="14">
        <f>K711-L711</f>
        <v>2.5300000000000011</v>
      </c>
      <c r="N711" s="15">
        <f>IFERROR(M711/K711,0)</f>
        <v>0.24975320829220146</v>
      </c>
      <c r="O711" s="14">
        <f>IFERROR(L711/J711,0)</f>
        <v>1.0555555555555556</v>
      </c>
      <c r="P711" s="14">
        <f>IFERROR(L711/G711,0)</f>
        <v>0.50666666666666571</v>
      </c>
      <c r="R711" s="57">
        <v>3.37</v>
      </c>
    </row>
    <row r="712" spans="1:19" x14ac:dyDescent="0.3">
      <c r="A712" s="9" t="s">
        <v>1602</v>
      </c>
      <c r="B712" s="9" t="s">
        <v>26</v>
      </c>
      <c r="C712" s="9" t="s">
        <v>27</v>
      </c>
      <c r="D712" s="52">
        <v>46140</v>
      </c>
      <c r="E712" s="48">
        <v>0.53749999999999998</v>
      </c>
      <c r="F712" s="48">
        <v>0.55138888888888882</v>
      </c>
      <c r="G712" s="43">
        <f>(F712-E712)*1440</f>
        <v>19.999999999999929</v>
      </c>
      <c r="H712" s="9" t="s">
        <v>1321</v>
      </c>
      <c r="I712" s="9" t="s">
        <v>1120</v>
      </c>
      <c r="J712" s="44">
        <v>18.2</v>
      </c>
      <c r="K712" s="60">
        <v>10.119999999999999</v>
      </c>
      <c r="L712" s="56">
        <v>7.59</v>
      </c>
      <c r="M712" s="14">
        <f>K712-L712</f>
        <v>2.5299999999999994</v>
      </c>
      <c r="N712" s="15">
        <f>IFERROR(M712/K712,0)</f>
        <v>0.24999999999999994</v>
      </c>
      <c r="O712" s="14">
        <f>IFERROR(L712/J712,0)</f>
        <v>0.41703296703296705</v>
      </c>
      <c r="P712" s="14">
        <f>IFERROR(L712/G712,0)</f>
        <v>0.37950000000000134</v>
      </c>
    </row>
    <row r="713" spans="1:19" x14ac:dyDescent="0.3">
      <c r="A713" s="9" t="s">
        <v>1592</v>
      </c>
      <c r="B713" s="9" t="s">
        <v>18</v>
      </c>
      <c r="C713" s="9" t="s">
        <v>184</v>
      </c>
      <c r="D713" s="52">
        <v>46140</v>
      </c>
      <c r="E713" s="48">
        <v>0.56041666666666667</v>
      </c>
      <c r="F713" s="48">
        <v>0.57777777777777783</v>
      </c>
      <c r="G713" s="43">
        <f>(F713-E713)*1440</f>
        <v>25.000000000000071</v>
      </c>
      <c r="H713" s="9" t="s">
        <v>1946</v>
      </c>
      <c r="I713" s="9" t="s">
        <v>1947</v>
      </c>
      <c r="J713" s="44">
        <v>14.83</v>
      </c>
      <c r="K713" s="60">
        <v>9.93</v>
      </c>
      <c r="L713" s="56">
        <v>6.45</v>
      </c>
      <c r="M713" s="14">
        <f>K713-L713</f>
        <v>3.4799999999999995</v>
      </c>
      <c r="N713" s="15">
        <f>IFERROR(M713/K713,0)</f>
        <v>0.35045317220543803</v>
      </c>
      <c r="O713" s="14">
        <f>IFERROR(L713/J713,0)</f>
        <v>0.43492919757248821</v>
      </c>
      <c r="P713" s="14">
        <f>IFERROR(L713/G713,0)</f>
        <v>0.25799999999999929</v>
      </c>
    </row>
    <row r="714" spans="1:19" x14ac:dyDescent="0.3">
      <c r="A714" s="9" t="s">
        <v>1596</v>
      </c>
      <c r="B714" s="9" t="s">
        <v>18</v>
      </c>
      <c r="C714" s="9" t="s">
        <v>184</v>
      </c>
      <c r="D714" s="52">
        <v>46140</v>
      </c>
      <c r="E714" s="48">
        <v>0.65763888888888888</v>
      </c>
      <c r="F714" s="48">
        <v>0.67013888888888884</v>
      </c>
      <c r="G714" s="43">
        <f>(F714-E714)*1440</f>
        <v>17.999999999999936</v>
      </c>
      <c r="H714" s="9" t="s">
        <v>1953</v>
      </c>
      <c r="I714" s="9" t="s">
        <v>1954</v>
      </c>
      <c r="J714" s="44">
        <v>9.16</v>
      </c>
      <c r="K714" s="60">
        <v>6.95</v>
      </c>
      <c r="L714" s="56">
        <v>4.5199999999999996</v>
      </c>
      <c r="M714" s="14">
        <f>K714-L714</f>
        <v>2.4300000000000006</v>
      </c>
      <c r="N714" s="15">
        <f>IFERROR(M714/K714,0)</f>
        <v>0.34964028776978423</v>
      </c>
      <c r="O714" s="14">
        <f>IFERROR(L714/J714,0)</f>
        <v>0.49344978165938858</v>
      </c>
      <c r="P714" s="14">
        <f>IFERROR(L714/G714,0)</f>
        <v>0.25111111111111201</v>
      </c>
    </row>
    <row r="715" spans="1:19" x14ac:dyDescent="0.3">
      <c r="A715" s="9" t="s">
        <v>1594</v>
      </c>
      <c r="B715" s="9" t="s">
        <v>18</v>
      </c>
      <c r="C715" s="9" t="s">
        <v>196</v>
      </c>
      <c r="D715" s="52">
        <v>46140</v>
      </c>
      <c r="E715" s="48">
        <v>0.61527777777777781</v>
      </c>
      <c r="F715" s="48">
        <v>0.62430555555555556</v>
      </c>
      <c r="G715" s="43">
        <f>(F715-E715)*1440</f>
        <v>12.999999999999954</v>
      </c>
      <c r="H715" s="9" t="s">
        <v>1950</v>
      </c>
      <c r="I715" s="9" t="s">
        <v>1951</v>
      </c>
      <c r="J715" s="44">
        <v>7.98</v>
      </c>
      <c r="K715" s="60">
        <v>6.98</v>
      </c>
      <c r="L715" s="56">
        <v>4.54</v>
      </c>
      <c r="M715" s="14">
        <f>K715-L715</f>
        <v>2.4400000000000004</v>
      </c>
      <c r="N715" s="15">
        <f>IFERROR(M715/K715,0)</f>
        <v>0.34957020057306593</v>
      </c>
      <c r="O715" s="14">
        <f>IFERROR(L715/J715,0)</f>
        <v>0.56892230576441105</v>
      </c>
      <c r="P715" s="14">
        <f>IFERROR(L715/G715,0)</f>
        <v>0.34923076923077045</v>
      </c>
    </row>
    <row r="716" spans="1:19" x14ac:dyDescent="0.3">
      <c r="A716" s="9" t="s">
        <v>1597</v>
      </c>
      <c r="B716" s="9" t="s">
        <v>18</v>
      </c>
      <c r="C716" s="9" t="s">
        <v>196</v>
      </c>
      <c r="D716" s="52">
        <v>46140</v>
      </c>
      <c r="E716" s="48">
        <v>0.67569444444444438</v>
      </c>
      <c r="F716" s="48">
        <v>0.68680555555555556</v>
      </c>
      <c r="G716" s="43">
        <f>(F716-E716)*1440</f>
        <v>16.000000000000103</v>
      </c>
      <c r="H716" s="9" t="s">
        <v>1315</v>
      </c>
      <c r="I716" s="9" t="s">
        <v>1955</v>
      </c>
      <c r="J716" s="44">
        <v>8.98</v>
      </c>
      <c r="K716" s="60">
        <v>10.25</v>
      </c>
      <c r="L716" s="56">
        <v>5.91</v>
      </c>
      <c r="M716" s="14">
        <f>K716-L716</f>
        <v>4.34</v>
      </c>
      <c r="N716" s="15">
        <f>IFERROR(M716/K716,0)</f>
        <v>0.42341463414634145</v>
      </c>
      <c r="O716" s="14">
        <f>IFERROR(L716/J716,0)</f>
        <v>0.65812917594654785</v>
      </c>
      <c r="P716" s="14">
        <f>IFERROR(L716/G716,0)</f>
        <v>0.36937499999999762</v>
      </c>
    </row>
    <row r="717" spans="1:19" x14ac:dyDescent="0.3">
      <c r="A717" s="9" t="s">
        <v>1593</v>
      </c>
      <c r="B717" s="9" t="s">
        <v>18</v>
      </c>
      <c r="C717" s="9" t="s">
        <v>196</v>
      </c>
      <c r="D717" s="52">
        <v>46140</v>
      </c>
      <c r="E717" s="48">
        <v>0.58680555555555558</v>
      </c>
      <c r="F717" s="48">
        <v>0.59513888888888888</v>
      </c>
      <c r="G717" s="43">
        <f>(F717-E717)*1440</f>
        <v>11.999999999999957</v>
      </c>
      <c r="H717" s="9" t="s">
        <v>1948</v>
      </c>
      <c r="I717" s="9" t="s">
        <v>1949</v>
      </c>
      <c r="J717" s="44">
        <v>6.7</v>
      </c>
      <c r="K717" s="60">
        <v>6.97</v>
      </c>
      <c r="L717" s="56">
        <v>4.53</v>
      </c>
      <c r="M717" s="14">
        <f>K717-L717</f>
        <v>2.4399999999999995</v>
      </c>
      <c r="N717" s="15">
        <f>IFERROR(M717/K717,0)</f>
        <v>0.35007173601147773</v>
      </c>
      <c r="O717" s="14">
        <f>IFERROR(L717/J717,0)</f>
        <v>0.67611940298507467</v>
      </c>
      <c r="P717" s="14">
        <f>IFERROR(L717/G717,0)</f>
        <v>0.37750000000000133</v>
      </c>
    </row>
    <row r="718" spans="1:19" x14ac:dyDescent="0.3">
      <c r="A718" s="9" t="s">
        <v>1599</v>
      </c>
      <c r="B718" s="9" t="s">
        <v>18</v>
      </c>
      <c r="C718" s="9" t="s">
        <v>184</v>
      </c>
      <c r="D718" s="52">
        <v>46140</v>
      </c>
      <c r="E718" s="48">
        <v>0.74305555555555547</v>
      </c>
      <c r="F718" s="48">
        <v>0.76736111111111116</v>
      </c>
      <c r="G718" s="43">
        <f>(F718-E718)*1440</f>
        <v>35.000000000000199</v>
      </c>
      <c r="H718" s="9" t="s">
        <v>1957</v>
      </c>
      <c r="I718" s="9" t="s">
        <v>1952</v>
      </c>
      <c r="J718" s="44">
        <v>10.43</v>
      </c>
      <c r="K718" s="60">
        <v>8.9499999999999993</v>
      </c>
      <c r="L718" s="56">
        <v>8.39</v>
      </c>
      <c r="M718" s="14">
        <f>K718-L718</f>
        <v>0.55999999999999872</v>
      </c>
      <c r="N718" s="15">
        <f>IFERROR(M718/K718,0)</f>
        <v>6.2569832402234501E-2</v>
      </c>
      <c r="O718" s="14">
        <f>IFERROR(L718/J718,0)</f>
        <v>0.80441035474592526</v>
      </c>
      <c r="P718" s="14">
        <f>IFERROR(L718/G718,0)</f>
        <v>0.23971428571428438</v>
      </c>
    </row>
    <row r="719" spans="1:19" x14ac:dyDescent="0.3">
      <c r="A719" s="9" t="s">
        <v>1598</v>
      </c>
      <c r="B719" s="9" t="s">
        <v>18</v>
      </c>
      <c r="C719" s="9" t="s">
        <v>184</v>
      </c>
      <c r="D719" s="52">
        <v>46140</v>
      </c>
      <c r="E719" s="48">
        <v>0.72569444444444453</v>
      </c>
      <c r="F719" s="48">
        <v>0.73888888888888893</v>
      </c>
      <c r="G719" s="43">
        <f>(F719-E719)*1440</f>
        <v>18.999999999999932</v>
      </c>
      <c r="H719" s="9" t="s">
        <v>1956</v>
      </c>
      <c r="I719" s="9" t="s">
        <v>584</v>
      </c>
      <c r="J719" s="44">
        <v>7.87</v>
      </c>
      <c r="K719" s="60">
        <v>6.95</v>
      </c>
      <c r="L719" s="56">
        <v>6.45</v>
      </c>
      <c r="M719" s="14">
        <f>K719-L719</f>
        <v>0.5</v>
      </c>
      <c r="N719" s="15">
        <f>IFERROR(M719/K719,0)</f>
        <v>7.1942446043165464E-2</v>
      </c>
      <c r="O719" s="14">
        <f>IFERROR(L719/J719,0)</f>
        <v>0.81956797966963157</v>
      </c>
      <c r="P719" s="14">
        <f>IFERROR(L719/G719,0)</f>
        <v>0.33947368421052754</v>
      </c>
    </row>
    <row r="720" spans="1:19" x14ac:dyDescent="0.3">
      <c r="A720" s="9" t="s">
        <v>1600</v>
      </c>
      <c r="B720" s="9" t="s">
        <v>18</v>
      </c>
      <c r="C720" s="9" t="s">
        <v>184</v>
      </c>
      <c r="D720" s="52">
        <v>46140</v>
      </c>
      <c r="E720" s="48">
        <v>0.77222222222222225</v>
      </c>
      <c r="F720" s="48">
        <v>0.78263888888888899</v>
      </c>
      <c r="G720" s="43">
        <f>(F720-E720)*1440</f>
        <v>15.000000000000107</v>
      </c>
      <c r="H720" s="9" t="s">
        <v>1953</v>
      </c>
      <c r="I720" s="9" t="s">
        <v>1958</v>
      </c>
      <c r="J720" s="44">
        <v>6.27</v>
      </c>
      <c r="K720" s="60">
        <v>7.95</v>
      </c>
      <c r="L720" s="56">
        <v>6.04</v>
      </c>
      <c r="M720" s="14">
        <f>K720-L720</f>
        <v>1.9100000000000001</v>
      </c>
      <c r="N720" s="15">
        <f>IFERROR(M720/K720,0)</f>
        <v>0.24025157232704403</v>
      </c>
      <c r="O720" s="14">
        <f>IFERROR(L720/J720,0)</f>
        <v>0.96331738437001602</v>
      </c>
      <c r="P720" s="14">
        <f>IFERROR(L720/G720,0)</f>
        <v>0.40266666666666379</v>
      </c>
    </row>
    <row r="721" spans="1:18" x14ac:dyDescent="0.3">
      <c r="A721" s="9" t="s">
        <v>1595</v>
      </c>
      <c r="B721" s="9" t="s">
        <v>18</v>
      </c>
      <c r="C721" s="9" t="s">
        <v>196</v>
      </c>
      <c r="D721" s="52">
        <v>46140</v>
      </c>
      <c r="E721" s="48">
        <v>0.62916666666666665</v>
      </c>
      <c r="F721" s="48">
        <v>0.63472222222222219</v>
      </c>
      <c r="G721" s="43">
        <f>(F721-E721)*1440</f>
        <v>7.9999999999999716</v>
      </c>
      <c r="H721" s="9" t="s">
        <v>1952</v>
      </c>
      <c r="I721" s="9" t="s">
        <v>234</v>
      </c>
      <c r="J721" s="44">
        <v>3.09</v>
      </c>
      <c r="K721" s="60">
        <v>5.05</v>
      </c>
      <c r="L721" s="56">
        <v>3.72</v>
      </c>
      <c r="M721" s="14">
        <f>K721-L721</f>
        <v>1.3299999999999996</v>
      </c>
      <c r="N721" s="15">
        <f>IFERROR(M721/K721,0)</f>
        <v>0.26336633663366332</v>
      </c>
      <c r="O721" s="14">
        <f>IFERROR(L721/J721,0)</f>
        <v>1.2038834951456312</v>
      </c>
      <c r="P721" s="14">
        <f>IFERROR(L721/G721,0)</f>
        <v>0.46500000000000169</v>
      </c>
    </row>
    <row r="722" spans="1:18" x14ac:dyDescent="0.3">
      <c r="A722" s="9" t="s">
        <v>1601</v>
      </c>
      <c r="B722" s="9" t="s">
        <v>18</v>
      </c>
      <c r="C722" s="9" t="s">
        <v>184</v>
      </c>
      <c r="D722" s="52">
        <v>46140</v>
      </c>
      <c r="E722" s="48">
        <v>0.80972222222222223</v>
      </c>
      <c r="F722" s="48">
        <v>0.81736111111111109</v>
      </c>
      <c r="G722" s="43">
        <f>(F722-E722)*1440</f>
        <v>10.999999999999961</v>
      </c>
      <c r="H722" s="9" t="s">
        <v>1120</v>
      </c>
      <c r="I722" s="9" t="s">
        <v>1959</v>
      </c>
      <c r="J722" s="44">
        <v>4.5</v>
      </c>
      <c r="K722" s="60">
        <v>10</v>
      </c>
      <c r="L722" s="56">
        <v>5.81</v>
      </c>
      <c r="M722" s="14">
        <f>K722-L722</f>
        <v>4.1900000000000004</v>
      </c>
      <c r="N722" s="15">
        <f>IFERROR(M722/K722,0)</f>
        <v>0.41900000000000004</v>
      </c>
      <c r="O722" s="14">
        <f>IFERROR(L722/J722,0)</f>
        <v>1.2911111111111111</v>
      </c>
      <c r="P722" s="14">
        <f>IFERROR(L722/G722,0)</f>
        <v>0.52818181818181997</v>
      </c>
    </row>
    <row r="723" spans="1:18" x14ac:dyDescent="0.3">
      <c r="A723" s="9" t="s">
        <v>1603</v>
      </c>
      <c r="B723" s="9" t="s">
        <v>26</v>
      </c>
      <c r="C723" s="9" t="s">
        <v>26</v>
      </c>
      <c r="D723" s="52">
        <v>46140</v>
      </c>
      <c r="E723" s="48">
        <v>0.55138888888888882</v>
      </c>
      <c r="F723" s="48">
        <v>0.56041666666666667</v>
      </c>
      <c r="G723" s="43">
        <f>(F723-E723)*1440</f>
        <v>13.000000000000114</v>
      </c>
      <c r="H723" s="9" t="s">
        <v>1120</v>
      </c>
      <c r="I723" s="9" t="s">
        <v>530</v>
      </c>
      <c r="J723" s="44">
        <v>3.2</v>
      </c>
      <c r="K723" s="60">
        <v>5.26</v>
      </c>
      <c r="L723" s="56">
        <v>4.38</v>
      </c>
      <c r="M723" s="14">
        <f>K723-L723</f>
        <v>0.87999999999999989</v>
      </c>
      <c r="N723" s="15">
        <f>IFERROR(M723/K723,0)</f>
        <v>0.16730038022813687</v>
      </c>
      <c r="O723" s="14">
        <f>IFERROR(L723/J723,0)</f>
        <v>1.3687499999999999</v>
      </c>
      <c r="P723" s="14">
        <f>IFERROR(L723/G723,0)</f>
        <v>0.33692307692307399</v>
      </c>
    </row>
    <row r="724" spans="1:18" x14ac:dyDescent="0.3">
      <c r="A724" s="9" t="s">
        <v>1613</v>
      </c>
      <c r="B724" s="9" t="s">
        <v>18</v>
      </c>
      <c r="C724" s="9" t="s">
        <v>184</v>
      </c>
      <c r="D724" s="52">
        <v>46141</v>
      </c>
      <c r="E724" s="48">
        <v>0.61805555555555558</v>
      </c>
      <c r="F724" s="48">
        <v>0.64097222222222217</v>
      </c>
      <c r="G724" s="43">
        <f>(F724-E724)*1440</f>
        <v>32.999999999999886</v>
      </c>
      <c r="H724" s="9" t="s">
        <v>1972</v>
      </c>
      <c r="I724" s="9" t="s">
        <v>1973</v>
      </c>
      <c r="J724" s="44">
        <v>34.19</v>
      </c>
      <c r="K724" s="60">
        <v>20.55</v>
      </c>
      <c r="L724" s="56">
        <v>12.58</v>
      </c>
      <c r="M724" s="14">
        <f>K724-L724</f>
        <v>7.9700000000000006</v>
      </c>
      <c r="N724" s="15">
        <f>IFERROR(M724/K724,0)</f>
        <v>0.38783454987834554</v>
      </c>
      <c r="O724" s="14">
        <f>IFERROR(L724/J724,0)</f>
        <v>0.36794384322901436</v>
      </c>
      <c r="P724" s="14">
        <f>IFERROR(L724/G724,0)</f>
        <v>0.3812121212121225</v>
      </c>
      <c r="Q724" s="64">
        <v>1.2</v>
      </c>
    </row>
    <row r="725" spans="1:18" x14ac:dyDescent="0.3">
      <c r="A725" s="9" t="s">
        <v>1612</v>
      </c>
      <c r="B725" s="9" t="s">
        <v>538</v>
      </c>
      <c r="C725" s="9" t="s">
        <v>184</v>
      </c>
      <c r="D725" s="52">
        <v>46141</v>
      </c>
      <c r="E725" s="48">
        <v>0.52777777777777779</v>
      </c>
      <c r="F725" s="48">
        <v>0.54722222222222217</v>
      </c>
      <c r="G725" s="43">
        <f>(F725-E725)*1440</f>
        <v>27.999999999999901</v>
      </c>
      <c r="H725" s="9" t="s">
        <v>1221</v>
      </c>
      <c r="I725" s="9" t="s">
        <v>1971</v>
      </c>
      <c r="J725" s="44">
        <v>30.7</v>
      </c>
      <c r="K725" s="60">
        <v>16.96</v>
      </c>
      <c r="L725" s="56">
        <v>11.62</v>
      </c>
      <c r="M725" s="14">
        <f>K725-L725</f>
        <v>5.3400000000000016</v>
      </c>
      <c r="N725" s="15">
        <f>IFERROR(M725/K725,0)</f>
        <v>0.31485849056603782</v>
      </c>
      <c r="O725" s="14">
        <f>IFERROR(L725/J725,0)</f>
        <v>0.3785016286644951</v>
      </c>
      <c r="P725" s="14">
        <f>IFERROR(L725/G725,0)</f>
        <v>0.41500000000000142</v>
      </c>
    </row>
    <row r="726" spans="1:18" x14ac:dyDescent="0.3">
      <c r="A726" s="9" t="s">
        <v>1607</v>
      </c>
      <c r="B726" s="9" t="s">
        <v>26</v>
      </c>
      <c r="C726" s="9" t="s">
        <v>27</v>
      </c>
      <c r="D726" s="52">
        <v>46141</v>
      </c>
      <c r="E726" s="48">
        <v>0.59722222222222221</v>
      </c>
      <c r="F726" s="48">
        <v>0.60972222222222217</v>
      </c>
      <c r="G726" s="43">
        <f>(F726-E726)*1440</f>
        <v>17.999999999999936</v>
      </c>
      <c r="H726" s="9" t="s">
        <v>1965</v>
      </c>
      <c r="I726" s="9" t="s">
        <v>1189</v>
      </c>
      <c r="J726" s="44">
        <v>13</v>
      </c>
      <c r="K726" s="60">
        <v>7.36</v>
      </c>
      <c r="L726" s="56">
        <v>5.52</v>
      </c>
      <c r="M726" s="14">
        <f>K726-L726</f>
        <v>1.8400000000000007</v>
      </c>
      <c r="N726" s="15">
        <f>IFERROR(M726/K726,0)</f>
        <v>0.25000000000000011</v>
      </c>
      <c r="O726" s="14">
        <f>IFERROR(L726/J726,0)</f>
        <v>0.42461538461538456</v>
      </c>
      <c r="P726" s="14">
        <f>IFERROR(L726/G726,0)</f>
        <v>0.30666666666666775</v>
      </c>
    </row>
    <row r="727" spans="1:18" x14ac:dyDescent="0.3">
      <c r="A727" s="9" t="s">
        <v>1604</v>
      </c>
      <c r="B727" s="9" t="s">
        <v>26</v>
      </c>
      <c r="C727" s="9" t="s">
        <v>27</v>
      </c>
      <c r="D727" s="52">
        <v>46141</v>
      </c>
      <c r="E727" s="48">
        <v>0.55208333333333337</v>
      </c>
      <c r="F727" s="48">
        <v>0.56319444444444444</v>
      </c>
      <c r="G727" s="43">
        <f>(F727-E727)*1440</f>
        <v>15.999999999999943</v>
      </c>
      <c r="H727" s="9" t="s">
        <v>1960</v>
      </c>
      <c r="I727" s="9" t="s">
        <v>229</v>
      </c>
      <c r="J727" s="44">
        <v>10.8</v>
      </c>
      <c r="K727" s="60">
        <v>6.68</v>
      </c>
      <c r="L727" s="56">
        <v>5.01</v>
      </c>
      <c r="M727" s="14">
        <f>K727-L727</f>
        <v>1.67</v>
      </c>
      <c r="N727" s="15">
        <f>IFERROR(M727/K727,0)</f>
        <v>0.25</v>
      </c>
      <c r="O727" s="14">
        <f>IFERROR(L727/J727,0)</f>
        <v>0.46388888888888885</v>
      </c>
      <c r="P727" s="14">
        <f>IFERROR(L727/G727,0)</f>
        <v>0.3131250000000011</v>
      </c>
    </row>
    <row r="728" spans="1:18" x14ac:dyDescent="0.3">
      <c r="A728" s="9" t="s">
        <v>1608</v>
      </c>
      <c r="B728" s="9" t="s">
        <v>26</v>
      </c>
      <c r="C728" s="9" t="s">
        <v>27</v>
      </c>
      <c r="D728" s="52">
        <v>46141</v>
      </c>
      <c r="E728" s="48">
        <v>0.70972222222222225</v>
      </c>
      <c r="F728" s="48">
        <v>0.72430555555555554</v>
      </c>
      <c r="G728" s="43">
        <f>(F728-E728)*1440</f>
        <v>20.999999999999925</v>
      </c>
      <c r="H728" s="9" t="s">
        <v>1966</v>
      </c>
      <c r="I728" s="9" t="s">
        <v>1967</v>
      </c>
      <c r="J728" s="44">
        <v>11</v>
      </c>
      <c r="K728" s="60">
        <v>8.0299999999999994</v>
      </c>
      <c r="L728" s="56">
        <v>6.02</v>
      </c>
      <c r="M728" s="14">
        <f>K728-L728</f>
        <v>2.0099999999999998</v>
      </c>
      <c r="N728" s="15">
        <f>IFERROR(M728/K728,0)</f>
        <v>0.25031133250311333</v>
      </c>
      <c r="O728" s="14">
        <f>IFERROR(L728/J728,0)</f>
        <v>0.54727272727272724</v>
      </c>
      <c r="P728" s="14">
        <f>IFERROR(L728/G728,0)</f>
        <v>0.28666666666666768</v>
      </c>
    </row>
    <row r="729" spans="1:18" x14ac:dyDescent="0.3">
      <c r="A729" s="9" t="s">
        <v>1614</v>
      </c>
      <c r="B729" s="9" t="s">
        <v>18</v>
      </c>
      <c r="C729" s="9" t="s">
        <v>184</v>
      </c>
      <c r="D729" s="52">
        <v>46141</v>
      </c>
      <c r="E729" s="48">
        <v>0.64444444444444449</v>
      </c>
      <c r="F729" s="48">
        <v>0.65833333333333333</v>
      </c>
      <c r="G729" s="43">
        <f>(F729-E729)*1440</f>
        <v>19.999999999999929</v>
      </c>
      <c r="H729" s="9" t="s">
        <v>1973</v>
      </c>
      <c r="I729" s="9" t="s">
        <v>1974</v>
      </c>
      <c r="J729" s="44">
        <v>9.39</v>
      </c>
      <c r="K729" s="60">
        <v>7.94</v>
      </c>
      <c r="L729" s="56">
        <v>5.16</v>
      </c>
      <c r="M729" s="14">
        <f>K729-L729</f>
        <v>2.7800000000000002</v>
      </c>
      <c r="N729" s="15">
        <f>IFERROR(M729/K729,0)</f>
        <v>0.3501259445843829</v>
      </c>
      <c r="O729" s="14">
        <f>IFERROR(L729/J729,0)</f>
        <v>0.54952076677316297</v>
      </c>
      <c r="P729" s="14">
        <f>IFERROR(L729/G729,0)</f>
        <v>0.25800000000000095</v>
      </c>
    </row>
    <row r="730" spans="1:18" x14ac:dyDescent="0.3">
      <c r="A730" s="9" t="s">
        <v>1610</v>
      </c>
      <c r="B730" s="9" t="s">
        <v>26</v>
      </c>
      <c r="C730" s="9" t="s">
        <v>27</v>
      </c>
      <c r="D730" s="52">
        <v>46141</v>
      </c>
      <c r="E730" s="48">
        <v>0.8666666666666667</v>
      </c>
      <c r="F730" s="48">
        <v>0.875</v>
      </c>
      <c r="G730" s="43">
        <f>(F730-E730)*1440</f>
        <v>11.999999999999957</v>
      </c>
      <c r="H730" s="9" t="s">
        <v>843</v>
      </c>
      <c r="I730" s="9" t="s">
        <v>611</v>
      </c>
      <c r="J730" s="44">
        <v>7.4</v>
      </c>
      <c r="K730" s="60">
        <v>5.79</v>
      </c>
      <c r="L730" s="56">
        <v>4.34</v>
      </c>
      <c r="M730" s="14">
        <f>K730-L730</f>
        <v>1.4500000000000002</v>
      </c>
      <c r="N730" s="15">
        <f>IFERROR(M730/K730,0)</f>
        <v>0.25043177892918828</v>
      </c>
      <c r="O730" s="14">
        <f>IFERROR(L730/J730,0)</f>
        <v>0.58648648648648649</v>
      </c>
      <c r="P730" s="14">
        <f>IFERROR(L730/G730,0)</f>
        <v>0.36166666666666791</v>
      </c>
    </row>
    <row r="731" spans="1:18" x14ac:dyDescent="0.3">
      <c r="A731" s="9" t="s">
        <v>1615</v>
      </c>
      <c r="B731" s="9" t="s">
        <v>18</v>
      </c>
      <c r="C731" s="9" t="s">
        <v>184</v>
      </c>
      <c r="D731" s="52">
        <v>46141</v>
      </c>
      <c r="E731" s="48">
        <v>0.66527777777777775</v>
      </c>
      <c r="F731" s="48">
        <v>0.67847222222222225</v>
      </c>
      <c r="G731" s="43">
        <f>(F731-E731)*1440</f>
        <v>19.000000000000092</v>
      </c>
      <c r="H731" s="9" t="s">
        <v>1975</v>
      </c>
      <c r="I731" s="9" t="s">
        <v>806</v>
      </c>
      <c r="J731" s="44">
        <v>11.22</v>
      </c>
      <c r="K731" s="60">
        <v>7.93</v>
      </c>
      <c r="L731" s="56">
        <v>6.98</v>
      </c>
      <c r="M731" s="14">
        <f>K731-L731</f>
        <v>0.94999999999999929</v>
      </c>
      <c r="N731" s="15">
        <f>IFERROR(M731/K731,0)</f>
        <v>0.11979823455233282</v>
      </c>
      <c r="O731" s="14">
        <f>IFERROR(L731/J731,0)</f>
        <v>0.62210338680926913</v>
      </c>
      <c r="P731" s="14">
        <f>IFERROR(L731/G731,0)</f>
        <v>0.36736842105262979</v>
      </c>
    </row>
    <row r="732" spans="1:18" x14ac:dyDescent="0.3">
      <c r="A732" s="9" t="s">
        <v>1620</v>
      </c>
      <c r="B732" s="9" t="s">
        <v>18</v>
      </c>
      <c r="C732" s="9" t="s">
        <v>196</v>
      </c>
      <c r="D732" s="52">
        <v>46141</v>
      </c>
      <c r="E732" s="48">
        <v>0.8354166666666667</v>
      </c>
      <c r="F732" s="48">
        <v>0.84513888888888899</v>
      </c>
      <c r="G732" s="43">
        <f>(F732-E732)*1440</f>
        <v>14.00000000000011</v>
      </c>
      <c r="H732" s="9" t="s">
        <v>1954</v>
      </c>
      <c r="I732" s="9" t="s">
        <v>1979</v>
      </c>
      <c r="J732" s="44">
        <v>11.43</v>
      </c>
      <c r="K732" s="60">
        <v>9.99</v>
      </c>
      <c r="L732" s="56">
        <v>7.26</v>
      </c>
      <c r="M732" s="14">
        <f>K732-L732</f>
        <v>2.7300000000000004</v>
      </c>
      <c r="N732" s="15">
        <f>IFERROR(M732/K732,0)</f>
        <v>0.27327327327327333</v>
      </c>
      <c r="O732" s="14">
        <f>IFERROR(L732/J732,0)</f>
        <v>0.6351706036745407</v>
      </c>
      <c r="P732" s="14">
        <f>IFERROR(L732/G732,0)</f>
        <v>0.51857142857142446</v>
      </c>
    </row>
    <row r="733" spans="1:18" x14ac:dyDescent="0.3">
      <c r="A733" s="9" t="s">
        <v>1618</v>
      </c>
      <c r="B733" s="9" t="s">
        <v>538</v>
      </c>
      <c r="C733" s="9" t="s">
        <v>184</v>
      </c>
      <c r="D733" s="52">
        <v>46141</v>
      </c>
      <c r="E733" s="48">
        <v>0.74513888888888891</v>
      </c>
      <c r="F733" s="48">
        <v>0.76597222222222217</v>
      </c>
      <c r="G733" s="43">
        <f>(F733-E733)*1440</f>
        <v>29.999999999999893</v>
      </c>
      <c r="H733" s="9" t="s">
        <v>1977</v>
      </c>
      <c r="I733" s="9" t="s">
        <v>1284</v>
      </c>
      <c r="J733" s="44">
        <v>11.15</v>
      </c>
      <c r="K733" s="60">
        <v>8.9499999999999993</v>
      </c>
      <c r="L733" s="56">
        <v>7.12</v>
      </c>
      <c r="M733" s="14">
        <f>K733-L733</f>
        <v>1.8299999999999992</v>
      </c>
      <c r="N733" s="15">
        <f>IFERROR(M733/K733,0)</f>
        <v>0.20446927374301668</v>
      </c>
      <c r="O733" s="14">
        <f>IFERROR(L733/J733,0)</f>
        <v>0.63856502242152469</v>
      </c>
      <c r="P733" s="14">
        <f>IFERROR(L733/G733,0)</f>
        <v>0.23733333333333417</v>
      </c>
    </row>
    <row r="734" spans="1:18" x14ac:dyDescent="0.3">
      <c r="A734" s="9" t="s">
        <v>1609</v>
      </c>
      <c r="B734" s="9" t="s">
        <v>26</v>
      </c>
      <c r="C734" s="9" t="s">
        <v>26</v>
      </c>
      <c r="D734" s="52">
        <v>46141</v>
      </c>
      <c r="E734" s="48">
        <v>0.82013888888888886</v>
      </c>
      <c r="F734" s="48">
        <v>0.8340277777777777</v>
      </c>
      <c r="G734" s="43">
        <f>(F734-E734)*1440</f>
        <v>19.999999999999929</v>
      </c>
      <c r="H734" s="9" t="s">
        <v>1968</v>
      </c>
      <c r="I734" s="9" t="s">
        <v>1969</v>
      </c>
      <c r="J734" s="44">
        <v>10.1</v>
      </c>
      <c r="K734" s="60">
        <v>7.52</v>
      </c>
      <c r="L734" s="56">
        <v>6.53</v>
      </c>
      <c r="M734" s="14">
        <f>K734-L734</f>
        <v>0.98999999999999932</v>
      </c>
      <c r="N734" s="15">
        <f>IFERROR(M734/K734,0)</f>
        <v>0.13164893617021267</v>
      </c>
      <c r="O734" s="14">
        <f>IFERROR(L734/J734,0)</f>
        <v>0.64653465346534655</v>
      </c>
      <c r="P734" s="14">
        <f>IFERROR(L734/G734,0)</f>
        <v>0.32650000000000118</v>
      </c>
    </row>
    <row r="735" spans="1:18" x14ac:dyDescent="0.3">
      <c r="A735" s="9" t="s">
        <v>1606</v>
      </c>
      <c r="B735" s="9" t="s">
        <v>26</v>
      </c>
      <c r="C735" s="9" t="s">
        <v>26</v>
      </c>
      <c r="D735" s="52">
        <v>46141</v>
      </c>
      <c r="E735" s="48">
        <v>0.58472222222222225</v>
      </c>
      <c r="F735" s="48">
        <v>0.59513888888888888</v>
      </c>
      <c r="G735" s="43">
        <f>(F735-E735)*1440</f>
        <v>14.999999999999947</v>
      </c>
      <c r="H735" s="9" t="s">
        <v>1963</v>
      </c>
      <c r="I735" s="9" t="s">
        <v>1964</v>
      </c>
      <c r="J735" s="44">
        <v>9.9</v>
      </c>
      <c r="K735" s="60">
        <v>7.51</v>
      </c>
      <c r="L735" s="56">
        <v>6.52</v>
      </c>
      <c r="M735" s="14">
        <f>K735-L735</f>
        <v>0.99000000000000021</v>
      </c>
      <c r="N735" s="15">
        <f>IFERROR(M735/K735,0)</f>
        <v>0.13182423435419444</v>
      </c>
      <c r="O735" s="14">
        <f>IFERROR(L735/J735,0)</f>
        <v>0.6585858585858585</v>
      </c>
      <c r="P735" s="14">
        <f>IFERROR(L735/G735,0)</f>
        <v>0.4346666666666682</v>
      </c>
    </row>
    <row r="736" spans="1:18" x14ac:dyDescent="0.3">
      <c r="A736" s="9" t="s">
        <v>1611</v>
      </c>
      <c r="B736" s="9" t="s">
        <v>26</v>
      </c>
      <c r="C736" s="9" t="s">
        <v>26</v>
      </c>
      <c r="D736" s="52">
        <v>46141</v>
      </c>
      <c r="E736" s="48">
        <v>0.87708333333333333</v>
      </c>
      <c r="F736" s="48">
        <v>0.89166666666666661</v>
      </c>
      <c r="G736" s="43">
        <f>(F736-E736)*1440</f>
        <v>20.999999999999925</v>
      </c>
      <c r="H736" s="9" t="s">
        <v>1120</v>
      </c>
      <c r="I736" s="9" t="s">
        <v>1970</v>
      </c>
      <c r="J736" s="44">
        <v>13.4</v>
      </c>
      <c r="K736" s="60">
        <v>10.99</v>
      </c>
      <c r="L736" s="56">
        <v>9.16</v>
      </c>
      <c r="M736" s="14">
        <f>K736-L736</f>
        <v>1.83</v>
      </c>
      <c r="N736" s="15">
        <f>IFERROR(M736/K736,0)</f>
        <v>0.16651501364877161</v>
      </c>
      <c r="O736" s="14">
        <f>IFERROR(L736/J736,0)</f>
        <v>0.68358208955223876</v>
      </c>
      <c r="P736" s="14">
        <f>IFERROR(L736/G736,0)</f>
        <v>0.43619047619047774</v>
      </c>
      <c r="R736" s="57">
        <v>2.0299999999999998</v>
      </c>
    </row>
    <row r="737" spans="1:19" x14ac:dyDescent="0.3">
      <c r="A737" s="9" t="s">
        <v>1616</v>
      </c>
      <c r="B737" s="9" t="s">
        <v>18</v>
      </c>
      <c r="C737" s="9" t="s">
        <v>196</v>
      </c>
      <c r="D737" s="52">
        <v>46141</v>
      </c>
      <c r="E737" s="48">
        <v>0.6791666666666667</v>
      </c>
      <c r="F737" s="48">
        <v>0.69444444444444453</v>
      </c>
      <c r="G737" s="43">
        <f>(F737-E737)*1440</f>
        <v>22.000000000000082</v>
      </c>
      <c r="H737" s="9" t="s">
        <v>872</v>
      </c>
      <c r="I737" s="9" t="s">
        <v>738</v>
      </c>
      <c r="J737" s="44">
        <v>10.86</v>
      </c>
      <c r="K737" s="60">
        <v>9.9700000000000006</v>
      </c>
      <c r="L737" s="56">
        <v>7.74</v>
      </c>
      <c r="M737" s="14">
        <f>K737-L737</f>
        <v>2.2300000000000004</v>
      </c>
      <c r="N737" s="15">
        <f>IFERROR(M737/K737,0)</f>
        <v>0.22367101303911738</v>
      </c>
      <c r="O737" s="14">
        <f>IFERROR(L737/J737,0)</f>
        <v>0.71270718232044206</v>
      </c>
      <c r="P737" s="14">
        <f>IFERROR(L737/G737,0)</f>
        <v>0.35181818181818053</v>
      </c>
    </row>
    <row r="738" spans="1:19" x14ac:dyDescent="0.3">
      <c r="A738" s="9" t="s">
        <v>1617</v>
      </c>
      <c r="B738" s="9" t="s">
        <v>18</v>
      </c>
      <c r="C738" s="9" t="s">
        <v>196</v>
      </c>
      <c r="D738" s="52">
        <v>46141</v>
      </c>
      <c r="E738" s="48">
        <v>0.72222222222222221</v>
      </c>
      <c r="F738" s="48">
        <v>0.7368055555555556</v>
      </c>
      <c r="G738" s="43">
        <f>(F738-E738)*1440</f>
        <v>21.000000000000085</v>
      </c>
      <c r="H738" s="9" t="s">
        <v>1976</v>
      </c>
      <c r="I738" s="9" t="s">
        <v>1240</v>
      </c>
      <c r="J738" s="44">
        <v>10.55</v>
      </c>
      <c r="K738" s="60">
        <v>9.98</v>
      </c>
      <c r="L738" s="56">
        <v>7.69</v>
      </c>
      <c r="M738" s="14">
        <f>K738-L738</f>
        <v>2.29</v>
      </c>
      <c r="N738" s="15">
        <f>IFERROR(M738/K738,0)</f>
        <v>0.22945891783567135</v>
      </c>
      <c r="O738" s="14">
        <f>IFERROR(L738/J738,0)</f>
        <v>0.72890995260663505</v>
      </c>
      <c r="P738" s="14">
        <f>IFERROR(L738/G738,0)</f>
        <v>0.36619047619047473</v>
      </c>
    </row>
    <row r="739" spans="1:19" x14ac:dyDescent="0.3">
      <c r="A739" s="9" t="s">
        <v>1605</v>
      </c>
      <c r="B739" s="9" t="s">
        <v>26</v>
      </c>
      <c r="C739" s="9" t="s">
        <v>27</v>
      </c>
      <c r="D739" s="52">
        <v>46141</v>
      </c>
      <c r="E739" s="48">
        <v>0.56805555555555554</v>
      </c>
      <c r="F739" s="48">
        <v>0.58124999999999993</v>
      </c>
      <c r="G739" s="43">
        <f>(F739-E739)*1440</f>
        <v>18.999999999999932</v>
      </c>
      <c r="H739" s="9" t="s">
        <v>1961</v>
      </c>
      <c r="I739" s="9" t="s">
        <v>1962</v>
      </c>
      <c r="J739" s="44">
        <v>5.5</v>
      </c>
      <c r="K739" s="60">
        <v>7.55</v>
      </c>
      <c r="L739" s="56">
        <v>5.66</v>
      </c>
      <c r="M739" s="14">
        <f>K739-L739</f>
        <v>1.8899999999999997</v>
      </c>
      <c r="N739" s="15">
        <f>IFERROR(M739/K739,0)</f>
        <v>0.25033112582781453</v>
      </c>
      <c r="O739" s="14">
        <f>IFERROR(L739/J739,0)</f>
        <v>1.0290909090909091</v>
      </c>
      <c r="P739" s="14">
        <f>IFERROR(L739/G739,0)</f>
        <v>0.29789473684210632</v>
      </c>
      <c r="R739" s="57">
        <v>2.44</v>
      </c>
    </row>
    <row r="740" spans="1:19" x14ac:dyDescent="0.3">
      <c r="A740" s="9" t="s">
        <v>1619</v>
      </c>
      <c r="B740" s="9" t="s">
        <v>18</v>
      </c>
      <c r="C740" s="9" t="s">
        <v>196</v>
      </c>
      <c r="D740" s="52">
        <v>46141</v>
      </c>
      <c r="E740" s="48">
        <v>0.77222222222222225</v>
      </c>
      <c r="F740" s="48">
        <v>0.79652777777777783</v>
      </c>
      <c r="G740" s="43">
        <f>(F740-E740)*1440</f>
        <v>35.000000000000036</v>
      </c>
      <c r="H740" s="9" t="s">
        <v>1978</v>
      </c>
      <c r="I740" s="9" t="s">
        <v>1728</v>
      </c>
      <c r="J740" s="44">
        <v>10.61</v>
      </c>
      <c r="K740" s="60">
        <v>16.98</v>
      </c>
      <c r="L740" s="56">
        <v>13.43</v>
      </c>
      <c r="M740" s="14">
        <f>K740-L740</f>
        <v>3.5500000000000007</v>
      </c>
      <c r="N740" s="15">
        <f>IFERROR(M740/K740,0)</f>
        <v>0.20906949352179038</v>
      </c>
      <c r="O740" s="14">
        <f>IFERROR(L740/J740,0)</f>
        <v>1.2657869934024506</v>
      </c>
      <c r="P740" s="14">
        <f>IFERROR(L740/G740,0)</f>
        <v>0.38371428571428534</v>
      </c>
    </row>
    <row r="741" spans="1:19" x14ac:dyDescent="0.3">
      <c r="A741" s="9" t="s">
        <v>1621</v>
      </c>
      <c r="B741" s="9" t="s">
        <v>18</v>
      </c>
      <c r="C741" s="9" t="s">
        <v>184</v>
      </c>
      <c r="D741" s="52">
        <v>46142</v>
      </c>
      <c r="E741" s="48">
        <v>0.54652777777777783</v>
      </c>
      <c r="F741" s="48">
        <v>0.56111111111111112</v>
      </c>
      <c r="G741" s="43">
        <f>(F741-E741)*1440</f>
        <v>20.999999999999925</v>
      </c>
      <c r="H741" s="9" t="s">
        <v>1980</v>
      </c>
      <c r="I741" s="9" t="s">
        <v>1981</v>
      </c>
      <c r="J741" s="44">
        <v>16.329999999999998</v>
      </c>
      <c r="K741" s="60">
        <v>11.94</v>
      </c>
      <c r="L741" s="56">
        <v>7.76</v>
      </c>
      <c r="M741" s="14">
        <f>K741-L741</f>
        <v>4.18</v>
      </c>
      <c r="N741" s="15">
        <f>IFERROR(M741/K741,0)</f>
        <v>0.35008375209380233</v>
      </c>
      <c r="O741" s="14">
        <f>IFERROR(L741/J741,0)</f>
        <v>0.47519902020820581</v>
      </c>
      <c r="P741" s="14">
        <f>IFERROR(L741/G741,0)</f>
        <v>0.36952380952381081</v>
      </c>
    </row>
    <row r="742" spans="1:19" x14ac:dyDescent="0.3">
      <c r="A742" s="9" t="s">
        <v>1637</v>
      </c>
      <c r="B742" s="9" t="s">
        <v>26</v>
      </c>
      <c r="C742" s="9" t="s">
        <v>27</v>
      </c>
      <c r="D742" s="52">
        <v>46142</v>
      </c>
      <c r="E742" s="48">
        <v>0.87569444444444444</v>
      </c>
      <c r="F742" s="48">
        <v>0.89027777777777783</v>
      </c>
      <c r="G742" s="43">
        <f>(F742-E742)*1440</f>
        <v>21.000000000000085</v>
      </c>
      <c r="H742" s="9" t="s">
        <v>584</v>
      </c>
      <c r="I742" s="9" t="s">
        <v>2000</v>
      </c>
      <c r="J742" s="44">
        <v>12.5</v>
      </c>
      <c r="K742" s="60">
        <v>8.48</v>
      </c>
      <c r="L742" s="56">
        <v>6.36</v>
      </c>
      <c r="M742" s="14">
        <f>K742-L742</f>
        <v>2.12</v>
      </c>
      <c r="N742" s="15">
        <f>IFERROR(M742/K742,0)</f>
        <v>0.25</v>
      </c>
      <c r="O742" s="14">
        <f>IFERROR(L742/J742,0)</f>
        <v>0.50880000000000003</v>
      </c>
      <c r="P742" s="14">
        <f>IFERROR(L742/G742,0)</f>
        <v>0.30285714285714166</v>
      </c>
    </row>
    <row r="743" spans="1:19" x14ac:dyDescent="0.3">
      <c r="A743" s="9" t="s">
        <v>1624</v>
      </c>
      <c r="B743" s="9" t="s">
        <v>18</v>
      </c>
      <c r="C743" s="9" t="s">
        <v>196</v>
      </c>
      <c r="D743" s="52">
        <v>46142</v>
      </c>
      <c r="E743" s="48">
        <v>0.57638888888888895</v>
      </c>
      <c r="F743" s="48">
        <v>0.58402777777777781</v>
      </c>
      <c r="G743" s="43">
        <f>(F743-E743)*1440</f>
        <v>10.999999999999961</v>
      </c>
      <c r="H743" s="9" t="s">
        <v>1983</v>
      </c>
      <c r="I743" s="9" t="s">
        <v>1984</v>
      </c>
      <c r="J743" s="44">
        <v>7.86</v>
      </c>
      <c r="K743" s="60">
        <v>6.97</v>
      </c>
      <c r="L743" s="56">
        <v>4.53</v>
      </c>
      <c r="M743" s="14">
        <f>K743-L743</f>
        <v>2.4399999999999995</v>
      </c>
      <c r="N743" s="15">
        <f>IFERROR(M743/K743,0)</f>
        <v>0.35007173601147773</v>
      </c>
      <c r="O743" s="14">
        <f>IFERROR(L743/J743,0)</f>
        <v>0.57633587786259544</v>
      </c>
      <c r="P743" s="14">
        <f>IFERROR(L743/G743,0)</f>
        <v>0.4118181818181833</v>
      </c>
    </row>
    <row r="744" spans="1:19" x14ac:dyDescent="0.3">
      <c r="A744" s="9" t="s">
        <v>1631</v>
      </c>
      <c r="B744" s="9" t="s">
        <v>538</v>
      </c>
      <c r="C744" s="9" t="s">
        <v>184</v>
      </c>
      <c r="D744" s="52">
        <v>46142</v>
      </c>
      <c r="E744" s="48">
        <v>0.81736111111111109</v>
      </c>
      <c r="F744" s="48">
        <v>0.83680555555555547</v>
      </c>
      <c r="G744" s="43">
        <f>(F744-E744)*1440</f>
        <v>27.999999999999901</v>
      </c>
      <c r="H744" s="9" t="s">
        <v>776</v>
      </c>
      <c r="I744" s="9" t="s">
        <v>1990</v>
      </c>
      <c r="J744" s="44">
        <v>11.88</v>
      </c>
      <c r="K744" s="60">
        <v>8.9499999999999993</v>
      </c>
      <c r="L744" s="56">
        <v>7.07</v>
      </c>
      <c r="M744" s="14">
        <f>K744-L744</f>
        <v>1.879999999999999</v>
      </c>
      <c r="N744" s="15">
        <f>IFERROR(M744/K744,0)</f>
        <v>0.21005586592178763</v>
      </c>
      <c r="O744" s="14">
        <f>IFERROR(L744/J744,0)</f>
        <v>0.59511784511784516</v>
      </c>
      <c r="P744" s="14">
        <f>IFERROR(L744/G744,0)</f>
        <v>0.25250000000000089</v>
      </c>
    </row>
    <row r="745" spans="1:19" x14ac:dyDescent="0.3">
      <c r="A745" s="9" t="s">
        <v>1630</v>
      </c>
      <c r="B745" s="9" t="s">
        <v>18</v>
      </c>
      <c r="C745" s="9" t="s">
        <v>184</v>
      </c>
      <c r="D745" s="52">
        <v>46142</v>
      </c>
      <c r="E745" s="48">
        <v>0.78819444444444453</v>
      </c>
      <c r="F745" s="48">
        <v>0.8125</v>
      </c>
      <c r="G745" s="43">
        <f>(F745-E745)*1440</f>
        <v>34.999999999999872</v>
      </c>
      <c r="H745" s="9" t="s">
        <v>584</v>
      </c>
      <c r="I745" s="9" t="s">
        <v>1989</v>
      </c>
      <c r="J745" s="44">
        <v>18.45</v>
      </c>
      <c r="K745" s="60">
        <v>13.95</v>
      </c>
      <c r="L745" s="56">
        <v>12.28</v>
      </c>
      <c r="M745" s="14">
        <f>K745-L745</f>
        <v>1.67</v>
      </c>
      <c r="N745" s="15">
        <f>IFERROR(M745/K745,0)</f>
        <v>0.11971326164874552</v>
      </c>
      <c r="O745" s="14">
        <f>IFERROR(L745/J745,0)</f>
        <v>0.66558265582655829</v>
      </c>
      <c r="P745" s="14">
        <f>IFERROR(L745/G745,0)</f>
        <v>0.35085714285714414</v>
      </c>
    </row>
    <row r="746" spans="1:19" x14ac:dyDescent="0.3">
      <c r="A746" s="9" t="s">
        <v>1625</v>
      </c>
      <c r="B746" s="9" t="s">
        <v>18</v>
      </c>
      <c r="C746" s="9" t="s">
        <v>196</v>
      </c>
      <c r="D746" s="52">
        <v>46142</v>
      </c>
      <c r="E746" s="48">
        <v>0.58958333333333335</v>
      </c>
      <c r="F746" s="48">
        <v>0.59513888888888888</v>
      </c>
      <c r="G746" s="43">
        <f>(F746-E746)*1440</f>
        <v>7.9999999999999716</v>
      </c>
      <c r="H746" s="9" t="s">
        <v>1270</v>
      </c>
      <c r="I746" s="9" t="s">
        <v>1985</v>
      </c>
      <c r="J746" s="44">
        <v>5.46</v>
      </c>
      <c r="K746" s="60">
        <v>4.99</v>
      </c>
      <c r="L746" s="56">
        <v>3.67</v>
      </c>
      <c r="M746" s="14">
        <f>K746-L746</f>
        <v>1.3200000000000003</v>
      </c>
      <c r="N746" s="15">
        <f>IFERROR(M746/K746,0)</f>
        <v>0.26452905811623251</v>
      </c>
      <c r="O746" s="14">
        <f>IFERROR(L746/J746,0)</f>
        <v>0.6721611721611721</v>
      </c>
      <c r="P746" s="14">
        <f>IFERROR(L746/G746,0)</f>
        <v>0.4587500000000016</v>
      </c>
    </row>
    <row r="747" spans="1:19" x14ac:dyDescent="0.3">
      <c r="A747" s="9" t="s">
        <v>1632</v>
      </c>
      <c r="B747" s="9" t="s">
        <v>538</v>
      </c>
      <c r="C747" s="9" t="s">
        <v>184</v>
      </c>
      <c r="D747" s="52">
        <v>46142</v>
      </c>
      <c r="E747" s="48">
        <v>0.85277777777777775</v>
      </c>
      <c r="F747" s="48">
        <v>0.86249999999999993</v>
      </c>
      <c r="G747" s="43">
        <f>(F747-E747)*1440</f>
        <v>13.99999999999995</v>
      </c>
      <c r="H747" s="9" t="s">
        <v>1991</v>
      </c>
      <c r="I747" s="9" t="s">
        <v>1992</v>
      </c>
      <c r="J747" s="44">
        <v>5.27</v>
      </c>
      <c r="K747" s="60">
        <v>5.93</v>
      </c>
      <c r="L747" s="56">
        <v>4.46</v>
      </c>
      <c r="M747" s="14">
        <f>K747-L747</f>
        <v>1.4699999999999998</v>
      </c>
      <c r="N747" s="15">
        <f>IFERROR(M747/K747,0)</f>
        <v>0.24789207419898818</v>
      </c>
      <c r="O747" s="14">
        <f>IFERROR(L747/J747,0)</f>
        <v>0.84629981024667933</v>
      </c>
      <c r="P747" s="14">
        <f>IFERROR(L747/G747,0)</f>
        <v>0.31857142857142973</v>
      </c>
    </row>
    <row r="748" spans="1:19" x14ac:dyDescent="0.3">
      <c r="A748" s="9" t="s">
        <v>1622</v>
      </c>
      <c r="B748" s="9" t="s">
        <v>18</v>
      </c>
      <c r="C748" s="9" t="s">
        <v>196</v>
      </c>
      <c r="D748" s="52">
        <v>46142</v>
      </c>
      <c r="E748" s="48">
        <v>0.56041666666666667</v>
      </c>
      <c r="F748" s="48">
        <v>0.56458333333333333</v>
      </c>
      <c r="G748" s="43">
        <f>(F748-E748)*1440</f>
        <v>5.9999999999999787</v>
      </c>
      <c r="H748" s="9" t="s">
        <v>1982</v>
      </c>
      <c r="I748" s="9" t="s">
        <v>1362</v>
      </c>
      <c r="J748" s="44">
        <v>3.81</v>
      </c>
      <c r="K748" s="60">
        <v>4.9800000000000004</v>
      </c>
      <c r="L748" s="56">
        <v>3.67</v>
      </c>
      <c r="M748" s="14">
        <f>K748-L748</f>
        <v>1.3100000000000005</v>
      </c>
      <c r="N748" s="15">
        <f>IFERROR(M748/K748,0)</f>
        <v>0.26305220883534142</v>
      </c>
      <c r="O748" s="14">
        <f>IFERROR(L748/J748,0)</f>
        <v>0.96325459317585294</v>
      </c>
      <c r="P748" s="14">
        <f>IFERROR(L748/G748,0)</f>
        <v>0.6116666666666688</v>
      </c>
    </row>
    <row r="749" spans="1:19" x14ac:dyDescent="0.3">
      <c r="A749" s="9" t="s">
        <v>1628</v>
      </c>
      <c r="B749" s="9" t="s">
        <v>538</v>
      </c>
      <c r="C749" s="9" t="s">
        <v>196</v>
      </c>
      <c r="D749" s="52">
        <v>46142</v>
      </c>
      <c r="E749" s="48">
        <v>0.62430555555555556</v>
      </c>
      <c r="F749" s="48">
        <v>0.63055555555555554</v>
      </c>
      <c r="G749" s="43">
        <f>(F749-E749)*1440</f>
        <v>8.999999999999968</v>
      </c>
      <c r="H749" s="9" t="s">
        <v>1988</v>
      </c>
      <c r="I749" s="9" t="s">
        <v>1120</v>
      </c>
      <c r="J749" s="44">
        <v>3.6</v>
      </c>
      <c r="K749" s="60">
        <v>5.13</v>
      </c>
      <c r="L749" s="56">
        <v>3.67</v>
      </c>
      <c r="M749" s="14">
        <f>K749-L749</f>
        <v>1.46</v>
      </c>
      <c r="N749" s="15">
        <f>IFERROR(M749/K749,0)</f>
        <v>0.28460038986354774</v>
      </c>
      <c r="O749" s="14">
        <f>IFERROR(L749/J749,0)</f>
        <v>1.0194444444444444</v>
      </c>
      <c r="P749" s="14">
        <f>IFERROR(L749/G749,0)</f>
        <v>0.40777777777777924</v>
      </c>
    </row>
    <row r="750" spans="1:19" x14ac:dyDescent="0.3">
      <c r="A750" s="9" t="s">
        <v>1633</v>
      </c>
      <c r="B750" s="9" t="s">
        <v>26</v>
      </c>
      <c r="C750" s="9" t="s">
        <v>26</v>
      </c>
      <c r="D750" s="52">
        <v>46142</v>
      </c>
      <c r="E750" s="48">
        <v>0.65277777777777779</v>
      </c>
      <c r="F750" s="48">
        <v>0.67361111111111116</v>
      </c>
      <c r="G750" s="43">
        <f>(F750-E750)*1440</f>
        <v>30.000000000000053</v>
      </c>
      <c r="H750" s="9" t="s">
        <v>1120</v>
      </c>
      <c r="I750" s="9" t="s">
        <v>1993</v>
      </c>
      <c r="J750" s="44">
        <v>10.5</v>
      </c>
      <c r="K750" s="60">
        <v>13.87</v>
      </c>
      <c r="L750" s="56">
        <v>11.14</v>
      </c>
      <c r="M750" s="14">
        <f>K750-L750</f>
        <v>2.7299999999999986</v>
      </c>
      <c r="N750" s="15">
        <f>IFERROR(M750/K750,0)</f>
        <v>0.19682768565248729</v>
      </c>
      <c r="O750" s="14">
        <f>IFERROR(L750/J750,0)</f>
        <v>1.0609523809523811</v>
      </c>
      <c r="P750" s="14">
        <f>IFERROR(L750/G750,0)</f>
        <v>0.37133333333333268</v>
      </c>
      <c r="S750" s="61">
        <v>3</v>
      </c>
    </row>
    <row r="751" spans="1:19" x14ac:dyDescent="0.3">
      <c r="A751" s="9" t="s">
        <v>1635</v>
      </c>
      <c r="B751" s="9" t="s">
        <v>26</v>
      </c>
      <c r="C751" s="9" t="s">
        <v>26</v>
      </c>
      <c r="D751" s="52">
        <v>46142</v>
      </c>
      <c r="E751" s="48">
        <v>0.72152777777777777</v>
      </c>
      <c r="F751" s="48">
        <v>0.72986111111111107</v>
      </c>
      <c r="G751" s="43">
        <f>(F751-E751)*1440</f>
        <v>11.999999999999957</v>
      </c>
      <c r="H751" s="9" t="s">
        <v>1996</v>
      </c>
      <c r="I751" s="9" t="s">
        <v>1997</v>
      </c>
      <c r="J751" s="44">
        <v>6.8</v>
      </c>
      <c r="K751" s="60">
        <v>6.76</v>
      </c>
      <c r="L751" s="56">
        <v>7.24</v>
      </c>
      <c r="M751" s="14">
        <f>K751-L751</f>
        <v>-0.48000000000000043</v>
      </c>
      <c r="N751" s="15">
        <f>IFERROR(M751/K751,0)</f>
        <v>-7.1005917159763385E-2</v>
      </c>
      <c r="O751" s="14">
        <f>IFERROR(L751/J751,0)</f>
        <v>1.0647058823529412</v>
      </c>
      <c r="P751" s="14">
        <f>IFERROR(L751/G751,0)</f>
        <v>0.6033333333333355</v>
      </c>
      <c r="R751" s="57">
        <v>3.25</v>
      </c>
    </row>
    <row r="752" spans="1:19" x14ac:dyDescent="0.3">
      <c r="A752" s="9" t="s">
        <v>1634</v>
      </c>
      <c r="B752" s="9" t="s">
        <v>26</v>
      </c>
      <c r="C752" s="9" t="s">
        <v>26</v>
      </c>
      <c r="D752" s="52">
        <v>46142</v>
      </c>
      <c r="E752" s="48">
        <v>0.67361111111111116</v>
      </c>
      <c r="F752" s="48">
        <v>0.70277777777777783</v>
      </c>
      <c r="G752" s="43">
        <f>(F752-E752)*1440</f>
        <v>42.000000000000014</v>
      </c>
      <c r="H752" s="9" t="s">
        <v>1994</v>
      </c>
      <c r="I752" s="9" t="s">
        <v>1995</v>
      </c>
      <c r="J752" s="44">
        <v>10.3</v>
      </c>
      <c r="K752" s="60">
        <v>13.18</v>
      </c>
      <c r="L752" s="56">
        <v>12.66</v>
      </c>
      <c r="M752" s="14">
        <f>K752-L752</f>
        <v>0.51999999999999957</v>
      </c>
      <c r="N752" s="15">
        <f>IFERROR(M752/K752,0)</f>
        <v>3.9453717754172959E-2</v>
      </c>
      <c r="O752" s="14">
        <f>IFERROR(L752/J752,0)</f>
        <v>1.229126213592233</v>
      </c>
      <c r="P752" s="14">
        <f>IFERROR(L752/G752,0)</f>
        <v>0.30142857142857132</v>
      </c>
      <c r="S752" s="61">
        <v>5</v>
      </c>
    </row>
    <row r="753" spans="1:19" x14ac:dyDescent="0.3">
      <c r="A753" s="9" t="s">
        <v>1623</v>
      </c>
      <c r="B753" s="9" t="s">
        <v>538</v>
      </c>
      <c r="C753" s="9" t="s">
        <v>196</v>
      </c>
      <c r="D753" s="52">
        <v>46142</v>
      </c>
      <c r="E753" s="48">
        <v>0.57361111111111118</v>
      </c>
      <c r="F753" s="48">
        <v>0.57777777777777783</v>
      </c>
      <c r="G753" s="43">
        <f>(F753-E753)*1440</f>
        <v>5.9999999999999787</v>
      </c>
      <c r="H753" s="9" t="s">
        <v>604</v>
      </c>
      <c r="I753" s="9" t="s">
        <v>1767</v>
      </c>
      <c r="J753" s="44">
        <v>2.85</v>
      </c>
      <c r="K753" s="60">
        <v>4.97</v>
      </c>
      <c r="L753" s="56">
        <v>3.67</v>
      </c>
      <c r="M753" s="14">
        <f>K753-L753</f>
        <v>1.2999999999999998</v>
      </c>
      <c r="N753" s="15">
        <f>IFERROR(M753/K753,0)</f>
        <v>0.26156941649899396</v>
      </c>
      <c r="O753" s="14">
        <f>IFERROR(L753/J753,0)</f>
        <v>1.287719298245614</v>
      </c>
      <c r="P753" s="14">
        <f>IFERROR(L753/G753,0)</f>
        <v>0.6116666666666688</v>
      </c>
    </row>
    <row r="754" spans="1:19" x14ac:dyDescent="0.3">
      <c r="A754" s="9" t="s">
        <v>1636</v>
      </c>
      <c r="B754" s="9" t="s">
        <v>26</v>
      </c>
      <c r="C754" s="9" t="s">
        <v>26</v>
      </c>
      <c r="D754" s="52">
        <v>46142</v>
      </c>
      <c r="E754" s="48">
        <v>0.73055555555555562</v>
      </c>
      <c r="F754" s="48">
        <v>0.74513888888888891</v>
      </c>
      <c r="G754" s="43">
        <f>(F754-E754)*1440</f>
        <v>20.999999999999925</v>
      </c>
      <c r="H754" s="9" t="s">
        <v>1998</v>
      </c>
      <c r="I754" s="9" t="s">
        <v>1999</v>
      </c>
      <c r="J754" s="44">
        <v>7.6</v>
      </c>
      <c r="K754" s="60">
        <v>7.94</v>
      </c>
      <c r="L754" s="56">
        <v>9.92</v>
      </c>
      <c r="M754" s="14">
        <f>K754-L754</f>
        <v>-1.9799999999999995</v>
      </c>
      <c r="N754" s="15">
        <f>IFERROR(M754/K754,0)</f>
        <v>-0.24937027707808557</v>
      </c>
      <c r="O754" s="14">
        <f>IFERROR(L754/J754,0)</f>
        <v>1.3052631578947369</v>
      </c>
      <c r="P754" s="14">
        <f>IFERROR(L754/G754,0)</f>
        <v>0.47238095238095407</v>
      </c>
      <c r="R754" s="57">
        <v>4.99</v>
      </c>
    </row>
    <row r="755" spans="1:19" x14ac:dyDescent="0.3">
      <c r="A755" s="9" t="s">
        <v>1627</v>
      </c>
      <c r="B755" s="9" t="s">
        <v>18</v>
      </c>
      <c r="C755" s="9" t="s">
        <v>196</v>
      </c>
      <c r="D755" s="52">
        <v>46142</v>
      </c>
      <c r="E755" s="48">
        <v>0.61527777777777781</v>
      </c>
      <c r="F755" s="48">
        <v>0.62222222222222223</v>
      </c>
      <c r="G755" s="43">
        <f>(F755-E755)*1440</f>
        <v>9.9999999999999645</v>
      </c>
      <c r="H755" s="9" t="s">
        <v>1986</v>
      </c>
      <c r="I755" s="9" t="s">
        <v>1987</v>
      </c>
      <c r="J755" s="44">
        <v>2.74</v>
      </c>
      <c r="K755" s="60">
        <v>4.9800000000000004</v>
      </c>
      <c r="L755" s="56">
        <v>3.81</v>
      </c>
      <c r="M755" s="14">
        <f>K755-L755</f>
        <v>1.1700000000000004</v>
      </c>
      <c r="N755" s="15">
        <f>IFERROR(M755/K755,0)</f>
        <v>0.23493975903614464</v>
      </c>
      <c r="O755" s="14">
        <f>IFERROR(L755/J755,0)</f>
        <v>1.3905109489051093</v>
      </c>
      <c r="P755" s="14">
        <f>IFERROR(L755/G755,0)</f>
        <v>0.38100000000000134</v>
      </c>
      <c r="S755" s="61">
        <v>1</v>
      </c>
    </row>
    <row r="756" spans="1:19" x14ac:dyDescent="0.3">
      <c r="A756" s="9" t="s">
        <v>1626</v>
      </c>
      <c r="B756" s="9" t="s">
        <v>18</v>
      </c>
      <c r="C756" s="9" t="s">
        <v>196</v>
      </c>
      <c r="D756" s="52">
        <v>46142</v>
      </c>
      <c r="E756" s="48">
        <v>0.6020833333333333</v>
      </c>
      <c r="F756" s="48">
        <v>0.61111111111111105</v>
      </c>
      <c r="G756" s="43">
        <f>(F756-E756)*1440</f>
        <v>12.999999999999954</v>
      </c>
      <c r="H756" s="9" t="s">
        <v>1117</v>
      </c>
      <c r="I756" s="9" t="s">
        <v>1986</v>
      </c>
      <c r="J756" s="44">
        <v>2.58</v>
      </c>
      <c r="K756" s="60">
        <v>4.97</v>
      </c>
      <c r="L756" s="56">
        <v>3.67</v>
      </c>
      <c r="M756" s="14">
        <f>K756-L756</f>
        <v>1.2999999999999998</v>
      </c>
      <c r="N756" s="15">
        <f>IFERROR(M756/K756,0)</f>
        <v>0.26156941649899396</v>
      </c>
      <c r="O756" s="14">
        <f>IFERROR(L756/J756,0)</f>
        <v>1.4224806201550386</v>
      </c>
      <c r="P756" s="14">
        <f>IFERROR(L756/G756,0)</f>
        <v>0.28230769230769331</v>
      </c>
    </row>
    <row r="757" spans="1:19" x14ac:dyDescent="0.3">
      <c r="A757" s="9" t="s">
        <v>1629</v>
      </c>
      <c r="B757" s="9" t="s">
        <v>18</v>
      </c>
      <c r="C757" s="9" t="s">
        <v>184</v>
      </c>
      <c r="D757" s="52">
        <v>46142</v>
      </c>
      <c r="E757" s="48">
        <v>0.75347222222222221</v>
      </c>
      <c r="F757" s="48">
        <v>0.77361111111111114</v>
      </c>
      <c r="G757" s="43">
        <f>(F757-E757)*1440</f>
        <v>29.000000000000057</v>
      </c>
      <c r="H757" s="9" t="s">
        <v>827</v>
      </c>
      <c r="I757" s="9" t="s">
        <v>584</v>
      </c>
      <c r="J757" s="44">
        <v>7.29</v>
      </c>
      <c r="K757" s="60">
        <v>15.95</v>
      </c>
      <c r="L757" s="56">
        <v>14.77</v>
      </c>
      <c r="M757" s="14">
        <f>K757-L757</f>
        <v>1.1799999999999997</v>
      </c>
      <c r="N757" s="15">
        <f>IFERROR(M757/K757,0)</f>
        <v>7.3981191222570519E-2</v>
      </c>
      <c r="O757" s="14">
        <f>IFERROR(L757/J757,0)</f>
        <v>2.0260631001371743</v>
      </c>
      <c r="P757" s="14">
        <f>IFERROR(L757/G757,0)</f>
        <v>0.50931034482758519</v>
      </c>
    </row>
    <row r="758" spans="1:19" x14ac:dyDescent="0.3">
      <c r="A758" s="9" t="s">
        <v>1639</v>
      </c>
      <c r="B758" s="9" t="s">
        <v>26</v>
      </c>
      <c r="C758" s="9" t="s">
        <v>27</v>
      </c>
      <c r="D758" s="52">
        <v>46143</v>
      </c>
      <c r="E758" s="48">
        <v>0.58819444444444446</v>
      </c>
      <c r="F758" s="48">
        <v>0.60277777777777775</v>
      </c>
      <c r="G758" s="43">
        <f>(F758-E758)*1440</f>
        <v>20.999999999999925</v>
      </c>
      <c r="H758" s="9" t="s">
        <v>2002</v>
      </c>
      <c r="I758" s="9" t="s">
        <v>219</v>
      </c>
      <c r="J758" s="44">
        <v>16.2</v>
      </c>
      <c r="K758" s="60">
        <v>7.91</v>
      </c>
      <c r="L758" s="56">
        <v>6.52</v>
      </c>
      <c r="M758" s="14">
        <f>K758-L758</f>
        <v>1.3900000000000006</v>
      </c>
      <c r="N758" s="15">
        <f>IFERROR(M758/K758,0)</f>
        <v>0.17572692793931738</v>
      </c>
      <c r="O758" s="14">
        <f>IFERROR(L758/J758,0)</f>
        <v>0.40246913580246912</v>
      </c>
      <c r="P758" s="14">
        <f>IFERROR(L758/G758,0)</f>
        <v>0.31047619047619157</v>
      </c>
    </row>
    <row r="759" spans="1:19" x14ac:dyDescent="0.3">
      <c r="A759" s="9" t="s">
        <v>1638</v>
      </c>
      <c r="B759" s="9" t="s">
        <v>26</v>
      </c>
      <c r="C759" s="9" t="s">
        <v>27</v>
      </c>
      <c r="D759" s="52">
        <v>46143</v>
      </c>
      <c r="E759" s="48">
        <v>0.55763888888888891</v>
      </c>
      <c r="F759" s="48">
        <v>0.57361111111111118</v>
      </c>
      <c r="G759" s="43">
        <f>(F759-E759)*1440</f>
        <v>23.000000000000078</v>
      </c>
      <c r="H759" s="9" t="s">
        <v>2001</v>
      </c>
      <c r="I759" s="9" t="s">
        <v>531</v>
      </c>
      <c r="J759" s="44">
        <v>18.3</v>
      </c>
      <c r="K759" s="60">
        <v>9.8699999999999992</v>
      </c>
      <c r="L759" s="56">
        <v>7.4</v>
      </c>
      <c r="M759" s="14">
        <f>K759-L759</f>
        <v>2.4699999999999989</v>
      </c>
      <c r="N759" s="15">
        <f>IFERROR(M759/K759,0)</f>
        <v>0.25025329280648417</v>
      </c>
      <c r="O759" s="14">
        <f>IFERROR(L759/J759,0)</f>
        <v>0.40437158469945356</v>
      </c>
      <c r="P759" s="14">
        <f>IFERROR(L759/G759,0)</f>
        <v>0.32173913043478153</v>
      </c>
    </row>
    <row r="760" spans="1:19" x14ac:dyDescent="0.3">
      <c r="A760" s="9" t="s">
        <v>1651</v>
      </c>
      <c r="B760" s="9" t="s">
        <v>18</v>
      </c>
      <c r="C760" s="9" t="s">
        <v>184</v>
      </c>
      <c r="D760" s="52">
        <v>46143</v>
      </c>
      <c r="E760" s="48">
        <v>0.70763888888888893</v>
      </c>
      <c r="F760" s="48">
        <v>0.72013888888888899</v>
      </c>
      <c r="G760" s="43">
        <f>(F760-E760)*1440</f>
        <v>18.000000000000096</v>
      </c>
      <c r="H760" s="9" t="s">
        <v>2016</v>
      </c>
      <c r="I760" s="9" t="s">
        <v>2017</v>
      </c>
      <c r="J760" s="44">
        <v>10.71</v>
      </c>
      <c r="K760" s="60">
        <v>6.95</v>
      </c>
      <c r="L760" s="56">
        <v>4.79</v>
      </c>
      <c r="M760" s="14">
        <f>K760-L760</f>
        <v>2.16</v>
      </c>
      <c r="N760" s="15">
        <f>IFERROR(M760/K760,0)</f>
        <v>0.31079136690647485</v>
      </c>
      <c r="O760" s="14">
        <f>IFERROR(L760/J760,0)</f>
        <v>0.44724556489262368</v>
      </c>
      <c r="P760" s="14">
        <f>IFERROR(L760/G760,0)</f>
        <v>0.26611111111110969</v>
      </c>
    </row>
    <row r="761" spans="1:19" x14ac:dyDescent="0.3">
      <c r="A761" s="9" t="s">
        <v>1646</v>
      </c>
      <c r="B761" s="9" t="s">
        <v>26</v>
      </c>
      <c r="C761" s="9" t="s">
        <v>27</v>
      </c>
      <c r="D761" s="52">
        <v>46143</v>
      </c>
      <c r="E761" s="48">
        <v>0.85486111111111107</v>
      </c>
      <c r="F761" s="48">
        <v>0.86805555555555547</v>
      </c>
      <c r="G761" s="43">
        <f>(F761-E761)*1440</f>
        <v>18.999999999999932</v>
      </c>
      <c r="H761" s="9" t="s">
        <v>2011</v>
      </c>
      <c r="I761" s="9" t="s">
        <v>2012</v>
      </c>
      <c r="J761" s="44">
        <v>20</v>
      </c>
      <c r="K761" s="60">
        <v>12.07</v>
      </c>
      <c r="L761" s="56">
        <v>9.0500000000000007</v>
      </c>
      <c r="M761" s="14">
        <f>K761-L761</f>
        <v>3.0199999999999996</v>
      </c>
      <c r="N761" s="15">
        <f>IFERROR(M761/K761,0)</f>
        <v>0.25020712510356252</v>
      </c>
      <c r="O761" s="14">
        <f>IFERROR(L761/J761,0)</f>
        <v>0.45250000000000001</v>
      </c>
      <c r="P761" s="14">
        <f>IFERROR(L761/G761,0)</f>
        <v>0.47631578947368591</v>
      </c>
    </row>
    <row r="762" spans="1:19" x14ac:dyDescent="0.3">
      <c r="A762" s="9" t="s">
        <v>1649</v>
      </c>
      <c r="B762" s="9" t="s">
        <v>18</v>
      </c>
      <c r="C762" s="9" t="s">
        <v>184</v>
      </c>
      <c r="D762" s="52">
        <v>46143</v>
      </c>
      <c r="E762" s="48">
        <v>0.66736111111111107</v>
      </c>
      <c r="F762" s="48">
        <v>0.6875</v>
      </c>
      <c r="G762" s="43">
        <f>(F762-E762)*1440</f>
        <v>29.000000000000057</v>
      </c>
      <c r="H762" s="9" t="s">
        <v>2948</v>
      </c>
      <c r="I762" s="9" t="s">
        <v>2014</v>
      </c>
      <c r="J762" s="44">
        <v>28.33</v>
      </c>
      <c r="K762" s="60">
        <v>23.94</v>
      </c>
      <c r="L762" s="56">
        <v>14.52</v>
      </c>
      <c r="M762" s="14">
        <f>K762-L762</f>
        <v>9.4200000000000017</v>
      </c>
      <c r="N762" s="15">
        <f>IFERROR(M762/K762,0)</f>
        <v>0.39348370927318299</v>
      </c>
      <c r="O762" s="14">
        <f>IFERROR(L762/J762,0)</f>
        <v>0.51253088598658669</v>
      </c>
      <c r="P762" s="14">
        <f>IFERROR(L762/G762,0)</f>
        <v>0.50068965517241282</v>
      </c>
      <c r="Q762" s="64">
        <v>1</v>
      </c>
    </row>
    <row r="763" spans="1:19" x14ac:dyDescent="0.3">
      <c r="A763" s="9" t="s">
        <v>1641</v>
      </c>
      <c r="B763" s="9" t="s">
        <v>26</v>
      </c>
      <c r="C763" s="9" t="s">
        <v>27</v>
      </c>
      <c r="D763" s="52">
        <v>46143</v>
      </c>
      <c r="E763" s="48">
        <v>0.62777777777777777</v>
      </c>
      <c r="F763" s="48">
        <v>0.64444444444444449</v>
      </c>
      <c r="G763" s="43">
        <f>(F763-E763)*1440</f>
        <v>24.000000000000075</v>
      </c>
      <c r="H763" s="9" t="s">
        <v>214</v>
      </c>
      <c r="I763" s="9" t="s">
        <v>2004</v>
      </c>
      <c r="J763" s="44">
        <v>16.100000000000001</v>
      </c>
      <c r="K763" s="60">
        <v>11.23</v>
      </c>
      <c r="L763" s="56">
        <v>8.52</v>
      </c>
      <c r="M763" s="14">
        <f>K763-L763</f>
        <v>2.7100000000000009</v>
      </c>
      <c r="N763" s="15">
        <f>IFERROR(M763/K763,0)</f>
        <v>0.24131789848619775</v>
      </c>
      <c r="O763" s="14">
        <f>IFERROR(L763/J763,0)</f>
        <v>0.52919254658385084</v>
      </c>
      <c r="P763" s="14">
        <f>IFERROR(L763/G763,0)</f>
        <v>0.35499999999999887</v>
      </c>
      <c r="Q763" s="64">
        <v>0.4</v>
      </c>
    </row>
    <row r="764" spans="1:19" x14ac:dyDescent="0.3">
      <c r="A764" s="9" t="s">
        <v>1642</v>
      </c>
      <c r="B764" s="9" t="s">
        <v>26</v>
      </c>
      <c r="C764" s="9" t="s">
        <v>27</v>
      </c>
      <c r="D764" s="52">
        <v>46143</v>
      </c>
      <c r="E764" s="48">
        <v>0.65763888888888888</v>
      </c>
      <c r="F764" s="48">
        <v>0.66736111111111107</v>
      </c>
      <c r="G764" s="43">
        <f>(F764-E764)*1440</f>
        <v>13.99999999999995</v>
      </c>
      <c r="H764" s="9" t="s">
        <v>2005</v>
      </c>
      <c r="I764" s="9" t="s">
        <v>2006</v>
      </c>
      <c r="J764" s="44">
        <v>14.7</v>
      </c>
      <c r="K764" s="60">
        <v>10.43</v>
      </c>
      <c r="L764" s="56">
        <v>8.2200000000000006</v>
      </c>
      <c r="M764" s="14">
        <f>K764-L764</f>
        <v>2.2099999999999991</v>
      </c>
      <c r="N764" s="15">
        <f>IFERROR(M764/K764,0)</f>
        <v>0.21188878235858094</v>
      </c>
      <c r="O764" s="14">
        <f>IFERROR(L764/J764,0)</f>
        <v>0.5591836734693878</v>
      </c>
      <c r="P764" s="14">
        <f>IFERROR(L764/G764,0)</f>
        <v>0.5871428571428593</v>
      </c>
    </row>
    <row r="765" spans="1:19" x14ac:dyDescent="0.3">
      <c r="A765" s="9" t="s">
        <v>1645</v>
      </c>
      <c r="B765" s="9" t="s">
        <v>26</v>
      </c>
      <c r="C765" s="9" t="s">
        <v>27</v>
      </c>
      <c r="D765" s="52">
        <v>46143</v>
      </c>
      <c r="E765" s="48">
        <v>0.83124999999999993</v>
      </c>
      <c r="F765" s="48">
        <v>0.84236111111111101</v>
      </c>
      <c r="G765" s="43">
        <f>(F765-E765)*1440</f>
        <v>15.999999999999943</v>
      </c>
      <c r="H765" s="9" t="s">
        <v>2010</v>
      </c>
      <c r="I765" s="9" t="s">
        <v>1871</v>
      </c>
      <c r="J765" s="44">
        <v>8.1999999999999993</v>
      </c>
      <c r="K765" s="60">
        <v>6.29</v>
      </c>
      <c r="L765" s="56">
        <v>4.72</v>
      </c>
      <c r="M765" s="14">
        <f>K765-L765</f>
        <v>1.5700000000000003</v>
      </c>
      <c r="N765" s="15">
        <f>IFERROR(M765/K765,0)</f>
        <v>0.24960254372019083</v>
      </c>
      <c r="O765" s="14">
        <f>IFERROR(L765/J765,0)</f>
        <v>0.57560975609756104</v>
      </c>
      <c r="P765" s="14">
        <f>IFERROR(L765/G765,0)</f>
        <v>0.29500000000000104</v>
      </c>
    </row>
    <row r="766" spans="1:19" x14ac:dyDescent="0.3">
      <c r="A766" s="9" t="s">
        <v>1648</v>
      </c>
      <c r="B766" s="9" t="s">
        <v>18</v>
      </c>
      <c r="C766" s="9" t="s">
        <v>196</v>
      </c>
      <c r="D766" s="52">
        <v>46143</v>
      </c>
      <c r="E766" s="48">
        <v>0.61249999999999993</v>
      </c>
      <c r="F766" s="48">
        <v>0.62291666666666667</v>
      </c>
      <c r="G766" s="43">
        <f>(F766-E766)*1440</f>
        <v>15.000000000000107</v>
      </c>
      <c r="H766" s="9" t="s">
        <v>233</v>
      </c>
      <c r="I766" s="9" t="s">
        <v>234</v>
      </c>
      <c r="J766" s="44">
        <v>10.1</v>
      </c>
      <c r="K766" s="60">
        <v>8.9700000000000006</v>
      </c>
      <c r="L766" s="56">
        <v>5.83</v>
      </c>
      <c r="M766" s="14">
        <f>K766-L766</f>
        <v>3.1400000000000006</v>
      </c>
      <c r="N766" s="15">
        <f>IFERROR(M766/K766,0)</f>
        <v>0.35005574136008921</v>
      </c>
      <c r="O766" s="14">
        <f>IFERROR(L766/J766,0)</f>
        <v>0.5772277227722773</v>
      </c>
      <c r="P766" s="14">
        <f>IFERROR(L766/G766,0)</f>
        <v>0.38866666666666388</v>
      </c>
    </row>
    <row r="767" spans="1:19" x14ac:dyDescent="0.3">
      <c r="A767" s="9" t="s">
        <v>1653</v>
      </c>
      <c r="B767" s="9" t="s">
        <v>18</v>
      </c>
      <c r="C767" s="9" t="s">
        <v>184</v>
      </c>
      <c r="D767" s="52">
        <v>46143</v>
      </c>
      <c r="E767" s="48">
        <v>0.81527777777777777</v>
      </c>
      <c r="F767" s="48">
        <v>0.82430555555555562</v>
      </c>
      <c r="G767" s="43">
        <f>(F767-E767)*1440</f>
        <v>13.000000000000114</v>
      </c>
      <c r="H767" s="9" t="s">
        <v>2019</v>
      </c>
      <c r="I767" s="9" t="s">
        <v>2020</v>
      </c>
      <c r="J767" s="44">
        <v>5.94</v>
      </c>
      <c r="K767" s="60">
        <v>5.94</v>
      </c>
      <c r="L767" s="56">
        <v>3.86</v>
      </c>
      <c r="M767" s="14">
        <f>K767-L767</f>
        <v>2.0800000000000005</v>
      </c>
      <c r="N767" s="15">
        <f>IFERROR(M767/K767,0)</f>
        <v>0.35016835016835024</v>
      </c>
      <c r="O767" s="14">
        <f>IFERROR(L767/J767,0)</f>
        <v>0.64983164983164976</v>
      </c>
      <c r="P767" s="14">
        <f>IFERROR(L767/G767,0)</f>
        <v>0.29692307692307429</v>
      </c>
    </row>
    <row r="768" spans="1:19" x14ac:dyDescent="0.3">
      <c r="A768" s="9" t="s">
        <v>1644</v>
      </c>
      <c r="B768" s="9" t="s">
        <v>26</v>
      </c>
      <c r="C768" s="9" t="s">
        <v>27</v>
      </c>
      <c r="D768" s="52">
        <v>46143</v>
      </c>
      <c r="E768" s="48">
        <v>0.73958333333333337</v>
      </c>
      <c r="F768" s="48">
        <v>0.75138888888888899</v>
      </c>
      <c r="G768" s="43">
        <f>(F768-E768)*1440</f>
        <v>17.000000000000099</v>
      </c>
      <c r="H768" s="9" t="s">
        <v>2009</v>
      </c>
      <c r="I768" s="9" t="s">
        <v>1749</v>
      </c>
      <c r="J768" s="44">
        <v>8.3000000000000007</v>
      </c>
      <c r="K768" s="60">
        <v>7.23</v>
      </c>
      <c r="L768" s="56">
        <v>5.42</v>
      </c>
      <c r="M768" s="14">
        <f>K768-L768</f>
        <v>1.8100000000000005</v>
      </c>
      <c r="N768" s="15">
        <f>IFERROR(M768/K768,0)</f>
        <v>0.25034578146611347</v>
      </c>
      <c r="O768" s="14">
        <f>IFERROR(L768/J768,0)</f>
        <v>0.65301204819277103</v>
      </c>
      <c r="P768" s="14">
        <f>IFERROR(L768/G768,0)</f>
        <v>0.31882352941176284</v>
      </c>
    </row>
    <row r="769" spans="1:19" x14ac:dyDescent="0.3">
      <c r="A769" s="9" t="s">
        <v>1640</v>
      </c>
      <c r="B769" s="9" t="s">
        <v>26</v>
      </c>
      <c r="C769" s="9" t="s">
        <v>27</v>
      </c>
      <c r="D769" s="52">
        <v>46143</v>
      </c>
      <c r="E769" s="48">
        <v>0.60416666666666663</v>
      </c>
      <c r="F769" s="48">
        <v>0.6118055555555556</v>
      </c>
      <c r="G769" s="43">
        <f>(F769-E769)*1440</f>
        <v>11.000000000000121</v>
      </c>
      <c r="H769" s="9" t="s">
        <v>1776</v>
      </c>
      <c r="I769" s="9" t="s">
        <v>2003</v>
      </c>
      <c r="J769" s="44">
        <v>6.5</v>
      </c>
      <c r="K769" s="60">
        <v>6.18</v>
      </c>
      <c r="L769" s="56">
        <v>4.63</v>
      </c>
      <c r="M769" s="14">
        <f>K769-L769</f>
        <v>1.5499999999999998</v>
      </c>
      <c r="N769" s="15">
        <f>IFERROR(M769/K769,0)</f>
        <v>0.2508090614886731</v>
      </c>
      <c r="O769" s="14">
        <f>IFERROR(L769/J769,0)</f>
        <v>0.71230769230769231</v>
      </c>
      <c r="P769" s="14">
        <f>IFERROR(L769/G769,0)</f>
        <v>0.42090909090908629</v>
      </c>
    </row>
    <row r="770" spans="1:19" x14ac:dyDescent="0.3">
      <c r="A770" s="9" t="s">
        <v>1650</v>
      </c>
      <c r="B770" s="9" t="s">
        <v>538</v>
      </c>
      <c r="C770" s="9" t="s">
        <v>184</v>
      </c>
      <c r="D770" s="52">
        <v>46143</v>
      </c>
      <c r="E770" s="48">
        <v>0.69305555555555554</v>
      </c>
      <c r="F770" s="48">
        <v>0.70624999999999993</v>
      </c>
      <c r="G770" s="43">
        <f>(F770-E770)*1440</f>
        <v>18.999999999999932</v>
      </c>
      <c r="H770" s="9" t="s">
        <v>1340</v>
      </c>
      <c r="I770" s="9" t="s">
        <v>2015</v>
      </c>
      <c r="J770" s="44">
        <v>10.029999999999999</v>
      </c>
      <c r="K770" s="60">
        <v>8.9499999999999993</v>
      </c>
      <c r="L770" s="56">
        <v>7.2</v>
      </c>
      <c r="M770" s="14">
        <f>K770-L770</f>
        <v>1.7499999999999991</v>
      </c>
      <c r="N770" s="15">
        <f>IFERROR(M770/K770,0)</f>
        <v>0.19553072625698315</v>
      </c>
      <c r="O770" s="14">
        <f>IFERROR(L770/J770,0)</f>
        <v>0.71784646061814561</v>
      </c>
      <c r="P770" s="14">
        <f>IFERROR(L770/G770,0)</f>
        <v>0.37894736842105398</v>
      </c>
      <c r="S770" s="61">
        <v>1</v>
      </c>
    </row>
    <row r="771" spans="1:19" x14ac:dyDescent="0.3">
      <c r="A771" s="9" t="s">
        <v>1652</v>
      </c>
      <c r="B771" s="9" t="s">
        <v>18</v>
      </c>
      <c r="C771" s="9" t="s">
        <v>184</v>
      </c>
      <c r="D771" s="52">
        <v>46143</v>
      </c>
      <c r="E771" s="48">
        <v>0.75</v>
      </c>
      <c r="F771" s="48">
        <v>0.76736111111111116</v>
      </c>
      <c r="G771" s="43">
        <f>(F771-E771)*1440</f>
        <v>25.000000000000071</v>
      </c>
      <c r="H771" s="9" t="s">
        <v>2018</v>
      </c>
      <c r="I771" s="9" t="s">
        <v>1728</v>
      </c>
      <c r="J771" s="44">
        <v>9.77</v>
      </c>
      <c r="K771" s="60">
        <v>9.9499999999999993</v>
      </c>
      <c r="L771" s="56">
        <v>7.25</v>
      </c>
      <c r="M771" s="14">
        <f>K771-L771</f>
        <v>2.6999999999999993</v>
      </c>
      <c r="N771" s="15">
        <f>IFERROR(M771/K771,0)</f>
        <v>0.27135678391959794</v>
      </c>
      <c r="O771" s="14">
        <f>IFERROR(L771/J771,0)</f>
        <v>0.74206755373592637</v>
      </c>
      <c r="P771" s="14">
        <f>IFERROR(L771/G771,0)</f>
        <v>0.2899999999999992</v>
      </c>
    </row>
    <row r="772" spans="1:19" x14ac:dyDescent="0.3">
      <c r="A772" s="9" t="s">
        <v>1643</v>
      </c>
      <c r="B772" s="9" t="s">
        <v>26</v>
      </c>
      <c r="C772" s="9" t="s">
        <v>26</v>
      </c>
      <c r="D772" s="52">
        <v>46143</v>
      </c>
      <c r="E772" s="48">
        <v>0.73055555555555562</v>
      </c>
      <c r="F772" s="48">
        <v>0.73749999999999993</v>
      </c>
      <c r="G772" s="43">
        <f>(F772-E772)*1440</f>
        <v>9.9999999999998046</v>
      </c>
      <c r="H772" s="9" t="s">
        <v>2007</v>
      </c>
      <c r="I772" s="9" t="s">
        <v>2008</v>
      </c>
      <c r="J772" s="44">
        <v>5.0999999999999996</v>
      </c>
      <c r="K772" s="60">
        <v>5.44</v>
      </c>
      <c r="L772" s="56">
        <v>4.08</v>
      </c>
      <c r="M772" s="14">
        <f>K772-L772</f>
        <v>1.3600000000000003</v>
      </c>
      <c r="N772" s="15">
        <f>IFERROR(M772/K772,0)</f>
        <v>0.25000000000000006</v>
      </c>
      <c r="O772" s="14">
        <f>IFERROR(L772/J772,0)</f>
        <v>0.8</v>
      </c>
      <c r="P772" s="14">
        <f>IFERROR(L772/G772,0)</f>
        <v>0.40800000000000797</v>
      </c>
    </row>
    <row r="773" spans="1:19" x14ac:dyDescent="0.3">
      <c r="A773" s="9" t="s">
        <v>1647</v>
      </c>
      <c r="B773" s="9" t="s">
        <v>18</v>
      </c>
      <c r="C773" s="9" t="s">
        <v>196</v>
      </c>
      <c r="D773" s="52">
        <v>46143</v>
      </c>
      <c r="E773" s="48">
        <v>0.57291666666666663</v>
      </c>
      <c r="F773" s="48">
        <v>0.57708333333333328</v>
      </c>
      <c r="G773" s="43">
        <f>(F773-E773)*1440</f>
        <v>5.9999999999999787</v>
      </c>
      <c r="H773" s="9" t="s">
        <v>2013</v>
      </c>
      <c r="I773" s="9" t="s">
        <v>796</v>
      </c>
      <c r="J773" s="44">
        <v>3.39</v>
      </c>
      <c r="K773" s="60">
        <v>5.98</v>
      </c>
      <c r="L773" s="56">
        <v>4.12</v>
      </c>
      <c r="M773" s="14">
        <f>K773-L773</f>
        <v>1.8600000000000003</v>
      </c>
      <c r="N773" s="15">
        <f>IFERROR(M773/K773,0)</f>
        <v>0.31103678929765888</v>
      </c>
      <c r="O773" s="14">
        <f>IFERROR(L773/J773,0)</f>
        <v>1.2153392330383481</v>
      </c>
      <c r="P773" s="14">
        <f>IFERROR(L773/G773,0)</f>
        <v>0.68666666666666909</v>
      </c>
    </row>
    <row r="774" spans="1:19" x14ac:dyDescent="0.3">
      <c r="A774" s="9" t="s">
        <v>1657</v>
      </c>
      <c r="B774" s="9" t="s">
        <v>18</v>
      </c>
      <c r="C774" s="9" t="s">
        <v>184</v>
      </c>
      <c r="D774" s="52">
        <v>46145</v>
      </c>
      <c r="E774" s="48">
        <v>0.74236111111111114</v>
      </c>
      <c r="F774" s="48">
        <v>0.75763888888888886</v>
      </c>
      <c r="G774" s="43">
        <f>(F774-E774)*1440</f>
        <v>21.999999999999922</v>
      </c>
      <c r="H774" s="9" t="s">
        <v>1840</v>
      </c>
      <c r="I774" s="9" t="s">
        <v>1120</v>
      </c>
      <c r="J774" s="44">
        <v>12.53</v>
      </c>
      <c r="K774" s="60">
        <v>9.94</v>
      </c>
      <c r="L774" s="56">
        <v>8.0500000000000007</v>
      </c>
      <c r="M774" s="14">
        <f>K774-L774</f>
        <v>1.8899999999999988</v>
      </c>
      <c r="N774" s="15">
        <f>IFERROR(M774/K774,0)</f>
        <v>0.19014084507042242</v>
      </c>
      <c r="O774" s="14">
        <f>IFERROR(L774/J774,0)</f>
        <v>0.64245810055865926</v>
      </c>
      <c r="P774" s="14">
        <f>IFERROR(L774/G774,0)</f>
        <v>0.36590909090909224</v>
      </c>
    </row>
    <row r="775" spans="1:19" x14ac:dyDescent="0.3">
      <c r="A775" s="9" t="s">
        <v>1662</v>
      </c>
      <c r="B775" s="9" t="s">
        <v>26</v>
      </c>
      <c r="C775" s="9" t="s">
        <v>26</v>
      </c>
      <c r="D775" s="52">
        <v>46145</v>
      </c>
      <c r="E775" s="48">
        <v>0.87638888888888899</v>
      </c>
      <c r="F775" s="48">
        <v>0.88750000000000007</v>
      </c>
      <c r="G775" s="43">
        <f>(F775-E775)*1440</f>
        <v>15.999999999999943</v>
      </c>
      <c r="H775" s="9" t="s">
        <v>1908</v>
      </c>
      <c r="I775" s="9" t="s">
        <v>2028</v>
      </c>
      <c r="J775" s="44">
        <v>17.3</v>
      </c>
      <c r="K775" s="60">
        <v>12.3</v>
      </c>
      <c r="L775" s="56">
        <v>11.53</v>
      </c>
      <c r="M775" s="14">
        <f>K775-L775</f>
        <v>0.77000000000000135</v>
      </c>
      <c r="N775" s="15">
        <f>IFERROR(M775/K775,0)</f>
        <v>6.2601626016260264E-2</v>
      </c>
      <c r="O775" s="14">
        <f>IFERROR(L775/J775,0)</f>
        <v>0.66647398843930628</v>
      </c>
      <c r="P775" s="14">
        <f>IFERROR(L775/G775,0)</f>
        <v>0.72062500000000251</v>
      </c>
      <c r="R775" s="57">
        <v>4.5</v>
      </c>
    </row>
    <row r="776" spans="1:19" x14ac:dyDescent="0.3">
      <c r="A776" s="9" t="s">
        <v>1659</v>
      </c>
      <c r="B776" s="9" t="s">
        <v>26</v>
      </c>
      <c r="C776" s="9" t="s">
        <v>27</v>
      </c>
      <c r="D776" s="52">
        <v>46145</v>
      </c>
      <c r="E776" s="48">
        <v>0.46527777777777773</v>
      </c>
      <c r="F776" s="48">
        <v>0.48125000000000001</v>
      </c>
      <c r="G776" s="43">
        <f>(F776-E776)*1440</f>
        <v>23.000000000000078</v>
      </c>
      <c r="H776" s="9" t="s">
        <v>2025</v>
      </c>
      <c r="I776" s="9" t="s">
        <v>531</v>
      </c>
      <c r="J776" s="44">
        <v>11.1</v>
      </c>
      <c r="K776" s="60">
        <v>11.87</v>
      </c>
      <c r="L776" s="56">
        <v>8.9</v>
      </c>
      <c r="M776" s="14">
        <f>K776-L776</f>
        <v>2.9699999999999989</v>
      </c>
      <c r="N776" s="15">
        <f>IFERROR(M776/K776,0)</f>
        <v>0.25021061499578762</v>
      </c>
      <c r="O776" s="14">
        <f>IFERROR(L776/J776,0)</f>
        <v>0.80180180180180183</v>
      </c>
      <c r="P776" s="14">
        <f>IFERROR(L776/G776,0)</f>
        <v>0.38695652173912914</v>
      </c>
    </row>
    <row r="777" spans="1:19" x14ac:dyDescent="0.3">
      <c r="A777" s="9" t="s">
        <v>1658</v>
      </c>
      <c r="B777" s="9" t="s">
        <v>26</v>
      </c>
      <c r="C777" s="9" t="s">
        <v>26</v>
      </c>
      <c r="D777" s="52">
        <v>46145</v>
      </c>
      <c r="E777" s="48">
        <v>0.4458333333333333</v>
      </c>
      <c r="F777" s="48">
        <v>0.46249999999999997</v>
      </c>
      <c r="G777" s="43">
        <f>(F777-E777)*1440</f>
        <v>23.999999999999993</v>
      </c>
      <c r="H777" s="9" t="s">
        <v>1120</v>
      </c>
      <c r="I777" s="9" t="s">
        <v>2024</v>
      </c>
      <c r="J777" s="44">
        <v>8.9</v>
      </c>
      <c r="K777" s="60">
        <v>6.07</v>
      </c>
      <c r="L777" s="56">
        <v>7.33</v>
      </c>
      <c r="M777" s="14">
        <f>K777-L777</f>
        <v>-1.2599999999999998</v>
      </c>
      <c r="N777" s="15">
        <f>IFERROR(M777/K777,0)</f>
        <v>-0.20757825370675448</v>
      </c>
      <c r="O777" s="14">
        <f>IFERROR(L777/J777,0)</f>
        <v>0.82359550561797745</v>
      </c>
      <c r="P777" s="14">
        <f>IFERROR(L777/G777,0)</f>
        <v>0.30541666666666678</v>
      </c>
    </row>
    <row r="778" spans="1:19" x14ac:dyDescent="0.3">
      <c r="A778" s="9" t="s">
        <v>1655</v>
      </c>
      <c r="B778" s="9" t="s">
        <v>18</v>
      </c>
      <c r="C778" s="9" t="s">
        <v>184</v>
      </c>
      <c r="D778" s="52">
        <v>46145</v>
      </c>
      <c r="E778" s="48">
        <v>0.58750000000000002</v>
      </c>
      <c r="F778" s="48">
        <v>0.6</v>
      </c>
      <c r="G778" s="43">
        <f>(F778-E778)*1440</f>
        <v>17.999999999999936</v>
      </c>
      <c r="H778" s="9" t="s">
        <v>2022</v>
      </c>
      <c r="I778" s="9" t="s">
        <v>604</v>
      </c>
      <c r="J778" s="44">
        <v>8.4499999999999993</v>
      </c>
      <c r="K778" s="60">
        <v>10.96</v>
      </c>
      <c r="L778" s="56">
        <v>8.1199999999999992</v>
      </c>
      <c r="M778" s="14">
        <f>K778-L778</f>
        <v>2.8400000000000016</v>
      </c>
      <c r="N778" s="15">
        <f>IFERROR(M778/K778,0)</f>
        <v>0.259124087591241</v>
      </c>
      <c r="O778" s="14">
        <f>IFERROR(L778/J778,0)</f>
        <v>0.96094674556213011</v>
      </c>
      <c r="P778" s="14">
        <f>IFERROR(L778/G778,0)</f>
        <v>0.45111111111111268</v>
      </c>
      <c r="S778" s="61">
        <v>0.5</v>
      </c>
    </row>
    <row r="779" spans="1:19" x14ac:dyDescent="0.3">
      <c r="A779" s="9" t="s">
        <v>1661</v>
      </c>
      <c r="B779" s="9" t="s">
        <v>26</v>
      </c>
      <c r="C779" s="9" t="s">
        <v>26</v>
      </c>
      <c r="D779" s="52">
        <v>46145</v>
      </c>
      <c r="E779" s="48">
        <v>0.66597222222222219</v>
      </c>
      <c r="F779" s="48">
        <v>0.68263888888888891</v>
      </c>
      <c r="G779" s="43">
        <f>(F779-E779)*1440</f>
        <v>24.000000000000075</v>
      </c>
      <c r="H779" s="9" t="s">
        <v>729</v>
      </c>
      <c r="I779" s="9" t="s">
        <v>2027</v>
      </c>
      <c r="J779" s="44">
        <v>10</v>
      </c>
      <c r="K779" s="60">
        <v>11.46</v>
      </c>
      <c r="L779" s="56">
        <v>9.93</v>
      </c>
      <c r="M779" s="14">
        <f>K779-L779</f>
        <v>1.5300000000000011</v>
      </c>
      <c r="N779" s="15">
        <f>IFERROR(M779/K779,0)</f>
        <v>0.13350785340314145</v>
      </c>
      <c r="O779" s="14">
        <f>IFERROR(L779/J779,0)</f>
        <v>0.99299999999999999</v>
      </c>
      <c r="P779" s="14">
        <f>IFERROR(L779/G779,0)</f>
        <v>0.41374999999999867</v>
      </c>
      <c r="R779" s="57">
        <v>1.47</v>
      </c>
      <c r="S779" s="61">
        <v>2.75</v>
      </c>
    </row>
    <row r="780" spans="1:19" x14ac:dyDescent="0.3">
      <c r="A780" s="9" t="s">
        <v>1654</v>
      </c>
      <c r="B780" s="9" t="s">
        <v>18</v>
      </c>
      <c r="C780" s="9" t="s">
        <v>184</v>
      </c>
      <c r="D780" s="52">
        <v>46145</v>
      </c>
      <c r="E780" s="48">
        <v>0.50902777777777775</v>
      </c>
      <c r="F780" s="48">
        <v>0.52083333333333337</v>
      </c>
      <c r="G780" s="43">
        <f>(F780-E780)*1440</f>
        <v>17.000000000000099</v>
      </c>
      <c r="H780" s="9" t="s">
        <v>2021</v>
      </c>
      <c r="I780" s="9" t="s">
        <v>1120</v>
      </c>
      <c r="J780" s="44">
        <v>6.05</v>
      </c>
      <c r="K780" s="60">
        <v>10.96</v>
      </c>
      <c r="L780" s="56">
        <v>7.12</v>
      </c>
      <c r="M780" s="14">
        <f>K780-L780</f>
        <v>3.8400000000000007</v>
      </c>
      <c r="N780" s="15">
        <f>IFERROR(M780/K780,0)</f>
        <v>0.35036496350364965</v>
      </c>
      <c r="O780" s="14">
        <f>IFERROR(L780/J780,0)</f>
        <v>1.1768595041322314</v>
      </c>
      <c r="P780" s="14">
        <f>IFERROR(L780/G780,0)</f>
        <v>0.41882352941176226</v>
      </c>
      <c r="S780" s="61">
        <v>1</v>
      </c>
    </row>
    <row r="781" spans="1:19" x14ac:dyDescent="0.3">
      <c r="A781" s="9" t="s">
        <v>1656</v>
      </c>
      <c r="B781" s="9" t="s">
        <v>18</v>
      </c>
      <c r="C781" s="9" t="s">
        <v>196</v>
      </c>
      <c r="D781" s="52">
        <v>46145</v>
      </c>
      <c r="E781" s="48">
        <v>0.68263888888888891</v>
      </c>
      <c r="F781" s="48">
        <v>0.69861111111111107</v>
      </c>
      <c r="G781" s="43">
        <f>(F781-E781)*1440</f>
        <v>22.999999999999918</v>
      </c>
      <c r="H781" s="9" t="s">
        <v>2023</v>
      </c>
      <c r="I781" s="9" t="s">
        <v>1120</v>
      </c>
      <c r="J781" s="44">
        <v>7.42</v>
      </c>
      <c r="K781" s="60">
        <v>12.98</v>
      </c>
      <c r="L781" s="56">
        <v>8.9499999999999993</v>
      </c>
      <c r="M781" s="14">
        <f>K781-L781</f>
        <v>4.0300000000000011</v>
      </c>
      <c r="N781" s="15">
        <f>IFERROR(M781/K781,0)</f>
        <v>0.31047765793528515</v>
      </c>
      <c r="O781" s="14">
        <f>IFERROR(L781/J781,0)</f>
        <v>1.2061994609164419</v>
      </c>
      <c r="P781" s="14">
        <f>IFERROR(L781/G781,0)</f>
        <v>0.38913043478261006</v>
      </c>
    </row>
    <row r="782" spans="1:19" x14ac:dyDescent="0.3">
      <c r="A782" s="9" t="s">
        <v>1660</v>
      </c>
      <c r="B782" s="9" t="s">
        <v>26</v>
      </c>
      <c r="C782" s="9" t="s">
        <v>27</v>
      </c>
      <c r="D782" s="52">
        <v>46145</v>
      </c>
      <c r="E782" s="48">
        <v>0.65833333333333333</v>
      </c>
      <c r="F782" s="48">
        <v>0.6645833333333333</v>
      </c>
      <c r="G782" s="43">
        <f>(F782-E782)*1440</f>
        <v>8.999999999999968</v>
      </c>
      <c r="H782" s="9" t="s">
        <v>889</v>
      </c>
      <c r="I782" s="9" t="s">
        <v>2026</v>
      </c>
      <c r="J782" s="44">
        <v>3.3</v>
      </c>
      <c r="K782" s="60">
        <v>7.7</v>
      </c>
      <c r="L782" s="56">
        <v>5.77</v>
      </c>
      <c r="M782" s="14">
        <f>K782-L782</f>
        <v>1.9300000000000006</v>
      </c>
      <c r="N782" s="15">
        <f>IFERROR(M782/K782,0)</f>
        <v>0.25064935064935073</v>
      </c>
      <c r="O782" s="14">
        <f>IFERROR(L782/J782,0)</f>
        <v>1.7484848484848485</v>
      </c>
      <c r="P782" s="14">
        <f>IFERROR(L782/G782,0)</f>
        <v>0.6411111111111133</v>
      </c>
    </row>
    <row r="783" spans="1:19" x14ac:dyDescent="0.3">
      <c r="A783" s="9" t="s">
        <v>1670</v>
      </c>
      <c r="B783" s="9" t="s">
        <v>18</v>
      </c>
      <c r="C783" s="9" t="s">
        <v>184</v>
      </c>
      <c r="D783" s="52">
        <v>46146</v>
      </c>
      <c r="E783" s="48">
        <v>0.58611111111111114</v>
      </c>
      <c r="F783" s="48">
        <v>0.6069444444444444</v>
      </c>
      <c r="G783" s="43">
        <f>(F783-E783)*1440</f>
        <v>29.999999999999893</v>
      </c>
      <c r="H783" s="9" t="s">
        <v>2035</v>
      </c>
      <c r="I783" s="9" t="s">
        <v>2036</v>
      </c>
      <c r="J783" s="44">
        <v>18.350000000000001</v>
      </c>
      <c r="K783" s="60">
        <v>12.95</v>
      </c>
      <c r="L783" s="56">
        <v>8.42</v>
      </c>
      <c r="M783" s="14">
        <f>K783-L783</f>
        <v>4.5299999999999994</v>
      </c>
      <c r="N783" s="15">
        <f>IFERROR(M783/K783,0)</f>
        <v>0.34980694980694976</v>
      </c>
      <c r="O783" s="14">
        <f>IFERROR(L783/J783,0)</f>
        <v>0.45885558583106262</v>
      </c>
      <c r="P783" s="14">
        <f>IFERROR(L783/G783,0)</f>
        <v>0.28066666666666767</v>
      </c>
    </row>
    <row r="784" spans="1:19" x14ac:dyDescent="0.3">
      <c r="A784" s="9" t="s">
        <v>1671</v>
      </c>
      <c r="B784" s="9" t="s">
        <v>18</v>
      </c>
      <c r="C784" s="9" t="s">
        <v>184</v>
      </c>
      <c r="D784" s="52">
        <v>46146</v>
      </c>
      <c r="E784" s="48">
        <v>0.6118055555555556</v>
      </c>
      <c r="F784" s="48">
        <v>0.625</v>
      </c>
      <c r="G784" s="43">
        <f>(F784-E784)*1440</f>
        <v>18.999999999999932</v>
      </c>
      <c r="H784" s="9" t="s">
        <v>1920</v>
      </c>
      <c r="I784" s="9" t="s">
        <v>872</v>
      </c>
      <c r="J784" s="44">
        <v>10.76</v>
      </c>
      <c r="K784" s="60">
        <v>6.94</v>
      </c>
      <c r="L784" s="56">
        <v>5.0599999999999996</v>
      </c>
      <c r="M784" s="14">
        <f>K784-L784</f>
        <v>1.8800000000000008</v>
      </c>
      <c r="N784" s="15">
        <f>IFERROR(M784/K784,0)</f>
        <v>0.27089337175792516</v>
      </c>
      <c r="O784" s="14">
        <f>IFERROR(L784/J784,0)</f>
        <v>0.4702602230483271</v>
      </c>
      <c r="P784" s="14">
        <f>IFERROR(L784/G784,0)</f>
        <v>0.26631578947368512</v>
      </c>
    </row>
    <row r="785" spans="1:19" x14ac:dyDescent="0.3">
      <c r="A785" s="9" t="s">
        <v>1663</v>
      </c>
      <c r="B785" s="9" t="s">
        <v>26</v>
      </c>
      <c r="C785" s="9" t="s">
        <v>27</v>
      </c>
      <c r="D785" s="52">
        <v>46146</v>
      </c>
      <c r="E785" s="48">
        <v>0.54305555555555551</v>
      </c>
      <c r="F785" s="48">
        <v>0.55347222222222225</v>
      </c>
      <c r="G785" s="43">
        <f>(F785-E785)*1440</f>
        <v>15.000000000000107</v>
      </c>
      <c r="H785" s="9" t="s">
        <v>2029</v>
      </c>
      <c r="I785" s="9" t="s">
        <v>2030</v>
      </c>
      <c r="J785" s="44">
        <v>12.1</v>
      </c>
      <c r="K785" s="60">
        <v>7.84</v>
      </c>
      <c r="L785" s="56">
        <v>5.88</v>
      </c>
      <c r="M785" s="14">
        <f>K785-L785</f>
        <v>1.96</v>
      </c>
      <c r="N785" s="15">
        <f>IFERROR(M785/K785,0)</f>
        <v>0.25</v>
      </c>
      <c r="O785" s="14">
        <f>IFERROR(L785/J785,0)</f>
        <v>0.48595041322314048</v>
      </c>
      <c r="P785" s="14">
        <f>IFERROR(L785/G785,0)</f>
        <v>0.39199999999999718</v>
      </c>
    </row>
    <row r="786" spans="1:19" x14ac:dyDescent="0.3">
      <c r="A786" s="9" t="s">
        <v>1672</v>
      </c>
      <c r="B786" s="9" t="s">
        <v>18</v>
      </c>
      <c r="C786" s="9" t="s">
        <v>184</v>
      </c>
      <c r="D786" s="52">
        <v>46146</v>
      </c>
      <c r="E786" s="48">
        <v>0.6479166666666667</v>
      </c>
      <c r="F786" s="48">
        <v>0.65972222222222221</v>
      </c>
      <c r="G786" s="43">
        <f>(F786-E786)*1440</f>
        <v>16.99999999999994</v>
      </c>
      <c r="H786" s="9" t="s">
        <v>1253</v>
      </c>
      <c r="I786" s="9" t="s">
        <v>2037</v>
      </c>
      <c r="J786" s="44">
        <v>14.93</v>
      </c>
      <c r="K786" s="60">
        <v>8.9499999999999993</v>
      </c>
      <c r="L786" s="56">
        <v>7.61</v>
      </c>
      <c r="M786" s="14">
        <f>K786-L786</f>
        <v>1.339999999999999</v>
      </c>
      <c r="N786" s="15">
        <f>IFERROR(M786/K786,0)</f>
        <v>0.14972067039106135</v>
      </c>
      <c r="O786" s="14">
        <f>IFERROR(L786/J786,0)</f>
        <v>0.50971198928332218</v>
      </c>
      <c r="P786" s="14">
        <f>IFERROR(L786/G786,0)</f>
        <v>0.44764705882353101</v>
      </c>
    </row>
    <row r="787" spans="1:19" x14ac:dyDescent="0.3">
      <c r="A787" s="9" t="s">
        <v>1678</v>
      </c>
      <c r="B787" s="9" t="s">
        <v>18</v>
      </c>
      <c r="C787" s="9" t="s">
        <v>184</v>
      </c>
      <c r="D787" s="52">
        <v>46146</v>
      </c>
      <c r="E787" s="48">
        <v>0.86597222222222225</v>
      </c>
      <c r="F787" s="48">
        <v>0.87638888888888899</v>
      </c>
      <c r="G787" s="43">
        <f>(F787-E787)*1440</f>
        <v>15.000000000000107</v>
      </c>
      <c r="H787" s="9" t="s">
        <v>214</v>
      </c>
      <c r="I787" s="9" t="s">
        <v>2042</v>
      </c>
      <c r="J787" s="44">
        <v>11.1</v>
      </c>
      <c r="K787" s="60">
        <v>6.95</v>
      </c>
      <c r="L787" s="56">
        <v>5.81</v>
      </c>
      <c r="M787" s="14">
        <f>K787-L787</f>
        <v>1.1400000000000006</v>
      </c>
      <c r="N787" s="15">
        <f>IFERROR(M787/K787,0)</f>
        <v>0.16402877697841733</v>
      </c>
      <c r="O787" s="14">
        <f>IFERROR(L787/J787,0)</f>
        <v>0.52342342342342341</v>
      </c>
      <c r="P787" s="14">
        <f>IFERROR(L787/G787,0)</f>
        <v>0.38733333333333053</v>
      </c>
    </row>
    <row r="788" spans="1:19" x14ac:dyDescent="0.3">
      <c r="A788" s="9" t="s">
        <v>1666</v>
      </c>
      <c r="B788" s="9" t="s">
        <v>26</v>
      </c>
      <c r="C788" s="9" t="s">
        <v>26</v>
      </c>
      <c r="D788" s="52">
        <v>46146</v>
      </c>
      <c r="E788" s="48">
        <v>0.81111111111111101</v>
      </c>
      <c r="F788" s="48">
        <v>0.82430555555555562</v>
      </c>
      <c r="G788" s="43">
        <f>(F788-E788)*1440</f>
        <v>19.000000000000252</v>
      </c>
      <c r="H788" s="9" t="s">
        <v>738</v>
      </c>
      <c r="I788" s="9" t="s">
        <v>1284</v>
      </c>
      <c r="J788" s="44">
        <v>11.6</v>
      </c>
      <c r="K788" s="60">
        <v>8.49</v>
      </c>
      <c r="L788" s="56">
        <v>6.7</v>
      </c>
      <c r="M788" s="14">
        <f>K788-L788</f>
        <v>1.79</v>
      </c>
      <c r="N788" s="15">
        <f>IFERROR(M788/K788,0)</f>
        <v>0.21083627797408716</v>
      </c>
      <c r="O788" s="14">
        <f>IFERROR(L788/J788,0)</f>
        <v>0.57758620689655171</v>
      </c>
      <c r="P788" s="14">
        <f>IFERROR(L788/G788,0)</f>
        <v>0.35263157894736374</v>
      </c>
    </row>
    <row r="789" spans="1:19" x14ac:dyDescent="0.3">
      <c r="A789" s="9" t="s">
        <v>1665</v>
      </c>
      <c r="B789" s="9" t="s">
        <v>26</v>
      </c>
      <c r="C789" s="9" t="s">
        <v>27</v>
      </c>
      <c r="D789" s="52">
        <v>46146</v>
      </c>
      <c r="E789" s="48">
        <v>0.75069444444444444</v>
      </c>
      <c r="F789" s="48">
        <v>0.76666666666666661</v>
      </c>
      <c r="G789" s="43">
        <f>(F789-E789)*1440</f>
        <v>22.999999999999918</v>
      </c>
      <c r="H789" s="9" t="s">
        <v>2032</v>
      </c>
      <c r="I789" s="9" t="s">
        <v>2033</v>
      </c>
      <c r="J789" s="44">
        <v>10.5</v>
      </c>
      <c r="K789" s="60">
        <v>7.42</v>
      </c>
      <c r="L789" s="56">
        <v>6.12</v>
      </c>
      <c r="M789" s="14">
        <f>K789-L789</f>
        <v>1.2999999999999998</v>
      </c>
      <c r="N789" s="15">
        <f>IFERROR(M789/K789,0)</f>
        <v>0.17520215633423178</v>
      </c>
      <c r="O789" s="14">
        <f>IFERROR(L789/J789,0)</f>
        <v>0.58285714285714285</v>
      </c>
      <c r="P789" s="14">
        <f>IFERROR(L789/G789,0)</f>
        <v>0.26608695652174008</v>
      </c>
    </row>
    <row r="790" spans="1:19" x14ac:dyDescent="0.3">
      <c r="A790" s="9" t="s">
        <v>1677</v>
      </c>
      <c r="B790" s="9" t="s">
        <v>18</v>
      </c>
      <c r="C790" s="9" t="s">
        <v>184</v>
      </c>
      <c r="D790" s="52">
        <v>46146</v>
      </c>
      <c r="E790" s="48">
        <v>0.8340277777777777</v>
      </c>
      <c r="F790" s="48">
        <v>0.84652777777777777</v>
      </c>
      <c r="G790" s="43">
        <f>(F790-E790)*1440</f>
        <v>18.000000000000096</v>
      </c>
      <c r="H790" s="9" t="s">
        <v>2041</v>
      </c>
      <c r="I790" s="9" t="s">
        <v>1120</v>
      </c>
      <c r="J790" s="44">
        <v>11.87</v>
      </c>
      <c r="K790" s="60">
        <v>10.94</v>
      </c>
      <c r="L790" s="56">
        <v>7.11</v>
      </c>
      <c r="M790" s="14">
        <f>K790-L790</f>
        <v>3.8299999999999992</v>
      </c>
      <c r="N790" s="15">
        <f>IFERROR(M790/K790,0)</f>
        <v>0.35009140767824493</v>
      </c>
      <c r="O790" s="14">
        <f>IFERROR(L790/J790,0)</f>
        <v>0.59898904802021913</v>
      </c>
      <c r="P790" s="14">
        <f>IFERROR(L790/G790,0)</f>
        <v>0.39499999999999791</v>
      </c>
    </row>
    <row r="791" spans="1:19" x14ac:dyDescent="0.3">
      <c r="A791" s="9" t="s">
        <v>1669</v>
      </c>
      <c r="B791" s="9" t="s">
        <v>18</v>
      </c>
      <c r="C791" s="9" t="s">
        <v>184</v>
      </c>
      <c r="D791" s="52">
        <v>46146</v>
      </c>
      <c r="E791" s="48">
        <v>0.55972222222222223</v>
      </c>
      <c r="F791" s="48">
        <v>0.57986111111111105</v>
      </c>
      <c r="G791" s="43">
        <f>(F791-E791)*1440</f>
        <v>28.999999999999897</v>
      </c>
      <c r="H791" s="9" t="s">
        <v>1207</v>
      </c>
      <c r="I791" s="9" t="s">
        <v>2034</v>
      </c>
      <c r="J791" s="44">
        <v>9.42</v>
      </c>
      <c r="K791" s="60">
        <v>7.93</v>
      </c>
      <c r="L791" s="56">
        <v>6.04</v>
      </c>
      <c r="M791" s="14">
        <f>K791-L791</f>
        <v>1.8899999999999997</v>
      </c>
      <c r="N791" s="15">
        <f>IFERROR(M791/K791,0)</f>
        <v>0.23833543505674651</v>
      </c>
      <c r="O791" s="14">
        <f>IFERROR(L791/J791,0)</f>
        <v>0.64118895966029721</v>
      </c>
      <c r="P791" s="14">
        <f>IFERROR(L791/G791,0)</f>
        <v>0.20827586206896626</v>
      </c>
    </row>
    <row r="792" spans="1:19" x14ac:dyDescent="0.3">
      <c r="A792" s="9" t="s">
        <v>1675</v>
      </c>
      <c r="B792" s="9" t="s">
        <v>18</v>
      </c>
      <c r="C792" s="9" t="s">
        <v>184</v>
      </c>
      <c r="D792" s="52">
        <v>46146</v>
      </c>
      <c r="E792" s="48">
        <v>0.76874999999999993</v>
      </c>
      <c r="F792" s="48">
        <v>0.78680555555555554</v>
      </c>
      <c r="G792" s="43">
        <f>(F792-E792)*1440</f>
        <v>26.000000000000068</v>
      </c>
      <c r="H792" s="9" t="s">
        <v>1289</v>
      </c>
      <c r="I792" s="9" t="s">
        <v>1875</v>
      </c>
      <c r="J792" s="44">
        <v>12.97</v>
      </c>
      <c r="K792" s="60">
        <v>9.94</v>
      </c>
      <c r="L792" s="56">
        <v>8.83</v>
      </c>
      <c r="M792" s="14">
        <f>K792-L792</f>
        <v>1.1099999999999994</v>
      </c>
      <c r="N792" s="15">
        <f>IFERROR(M792/K792,0)</f>
        <v>0.1116700201207243</v>
      </c>
      <c r="O792" s="14">
        <f>IFERROR(L792/J792,0)</f>
        <v>0.6808018504240555</v>
      </c>
      <c r="P792" s="14">
        <f>IFERROR(L792/G792,0)</f>
        <v>0.33961538461538376</v>
      </c>
    </row>
    <row r="793" spans="1:19" x14ac:dyDescent="0.3">
      <c r="A793" s="9" t="s">
        <v>1676</v>
      </c>
      <c r="B793" s="9" t="s">
        <v>18</v>
      </c>
      <c r="C793" s="9" t="s">
        <v>184</v>
      </c>
      <c r="D793" s="52">
        <v>46146</v>
      </c>
      <c r="E793" s="48">
        <v>0.82430555555555562</v>
      </c>
      <c r="F793" s="48">
        <v>0.83124999999999993</v>
      </c>
      <c r="G793" s="43">
        <f>(F793-E793)*1440</f>
        <v>9.9999999999998046</v>
      </c>
      <c r="H793" s="9" t="s">
        <v>2039</v>
      </c>
      <c r="I793" s="9" t="s">
        <v>2040</v>
      </c>
      <c r="J793" s="44">
        <v>8.44</v>
      </c>
      <c r="K793" s="60">
        <v>5.98</v>
      </c>
      <c r="L793" s="56">
        <v>5.8</v>
      </c>
      <c r="M793" s="14">
        <f>K793-L793</f>
        <v>0.1800000000000006</v>
      </c>
      <c r="N793" s="15">
        <f>IFERROR(M793/K793,0)</f>
        <v>3.0100334448160633E-2</v>
      </c>
      <c r="O793" s="14">
        <f>IFERROR(L793/J793,0)</f>
        <v>0.6872037914691943</v>
      </c>
      <c r="P793" s="14">
        <f>IFERROR(L793/G793,0)</f>
        <v>0.58000000000001128</v>
      </c>
    </row>
    <row r="794" spans="1:19" x14ac:dyDescent="0.3">
      <c r="A794" s="9" t="s">
        <v>1668</v>
      </c>
      <c r="B794" s="9" t="s">
        <v>18</v>
      </c>
      <c r="C794" s="9" t="s">
        <v>196</v>
      </c>
      <c r="D794" s="52">
        <v>46146</v>
      </c>
      <c r="E794" s="48">
        <v>0.5541666666666667</v>
      </c>
      <c r="F794" s="48">
        <v>0.56180555555555556</v>
      </c>
      <c r="G794" s="43">
        <f>(F794-E794)*1440</f>
        <v>10.999999999999961</v>
      </c>
      <c r="H794" s="9" t="s">
        <v>265</v>
      </c>
      <c r="I794" s="9" t="s">
        <v>531</v>
      </c>
      <c r="J794" s="44">
        <v>6.64</v>
      </c>
      <c r="K794" s="60">
        <v>5.98</v>
      </c>
      <c r="L794" s="56">
        <v>4.83</v>
      </c>
      <c r="M794" s="14">
        <f>K794-L794</f>
        <v>1.1500000000000004</v>
      </c>
      <c r="N794" s="15">
        <f>IFERROR(M794/K794,0)</f>
        <v>0.19230769230769235</v>
      </c>
      <c r="O794" s="14">
        <f>IFERROR(L794/J794,0)</f>
        <v>0.72740963855421692</v>
      </c>
      <c r="P794" s="14">
        <f>IFERROR(L794/G794,0)</f>
        <v>0.43909090909091064</v>
      </c>
    </row>
    <row r="795" spans="1:19" x14ac:dyDescent="0.3">
      <c r="A795" s="9" t="s">
        <v>1673</v>
      </c>
      <c r="B795" s="9" t="s">
        <v>18</v>
      </c>
      <c r="C795" s="9" t="s">
        <v>184</v>
      </c>
      <c r="D795" s="52">
        <v>46146</v>
      </c>
      <c r="E795" s="48">
        <v>0.70972222222222225</v>
      </c>
      <c r="F795" s="48">
        <v>0.72222222222222221</v>
      </c>
      <c r="G795" s="43">
        <f>(F795-E795)*1440</f>
        <v>17.999999999999936</v>
      </c>
      <c r="H795" s="9" t="s">
        <v>1750</v>
      </c>
      <c r="I795" s="9" t="s">
        <v>2038</v>
      </c>
      <c r="J795" s="44">
        <v>7.63</v>
      </c>
      <c r="K795" s="60">
        <v>6.94</v>
      </c>
      <c r="L795" s="56">
        <v>5.71</v>
      </c>
      <c r="M795" s="14">
        <f>K795-L795</f>
        <v>1.2300000000000004</v>
      </c>
      <c r="N795" s="15">
        <f>IFERROR(M795/K795,0)</f>
        <v>0.17723342939481274</v>
      </c>
      <c r="O795" s="14">
        <f>IFERROR(L795/J795,0)</f>
        <v>0.74836173001310613</v>
      </c>
      <c r="P795" s="14">
        <f>IFERROR(L795/G795,0)</f>
        <v>0.31722222222222335</v>
      </c>
    </row>
    <row r="796" spans="1:19" x14ac:dyDescent="0.3">
      <c r="A796" s="9" t="s">
        <v>1664</v>
      </c>
      <c r="B796" s="9" t="s">
        <v>26</v>
      </c>
      <c r="C796" s="9" t="s">
        <v>26</v>
      </c>
      <c r="D796" s="52">
        <v>46146</v>
      </c>
      <c r="E796" s="48">
        <v>0.68402777777777779</v>
      </c>
      <c r="F796" s="48">
        <v>0.70694444444444438</v>
      </c>
      <c r="G796" s="43">
        <f>(F796-E796)*1440</f>
        <v>32.999999999999886</v>
      </c>
      <c r="H796" s="9" t="s">
        <v>531</v>
      </c>
      <c r="I796" s="9" t="s">
        <v>2031</v>
      </c>
      <c r="J796" s="44">
        <v>10</v>
      </c>
      <c r="K796" s="60">
        <v>10.98</v>
      </c>
      <c r="L796" s="56">
        <v>8.23</v>
      </c>
      <c r="M796" s="14">
        <f>K796-L796</f>
        <v>2.75</v>
      </c>
      <c r="N796" s="15">
        <f>IFERROR(M796/K796,0)</f>
        <v>0.25045537340619306</v>
      </c>
      <c r="O796" s="14">
        <f>IFERROR(L796/J796,0)</f>
        <v>0.82300000000000006</v>
      </c>
      <c r="P796" s="14">
        <f>IFERROR(L796/G796,0)</f>
        <v>0.24939393939394028</v>
      </c>
      <c r="R796" s="57">
        <v>1.83</v>
      </c>
    </row>
    <row r="797" spans="1:19" x14ac:dyDescent="0.3">
      <c r="A797" s="9" t="s">
        <v>1674</v>
      </c>
      <c r="B797" s="9" t="s">
        <v>538</v>
      </c>
      <c r="C797" s="9" t="s">
        <v>184</v>
      </c>
      <c r="D797" s="52">
        <v>46146</v>
      </c>
      <c r="E797" s="48">
        <v>0.72499999999999998</v>
      </c>
      <c r="F797" s="48">
        <v>0.73611111111111116</v>
      </c>
      <c r="G797" s="43">
        <f>(F797-E797)*1440</f>
        <v>16.000000000000103</v>
      </c>
      <c r="H797" s="9" t="s">
        <v>632</v>
      </c>
      <c r="I797" s="9" t="s">
        <v>582</v>
      </c>
      <c r="J797" s="44">
        <v>6.46</v>
      </c>
      <c r="K797" s="60">
        <v>9.9600000000000009</v>
      </c>
      <c r="L797" s="56">
        <v>6.92</v>
      </c>
      <c r="M797" s="14">
        <f>K797-L797</f>
        <v>3.0400000000000009</v>
      </c>
      <c r="N797" s="15">
        <f>IFERROR(M797/K797,0)</f>
        <v>0.30522088353413662</v>
      </c>
      <c r="O797" s="14">
        <f>IFERROR(L797/J797,0)</f>
        <v>1.0712074303405572</v>
      </c>
      <c r="P797" s="14">
        <f>IFERROR(L797/G797,0)</f>
        <v>0.43249999999999722</v>
      </c>
    </row>
    <row r="798" spans="1:19" x14ac:dyDescent="0.3">
      <c r="A798" s="9" t="s">
        <v>1667</v>
      </c>
      <c r="B798" s="9" t="s">
        <v>26</v>
      </c>
      <c r="C798" s="9" t="s">
        <v>26</v>
      </c>
      <c r="D798" s="52">
        <v>46146</v>
      </c>
      <c r="E798" s="48">
        <v>0.85625000000000007</v>
      </c>
      <c r="F798" s="48">
        <v>0.86736111111111114</v>
      </c>
      <c r="G798" s="43">
        <f>(F798-E798)*1440</f>
        <v>15.999999999999943</v>
      </c>
      <c r="H798" s="9" t="s">
        <v>1120</v>
      </c>
      <c r="I798" s="9" t="s">
        <v>1944</v>
      </c>
      <c r="J798" s="44">
        <v>7.3</v>
      </c>
      <c r="K798" s="60">
        <v>8.57</v>
      </c>
      <c r="L798" s="56">
        <v>9.9600000000000009</v>
      </c>
      <c r="M798" s="14">
        <f>K798-L798</f>
        <v>-1.3900000000000006</v>
      </c>
      <c r="N798" s="15">
        <f>IFERROR(M798/K798,0)</f>
        <v>-0.16219369894982502</v>
      </c>
      <c r="O798" s="14">
        <f>IFERROR(L798/J798,0)</f>
        <v>1.3643835616438358</v>
      </c>
      <c r="P798" s="14">
        <f>IFERROR(L798/G798,0)</f>
        <v>0.62250000000000227</v>
      </c>
      <c r="R798" s="57">
        <v>1.61</v>
      </c>
      <c r="S798" s="61">
        <v>2</v>
      </c>
    </row>
    <row r="799" spans="1:19" x14ac:dyDescent="0.3">
      <c r="A799" s="9" t="s">
        <v>2054</v>
      </c>
      <c r="B799" s="9" t="s">
        <v>18</v>
      </c>
      <c r="C799" s="9" t="s">
        <v>184</v>
      </c>
      <c r="D799" s="52">
        <v>46147</v>
      </c>
      <c r="E799" s="48">
        <v>0.87847222222222221</v>
      </c>
      <c r="F799" s="48">
        <v>0.89027777777777783</v>
      </c>
      <c r="G799" s="43">
        <f>(F799-E799)*1440</f>
        <v>17.000000000000099</v>
      </c>
      <c r="H799" s="9" t="s">
        <v>1207</v>
      </c>
      <c r="I799" s="9" t="s">
        <v>2160</v>
      </c>
      <c r="J799" s="44">
        <v>18.84</v>
      </c>
      <c r="K799" s="60">
        <v>8.9600000000000009</v>
      </c>
      <c r="L799" s="56">
        <v>6.61</v>
      </c>
      <c r="M799" s="14">
        <f>K799-L799</f>
        <v>2.3500000000000005</v>
      </c>
      <c r="N799" s="15">
        <f>IFERROR(M799/K799,0)</f>
        <v>0.26227678571428575</v>
      </c>
      <c r="O799" s="14">
        <f>IFERROR(L799/J799,0)</f>
        <v>0.35084925690021235</v>
      </c>
      <c r="P799" s="14">
        <f>IFERROR(L799/G799,0)</f>
        <v>0.38882352941176246</v>
      </c>
    </row>
    <row r="800" spans="1:19" x14ac:dyDescent="0.3">
      <c r="A800" s="9" t="s">
        <v>2055</v>
      </c>
      <c r="B800" s="9" t="s">
        <v>26</v>
      </c>
      <c r="C800" s="9" t="s">
        <v>26</v>
      </c>
      <c r="D800" s="52">
        <v>46147</v>
      </c>
      <c r="E800" s="48">
        <v>0.55972222222222223</v>
      </c>
      <c r="F800" s="48">
        <v>0.57847222222222217</v>
      </c>
      <c r="G800" s="43">
        <f>(F800-E800)*1440</f>
        <v>26.999999999999904</v>
      </c>
      <c r="H800" s="9" t="s">
        <v>2161</v>
      </c>
      <c r="I800" s="9" t="s">
        <v>2162</v>
      </c>
      <c r="J800" s="44">
        <v>30.4</v>
      </c>
      <c r="K800" s="60">
        <v>14.65</v>
      </c>
      <c r="L800" s="56">
        <v>13.24</v>
      </c>
      <c r="M800" s="14">
        <f>K800-L800</f>
        <v>1.4100000000000001</v>
      </c>
      <c r="N800" s="15">
        <f>IFERROR(M800/K800,0)</f>
        <v>9.6245733788395918E-2</v>
      </c>
      <c r="O800" s="14">
        <f>IFERROR(L800/J800,0)</f>
        <v>0.43552631578947371</v>
      </c>
      <c r="P800" s="14">
        <f>IFERROR(L800/G800,0)</f>
        <v>0.49037037037037212</v>
      </c>
    </row>
    <row r="801" spans="1:19" x14ac:dyDescent="0.3">
      <c r="A801" s="9" t="s">
        <v>2045</v>
      </c>
      <c r="B801" s="9" t="s">
        <v>18</v>
      </c>
      <c r="C801" s="9" t="s">
        <v>184</v>
      </c>
      <c r="D801" s="52">
        <v>46147</v>
      </c>
      <c r="E801" s="48">
        <v>0.62986111111111109</v>
      </c>
      <c r="F801" s="48">
        <v>0.63888888888888895</v>
      </c>
      <c r="G801" s="43">
        <f>(F801-E801)*1440</f>
        <v>13.000000000000114</v>
      </c>
      <c r="H801" s="9" t="s">
        <v>2148</v>
      </c>
      <c r="I801" s="9" t="s">
        <v>2149</v>
      </c>
      <c r="J801" s="44">
        <v>8.7200000000000006</v>
      </c>
      <c r="K801" s="60">
        <v>5.93</v>
      </c>
      <c r="L801" s="56">
        <v>4.24</v>
      </c>
      <c r="M801" s="14">
        <f>K801-L801</f>
        <v>1.6899999999999995</v>
      </c>
      <c r="N801" s="15">
        <f>IFERROR(M801/K801,0)</f>
        <v>0.28499156829679589</v>
      </c>
      <c r="O801" s="14">
        <f>IFERROR(L801/J801,0)</f>
        <v>0.48623853211009171</v>
      </c>
      <c r="P801" s="14">
        <f>IFERROR(L801/G801,0)</f>
        <v>0.3261538461538433</v>
      </c>
    </row>
    <row r="802" spans="1:19" x14ac:dyDescent="0.3">
      <c r="A802" s="9" t="s">
        <v>2044</v>
      </c>
      <c r="B802" s="9" t="s">
        <v>18</v>
      </c>
      <c r="C802" s="9" t="s">
        <v>184</v>
      </c>
      <c r="D802" s="52">
        <v>46147</v>
      </c>
      <c r="E802" s="48">
        <v>0.61805555555555558</v>
      </c>
      <c r="F802" s="48">
        <v>0.62638888888888888</v>
      </c>
      <c r="G802" s="43">
        <f>(F802-E802)*1440</f>
        <v>11.999999999999957</v>
      </c>
      <c r="H802" s="9" t="s">
        <v>2147</v>
      </c>
      <c r="I802" s="9" t="s">
        <v>1171</v>
      </c>
      <c r="J802" s="44">
        <v>6.66</v>
      </c>
      <c r="K802" s="60">
        <v>5.94</v>
      </c>
      <c r="L802" s="56">
        <v>3.86</v>
      </c>
      <c r="M802" s="14">
        <f>K802-L802</f>
        <v>2.0800000000000005</v>
      </c>
      <c r="N802" s="15">
        <f>IFERROR(M802/K802,0)</f>
        <v>0.35016835016835024</v>
      </c>
      <c r="O802" s="14">
        <f>IFERROR(L802/J802,0)</f>
        <v>0.57957957957957951</v>
      </c>
      <c r="P802" s="14">
        <f>IFERROR(L802/G802,0)</f>
        <v>0.32166666666666782</v>
      </c>
    </row>
    <row r="803" spans="1:19" x14ac:dyDescent="0.3">
      <c r="A803" s="9" t="s">
        <v>2053</v>
      </c>
      <c r="B803" s="9" t="s">
        <v>18</v>
      </c>
      <c r="C803" s="9" t="s">
        <v>184</v>
      </c>
      <c r="D803" s="52">
        <v>46147</v>
      </c>
      <c r="E803" s="48">
        <v>0.83888888888888891</v>
      </c>
      <c r="F803" s="48">
        <v>0.84583333333333333</v>
      </c>
      <c r="G803" s="43">
        <f>(F803-E803)*1440</f>
        <v>9.9999999999999645</v>
      </c>
      <c r="H803" s="9" t="s">
        <v>807</v>
      </c>
      <c r="I803" s="9" t="s">
        <v>696</v>
      </c>
      <c r="J803" s="44">
        <v>7.28</v>
      </c>
      <c r="K803" s="60">
        <v>4.93</v>
      </c>
      <c r="L803" s="56">
        <v>4.41</v>
      </c>
      <c r="M803" s="14">
        <f>K803-L803</f>
        <v>0.51999999999999957</v>
      </c>
      <c r="N803" s="15">
        <f>IFERROR(M803/K803,0)</f>
        <v>0.1054766734279918</v>
      </c>
      <c r="O803" s="14">
        <f>IFERROR(L803/J803,0)</f>
        <v>0.60576923076923073</v>
      </c>
      <c r="P803" s="14">
        <f>IFERROR(L803/G803,0)</f>
        <v>0.44100000000000156</v>
      </c>
    </row>
    <row r="804" spans="1:19" x14ac:dyDescent="0.3">
      <c r="A804" s="9" t="s">
        <v>2048</v>
      </c>
      <c r="B804" s="9" t="s">
        <v>18</v>
      </c>
      <c r="C804" s="9" t="s">
        <v>184</v>
      </c>
      <c r="D804" s="52">
        <v>46147</v>
      </c>
      <c r="E804" s="48">
        <v>0.70138888888888884</v>
      </c>
      <c r="F804" s="48">
        <v>0.71875</v>
      </c>
      <c r="G804" s="43">
        <f>(F804-E804)*1440</f>
        <v>25.000000000000071</v>
      </c>
      <c r="H804" s="9" t="s">
        <v>2152</v>
      </c>
      <c r="I804" s="9" t="s">
        <v>2153</v>
      </c>
      <c r="J804" s="44">
        <v>15.4</v>
      </c>
      <c r="K804" s="60">
        <v>14.96</v>
      </c>
      <c r="L804" s="56">
        <v>9.7200000000000006</v>
      </c>
      <c r="M804" s="14">
        <f>K804-L804</f>
        <v>5.24</v>
      </c>
      <c r="N804" s="15">
        <f>IFERROR(M804/K804,0)</f>
        <v>0.3502673796791444</v>
      </c>
      <c r="O804" s="14">
        <f>IFERROR(L804/J804,0)</f>
        <v>0.63116883116883116</v>
      </c>
      <c r="P804" s="14">
        <f>IFERROR(L804/G804,0)</f>
        <v>0.38879999999999892</v>
      </c>
    </row>
    <row r="805" spans="1:19" x14ac:dyDescent="0.3">
      <c r="A805" s="9" t="s">
        <v>2046</v>
      </c>
      <c r="B805" s="9" t="s">
        <v>18</v>
      </c>
      <c r="C805" s="9" t="s">
        <v>184</v>
      </c>
      <c r="D805" s="52">
        <v>46147</v>
      </c>
      <c r="E805" s="48">
        <v>0.65763888888888888</v>
      </c>
      <c r="F805" s="48">
        <v>0.66875000000000007</v>
      </c>
      <c r="G805" s="43">
        <f>(F805-E805)*1440</f>
        <v>16.000000000000103</v>
      </c>
      <c r="H805" s="9" t="s">
        <v>582</v>
      </c>
      <c r="I805" s="9" t="s">
        <v>2150</v>
      </c>
      <c r="J805" s="44">
        <v>7.95</v>
      </c>
      <c r="K805" s="60">
        <v>5.95</v>
      </c>
      <c r="L805" s="56">
        <v>5.04</v>
      </c>
      <c r="M805" s="14">
        <f>K805-L805</f>
        <v>0.91000000000000014</v>
      </c>
      <c r="N805" s="15">
        <f>IFERROR(M805/K805,0)</f>
        <v>0.15294117647058825</v>
      </c>
      <c r="O805" s="14">
        <f>IFERROR(L805/J805,0)</f>
        <v>0.63396226415094337</v>
      </c>
      <c r="P805" s="14">
        <f>IFERROR(L805/G805,0)</f>
        <v>0.31499999999999795</v>
      </c>
    </row>
    <row r="806" spans="1:19" x14ac:dyDescent="0.3">
      <c r="A806" s="9" t="s">
        <v>2056</v>
      </c>
      <c r="B806" s="9" t="s">
        <v>26</v>
      </c>
      <c r="C806" s="9" t="s">
        <v>26</v>
      </c>
      <c r="D806" s="52">
        <v>46147</v>
      </c>
      <c r="E806" s="48">
        <v>0.82500000000000007</v>
      </c>
      <c r="F806" s="48">
        <v>0.83750000000000002</v>
      </c>
      <c r="G806" s="43">
        <f>(F806-E806)*1440</f>
        <v>17.999999999999936</v>
      </c>
      <c r="H806" s="9" t="s">
        <v>2163</v>
      </c>
      <c r="I806" s="9" t="s">
        <v>2164</v>
      </c>
      <c r="J806" s="44">
        <v>9</v>
      </c>
      <c r="K806" s="60">
        <v>3.86</v>
      </c>
      <c r="L806" s="56">
        <v>5.79</v>
      </c>
      <c r="M806" s="14">
        <f>K806-L806</f>
        <v>-1.9300000000000002</v>
      </c>
      <c r="N806" s="15">
        <f>IFERROR(M806/K806,0)</f>
        <v>-0.50000000000000011</v>
      </c>
      <c r="O806" s="14">
        <f>IFERROR(L806/J806,0)</f>
        <v>0.64333333333333331</v>
      </c>
      <c r="P806" s="14">
        <f>IFERROR(L806/G806,0)</f>
        <v>0.32166666666666782</v>
      </c>
    </row>
    <row r="807" spans="1:19" x14ac:dyDescent="0.3">
      <c r="A807" s="9" t="s">
        <v>1679</v>
      </c>
      <c r="B807" s="9" t="s">
        <v>18</v>
      </c>
      <c r="C807" s="9" t="s">
        <v>184</v>
      </c>
      <c r="D807" s="52">
        <v>46147</v>
      </c>
      <c r="E807" s="48">
        <v>0.58124999999999993</v>
      </c>
      <c r="F807" s="48">
        <v>0.59513888888888888</v>
      </c>
      <c r="G807" s="43">
        <f>(F807-E807)*1440</f>
        <v>20.000000000000089</v>
      </c>
      <c r="H807" s="9" t="s">
        <v>1274</v>
      </c>
      <c r="I807" s="9" t="s">
        <v>1120</v>
      </c>
      <c r="J807" s="44">
        <v>7.6</v>
      </c>
      <c r="K807" s="60">
        <v>6.97</v>
      </c>
      <c r="L807" s="56">
        <v>4.8899999999999997</v>
      </c>
      <c r="M807" s="14">
        <f>K807-L807</f>
        <v>2.08</v>
      </c>
      <c r="N807" s="15">
        <f>IFERROR(M807/K807,0)</f>
        <v>0.29842180774748928</v>
      </c>
      <c r="O807" s="14">
        <f>IFERROR(L807/J807,0)</f>
        <v>0.64342105263157889</v>
      </c>
      <c r="P807" s="14">
        <f>IFERROR(L807/G807,0)</f>
        <v>0.24449999999999888</v>
      </c>
      <c r="S807" s="61">
        <v>10</v>
      </c>
    </row>
    <row r="808" spans="1:19" x14ac:dyDescent="0.3">
      <c r="A808" s="9" t="s">
        <v>2051</v>
      </c>
      <c r="B808" s="9" t="s">
        <v>538</v>
      </c>
      <c r="C808" s="9" t="s">
        <v>184</v>
      </c>
      <c r="D808" s="52">
        <v>46147</v>
      </c>
      <c r="E808" s="48">
        <v>0.76180555555555562</v>
      </c>
      <c r="F808" s="48">
        <v>0.77222222222222225</v>
      </c>
      <c r="G808" s="43">
        <f>(F808-E808)*1440</f>
        <v>14.999999999999947</v>
      </c>
      <c r="H808" s="9" t="s">
        <v>225</v>
      </c>
      <c r="I808" s="9" t="s">
        <v>1905</v>
      </c>
      <c r="J808" s="44">
        <v>8.6</v>
      </c>
      <c r="K808" s="60">
        <v>8.93</v>
      </c>
      <c r="L808" s="56">
        <v>5.8</v>
      </c>
      <c r="M808" s="14">
        <f>K808-L808</f>
        <v>3.13</v>
      </c>
      <c r="N808" s="15">
        <f>IFERROR(M808/K808,0)</f>
        <v>0.35050391937290032</v>
      </c>
      <c r="O808" s="14">
        <f>IFERROR(L808/J808,0)</f>
        <v>0.67441860465116277</v>
      </c>
      <c r="P808" s="14">
        <f>IFERROR(L808/G808,0)</f>
        <v>0.38666666666666805</v>
      </c>
    </row>
    <row r="809" spans="1:19" x14ac:dyDescent="0.3">
      <c r="A809" s="9" t="s">
        <v>2043</v>
      </c>
      <c r="B809" s="9" t="s">
        <v>18</v>
      </c>
      <c r="C809" s="9" t="s">
        <v>184</v>
      </c>
      <c r="D809" s="52">
        <v>46147</v>
      </c>
      <c r="E809" s="48">
        <v>0.60972222222222217</v>
      </c>
      <c r="F809" s="48">
        <v>0.61527777777777781</v>
      </c>
      <c r="G809" s="43">
        <f>(F809-E809)*1440</f>
        <v>8.0000000000001315</v>
      </c>
      <c r="H809" s="9" t="s">
        <v>2145</v>
      </c>
      <c r="I809" s="9" t="s">
        <v>2146</v>
      </c>
      <c r="J809" s="44">
        <v>5.36</v>
      </c>
      <c r="K809" s="60">
        <v>4.9400000000000004</v>
      </c>
      <c r="L809" s="56">
        <v>3.62</v>
      </c>
      <c r="M809" s="14">
        <f>K809-L809</f>
        <v>1.3200000000000003</v>
      </c>
      <c r="N809" s="15">
        <f>IFERROR(M809/K809,0)</f>
        <v>0.26720647773279355</v>
      </c>
      <c r="O809" s="14">
        <f>IFERROR(L809/J809,0)</f>
        <v>0.67537313432835822</v>
      </c>
      <c r="P809" s="14">
        <f>IFERROR(L809/G809,0)</f>
        <v>0.45249999999999257</v>
      </c>
    </row>
    <row r="810" spans="1:19" x14ac:dyDescent="0.3">
      <c r="A810" s="9" t="s">
        <v>2052</v>
      </c>
      <c r="B810" s="9" t="s">
        <v>18</v>
      </c>
      <c r="C810" s="9" t="s">
        <v>184</v>
      </c>
      <c r="D810" s="52">
        <v>46147</v>
      </c>
      <c r="E810" s="48">
        <v>0.77083333333333337</v>
      </c>
      <c r="F810" s="48">
        <v>0.7909722222222223</v>
      </c>
      <c r="G810" s="43">
        <f>(F810-E810)*1440</f>
        <v>29.000000000000057</v>
      </c>
      <c r="H810" s="9" t="s">
        <v>2158</v>
      </c>
      <c r="I810" s="9" t="s">
        <v>2159</v>
      </c>
      <c r="J810" s="44">
        <v>10.43</v>
      </c>
      <c r="K810" s="60">
        <v>8.94</v>
      </c>
      <c r="L810" s="56">
        <v>7.45</v>
      </c>
      <c r="M810" s="14">
        <f>K810-L810</f>
        <v>1.4899999999999993</v>
      </c>
      <c r="N810" s="15">
        <f>IFERROR(M810/K810,0)</f>
        <v>0.1666666666666666</v>
      </c>
      <c r="O810" s="14">
        <f>IFERROR(L810/J810,0)</f>
        <v>0.7142857142857143</v>
      </c>
      <c r="P810" s="14">
        <f>IFERROR(L810/G810,0)</f>
        <v>0.25689655172413745</v>
      </c>
    </row>
    <row r="811" spans="1:19" x14ac:dyDescent="0.3">
      <c r="A811" s="9" t="s">
        <v>2049</v>
      </c>
      <c r="B811" s="9" t="s">
        <v>18</v>
      </c>
      <c r="C811" s="9" t="s">
        <v>184</v>
      </c>
      <c r="D811" s="52">
        <v>46147</v>
      </c>
      <c r="E811" s="48">
        <v>0.72152777777777777</v>
      </c>
      <c r="F811" s="48">
        <v>0.72986111111111107</v>
      </c>
      <c r="G811" s="43">
        <f>(F811-E811)*1440</f>
        <v>11.999999999999957</v>
      </c>
      <c r="H811" s="9" t="s">
        <v>2154</v>
      </c>
      <c r="I811" s="9" t="s">
        <v>2155</v>
      </c>
      <c r="J811" s="44">
        <v>5.99</v>
      </c>
      <c r="K811" s="60">
        <v>6.18</v>
      </c>
      <c r="L811" s="56">
        <v>6.03</v>
      </c>
      <c r="M811" s="14">
        <f>K811-L811</f>
        <v>0.14999999999999947</v>
      </c>
      <c r="N811" s="15">
        <f>IFERROR(M811/K811,0)</f>
        <v>2.4271844660194091E-2</v>
      </c>
      <c r="O811" s="14">
        <f>IFERROR(L811/J811,0)</f>
        <v>1.006677796327212</v>
      </c>
      <c r="P811" s="14">
        <f>IFERROR(L811/G811,0)</f>
        <v>0.50250000000000183</v>
      </c>
    </row>
    <row r="812" spans="1:19" x14ac:dyDescent="0.3">
      <c r="A812" s="9" t="s">
        <v>2050</v>
      </c>
      <c r="B812" s="9" t="s">
        <v>18</v>
      </c>
      <c r="C812" s="9" t="s">
        <v>196</v>
      </c>
      <c r="D812" s="52">
        <v>46147</v>
      </c>
      <c r="E812" s="48">
        <v>0.73541666666666661</v>
      </c>
      <c r="F812" s="48">
        <v>0.75</v>
      </c>
      <c r="G812" s="43">
        <f>(F812-E812)*1440</f>
        <v>21.000000000000085</v>
      </c>
      <c r="H812" s="9" t="s">
        <v>2156</v>
      </c>
      <c r="I812" s="9" t="s">
        <v>2157</v>
      </c>
      <c r="J812" s="44">
        <v>6.67</v>
      </c>
      <c r="K812" s="60">
        <v>8.9700000000000006</v>
      </c>
      <c r="L812" s="56">
        <v>7.77</v>
      </c>
      <c r="M812" s="14">
        <f>K812-L812</f>
        <v>1.2000000000000011</v>
      </c>
      <c r="N812" s="15">
        <f>IFERROR(M812/K812,0)</f>
        <v>0.13377926421404693</v>
      </c>
      <c r="O812" s="14">
        <f>IFERROR(L812/J812,0)</f>
        <v>1.1649175412293853</v>
      </c>
      <c r="P812" s="14">
        <f>IFERROR(L812/G812,0)</f>
        <v>0.3699999999999985</v>
      </c>
    </row>
    <row r="813" spans="1:19" x14ac:dyDescent="0.3">
      <c r="A813" s="9" t="s">
        <v>2047</v>
      </c>
      <c r="B813" s="9" t="s">
        <v>18</v>
      </c>
      <c r="C813" s="9" t="s">
        <v>196</v>
      </c>
      <c r="D813" s="52">
        <v>46147</v>
      </c>
      <c r="E813" s="48">
        <v>0.67499999999999993</v>
      </c>
      <c r="F813" s="48">
        <v>0.68958333333333333</v>
      </c>
      <c r="G813" s="43">
        <f>(F813-E813)*1440</f>
        <v>21.000000000000085</v>
      </c>
      <c r="H813" s="9" t="s">
        <v>2151</v>
      </c>
      <c r="I813" s="9" t="s">
        <v>1728</v>
      </c>
      <c r="J813" s="44">
        <v>4.5</v>
      </c>
      <c r="K813" s="60">
        <v>9.16</v>
      </c>
      <c r="L813" s="56">
        <v>5.84</v>
      </c>
      <c r="M813" s="14">
        <f>K813-L813</f>
        <v>3.3200000000000003</v>
      </c>
      <c r="N813" s="15">
        <f>IFERROR(M813/K813,0)</f>
        <v>0.36244541484716158</v>
      </c>
      <c r="O813" s="14">
        <f>IFERROR(L813/J813,0)</f>
        <v>1.2977777777777777</v>
      </c>
      <c r="P813" s="14">
        <f>IFERROR(L813/G813,0)</f>
        <v>0.27809523809523695</v>
      </c>
      <c r="S813" s="61">
        <v>0.5</v>
      </c>
    </row>
    <row r="814" spans="1:19" x14ac:dyDescent="0.3">
      <c r="A814" s="9" t="s">
        <v>2062</v>
      </c>
      <c r="B814" s="9" t="s">
        <v>18</v>
      </c>
      <c r="C814" s="9" t="s">
        <v>184</v>
      </c>
      <c r="D814" s="52">
        <v>46148</v>
      </c>
      <c r="E814" s="48">
        <v>0.54375000000000007</v>
      </c>
      <c r="F814" s="48">
        <v>0.55347222222222225</v>
      </c>
      <c r="G814" s="43">
        <f>(F814-E814)*1440</f>
        <v>13.99999999999995</v>
      </c>
      <c r="H814" s="9" t="s">
        <v>2172</v>
      </c>
      <c r="I814" s="9" t="s">
        <v>2173</v>
      </c>
      <c r="J814" s="44">
        <v>10.53</v>
      </c>
      <c r="K814" s="60">
        <v>4.93</v>
      </c>
      <c r="L814" s="56">
        <v>4.1900000000000004</v>
      </c>
      <c r="M814" s="14">
        <f>K814-L814</f>
        <v>0.73999999999999932</v>
      </c>
      <c r="N814" s="15">
        <f>IFERROR(M814/K814,0)</f>
        <v>0.15010141987829601</v>
      </c>
      <c r="O814" s="14">
        <f>IFERROR(L814/J814,0)</f>
        <v>0.39791073124406462</v>
      </c>
      <c r="P814" s="14">
        <f>IFERROR(L814/G814,0)</f>
        <v>0.29928571428571538</v>
      </c>
    </row>
    <row r="815" spans="1:19" x14ac:dyDescent="0.3">
      <c r="A815" s="9" t="s">
        <v>2063</v>
      </c>
      <c r="B815" s="9" t="s">
        <v>538</v>
      </c>
      <c r="C815" s="9" t="s">
        <v>184</v>
      </c>
      <c r="D815" s="52">
        <v>46148</v>
      </c>
      <c r="E815" s="48">
        <v>0.56527777777777777</v>
      </c>
      <c r="F815" s="48">
        <v>0.57708333333333328</v>
      </c>
      <c r="G815" s="43">
        <f>(F815-E815)*1440</f>
        <v>16.99999999999994</v>
      </c>
      <c r="H815" s="9" t="s">
        <v>2174</v>
      </c>
      <c r="I815" s="9" t="s">
        <v>2175</v>
      </c>
      <c r="J815" s="44">
        <v>16.350000000000001</v>
      </c>
      <c r="K815" s="60">
        <v>9.98</v>
      </c>
      <c r="L815" s="56">
        <v>7.24</v>
      </c>
      <c r="M815" s="14">
        <f>K815-L815</f>
        <v>2.74</v>
      </c>
      <c r="N815" s="15">
        <f>IFERROR(M815/K815,0)</f>
        <v>0.27454909819639278</v>
      </c>
      <c r="O815" s="14">
        <f>IFERROR(L815/J815,0)</f>
        <v>0.44281345565749231</v>
      </c>
      <c r="P815" s="14">
        <f>IFERROR(L815/G815,0)</f>
        <v>0.42588235294117799</v>
      </c>
    </row>
    <row r="816" spans="1:19" x14ac:dyDescent="0.3">
      <c r="A816" s="9" t="s">
        <v>2075</v>
      </c>
      <c r="B816" s="9" t="s">
        <v>18</v>
      </c>
      <c r="C816" s="9" t="s">
        <v>2184</v>
      </c>
      <c r="D816" s="52">
        <v>46148</v>
      </c>
      <c r="E816" s="48">
        <v>0.86249999999999993</v>
      </c>
      <c r="F816" s="48">
        <v>0.87638888888888899</v>
      </c>
      <c r="G816" s="43">
        <f>(F816-E816)*1440</f>
        <v>20.000000000000249</v>
      </c>
      <c r="H816" s="9" t="s">
        <v>2185</v>
      </c>
      <c r="I816" s="9" t="s">
        <v>2186</v>
      </c>
      <c r="J816" s="44">
        <v>11.48</v>
      </c>
      <c r="K816" s="60">
        <v>7.63</v>
      </c>
      <c r="L816" s="56">
        <v>5.73</v>
      </c>
      <c r="M816" s="14">
        <f>K816-L816</f>
        <v>1.8999999999999995</v>
      </c>
      <c r="N816" s="15">
        <f>IFERROR(M816/K816,0)</f>
        <v>0.24901703800786362</v>
      </c>
      <c r="O816" s="14">
        <f>IFERROR(L816/J816,0)</f>
        <v>0.49912891986062718</v>
      </c>
      <c r="P816" s="14">
        <f>IFERROR(L816/G816,0)</f>
        <v>0.28649999999999648</v>
      </c>
    </row>
    <row r="817" spans="1:18" x14ac:dyDescent="0.3">
      <c r="A817" s="9" t="s">
        <v>2073</v>
      </c>
      <c r="B817" s="9" t="s">
        <v>18</v>
      </c>
      <c r="C817" s="9" t="s">
        <v>824</v>
      </c>
      <c r="D817" s="52">
        <v>46148</v>
      </c>
      <c r="E817" s="48">
        <v>0.81319444444444444</v>
      </c>
      <c r="F817" s="48">
        <v>0.82916666666666661</v>
      </c>
      <c r="G817" s="43">
        <f>(F817-E817)*1440</f>
        <v>22.999999999999918</v>
      </c>
      <c r="H817" s="9" t="s">
        <v>274</v>
      </c>
      <c r="I817" s="9" t="s">
        <v>2182</v>
      </c>
      <c r="J817" s="44">
        <v>16.91</v>
      </c>
      <c r="K817" s="60">
        <v>10.95</v>
      </c>
      <c r="L817" s="56">
        <v>8.5399999999999991</v>
      </c>
      <c r="M817" s="14">
        <f>K817-L817</f>
        <v>2.41</v>
      </c>
      <c r="N817" s="15">
        <f>IFERROR(M817/K817,0)</f>
        <v>0.22009132420091326</v>
      </c>
      <c r="O817" s="14">
        <f>IFERROR(L817/J817,0)</f>
        <v>0.50502661147250139</v>
      </c>
      <c r="P817" s="14">
        <f>IFERROR(L817/G817,0)</f>
        <v>0.37130434782608823</v>
      </c>
    </row>
    <row r="818" spans="1:18" x14ac:dyDescent="0.3">
      <c r="A818" s="9" t="s">
        <v>2068</v>
      </c>
      <c r="B818" s="9" t="s">
        <v>18</v>
      </c>
      <c r="C818" s="9" t="s">
        <v>184</v>
      </c>
      <c r="D818" s="52">
        <v>46148</v>
      </c>
      <c r="E818" s="48">
        <v>0.63750000000000007</v>
      </c>
      <c r="F818" s="48">
        <v>0.64513888888888882</v>
      </c>
      <c r="G818" s="43">
        <f>(F818-E818)*1440</f>
        <v>10.999999999999801</v>
      </c>
      <c r="H818" s="9" t="s">
        <v>2179</v>
      </c>
      <c r="I818" s="9" t="s">
        <v>582</v>
      </c>
      <c r="J818" s="44">
        <v>7.76</v>
      </c>
      <c r="K818" s="60">
        <v>5.95</v>
      </c>
      <c r="L818" s="56">
        <v>4.1100000000000003</v>
      </c>
      <c r="M818" s="14">
        <f>K818-L818</f>
        <v>1.8399999999999999</v>
      </c>
      <c r="N818" s="15">
        <f>IFERROR(M818/K818,0)</f>
        <v>0.30924369747899155</v>
      </c>
      <c r="O818" s="14">
        <f>IFERROR(L818/J818,0)</f>
        <v>0.52963917525773196</v>
      </c>
      <c r="P818" s="14">
        <f>IFERROR(L818/G818,0)</f>
        <v>0.37363636363637043</v>
      </c>
    </row>
    <row r="819" spans="1:18" x14ac:dyDescent="0.3">
      <c r="A819" s="9" t="s">
        <v>2067</v>
      </c>
      <c r="B819" s="9" t="s">
        <v>18</v>
      </c>
      <c r="C819" s="9" t="s">
        <v>184</v>
      </c>
      <c r="D819" s="52">
        <v>46148</v>
      </c>
      <c r="E819" s="48">
        <v>0.62361111111111112</v>
      </c>
      <c r="F819" s="48">
        <v>0.63472222222222219</v>
      </c>
      <c r="G819" s="43">
        <f>(F819-E819)*1440</f>
        <v>15.999999999999943</v>
      </c>
      <c r="H819" s="9" t="s">
        <v>2177</v>
      </c>
      <c r="I819" s="9" t="s">
        <v>2178</v>
      </c>
      <c r="J819" s="44">
        <v>7.53</v>
      </c>
      <c r="K819" s="60">
        <v>6.94</v>
      </c>
      <c r="L819" s="56">
        <v>4.51</v>
      </c>
      <c r="M819" s="14">
        <f>K819-L819</f>
        <v>2.4300000000000006</v>
      </c>
      <c r="N819" s="15">
        <f>IFERROR(M819/K819,0)</f>
        <v>0.35014409221902026</v>
      </c>
      <c r="O819" s="14">
        <f>IFERROR(L819/J819,0)</f>
        <v>0.59893758300132793</v>
      </c>
      <c r="P819" s="14">
        <f>IFERROR(L819/G819,0)</f>
        <v>0.28187500000000099</v>
      </c>
    </row>
    <row r="820" spans="1:18" x14ac:dyDescent="0.3">
      <c r="A820" s="9" t="s">
        <v>2061</v>
      </c>
      <c r="B820" s="9" t="s">
        <v>26</v>
      </c>
      <c r="C820" s="9" t="s">
        <v>27</v>
      </c>
      <c r="D820" s="52">
        <v>46148</v>
      </c>
      <c r="E820" s="48">
        <v>0.79375000000000007</v>
      </c>
      <c r="F820" s="48">
        <v>0.80138888888888893</v>
      </c>
      <c r="G820" s="43">
        <f>(F820-E820)*1440</f>
        <v>10.999999999999961</v>
      </c>
      <c r="H820" s="9" t="s">
        <v>2170</v>
      </c>
      <c r="I820" s="9" t="s">
        <v>2171</v>
      </c>
      <c r="J820" s="44">
        <v>8.9</v>
      </c>
      <c r="K820" s="60">
        <v>7.83</v>
      </c>
      <c r="L820" s="56">
        <v>5.84</v>
      </c>
      <c r="M820" s="14">
        <f>K820-L820</f>
        <v>1.9900000000000002</v>
      </c>
      <c r="N820" s="15">
        <f>IFERROR(M820/K820,0)</f>
        <v>0.25415070242656451</v>
      </c>
      <c r="O820" s="14">
        <f>IFERROR(L820/J820,0)</f>
        <v>0.65617977528089888</v>
      </c>
      <c r="P820" s="14">
        <f>IFERROR(L820/G820,0)</f>
        <v>0.53090909090909277</v>
      </c>
    </row>
    <row r="821" spans="1:18" x14ac:dyDescent="0.3">
      <c r="A821" s="9" t="s">
        <v>2066</v>
      </c>
      <c r="B821" s="9" t="s">
        <v>538</v>
      </c>
      <c r="C821" s="9" t="s">
        <v>196</v>
      </c>
      <c r="D821" s="52">
        <v>46148</v>
      </c>
      <c r="E821" s="48">
        <v>0.60416666666666663</v>
      </c>
      <c r="F821" s="48">
        <v>0.61527777777777781</v>
      </c>
      <c r="G821" s="43">
        <f>(F821-E821)*1440</f>
        <v>16.000000000000103</v>
      </c>
      <c r="H821" s="9" t="s">
        <v>1716</v>
      </c>
      <c r="I821" s="9" t="s">
        <v>2176</v>
      </c>
      <c r="J821" s="44">
        <v>7.49</v>
      </c>
      <c r="K821" s="60">
        <v>5.98</v>
      </c>
      <c r="L821" s="56">
        <v>5.01</v>
      </c>
      <c r="M821" s="14">
        <f>K821-L821</f>
        <v>0.97000000000000064</v>
      </c>
      <c r="N821" s="15">
        <f>IFERROR(M821/K821,0)</f>
        <v>0.16220735785953186</v>
      </c>
      <c r="O821" s="14">
        <f>IFERROR(L821/J821,0)</f>
        <v>0.66889185580774357</v>
      </c>
      <c r="P821" s="14">
        <f>IFERROR(L821/G821,0)</f>
        <v>0.31312499999999799</v>
      </c>
    </row>
    <row r="822" spans="1:18" x14ac:dyDescent="0.3">
      <c r="A822" s="9" t="s">
        <v>2057</v>
      </c>
      <c r="B822" s="9" t="s">
        <v>26</v>
      </c>
      <c r="C822" s="9" t="s">
        <v>27</v>
      </c>
      <c r="D822" s="52">
        <v>46148</v>
      </c>
      <c r="E822" s="48">
        <v>0.71597222222222223</v>
      </c>
      <c r="F822" s="48">
        <v>0.73055555555555562</v>
      </c>
      <c r="G822" s="43">
        <f>(F822-E822)*1440</f>
        <v>21.000000000000085</v>
      </c>
      <c r="H822" s="9" t="s">
        <v>2165</v>
      </c>
      <c r="I822" s="9" t="s">
        <v>2166</v>
      </c>
      <c r="J822" s="44">
        <v>7.9</v>
      </c>
      <c r="K822" s="60">
        <v>6.55</v>
      </c>
      <c r="L822" s="56">
        <v>5.4</v>
      </c>
      <c r="M822" s="14">
        <f>K822-L822</f>
        <v>1.1499999999999995</v>
      </c>
      <c r="N822" s="15">
        <f>IFERROR(M822/K822,0)</f>
        <v>0.1755725190839694</v>
      </c>
      <c r="O822" s="14">
        <f>IFERROR(L822/J822,0)</f>
        <v>0.68354430379746833</v>
      </c>
      <c r="P822" s="14">
        <f>IFERROR(L822/G822,0)</f>
        <v>0.25714285714285612</v>
      </c>
    </row>
    <row r="823" spans="1:18" x14ac:dyDescent="0.3">
      <c r="A823" s="9" t="s">
        <v>2069</v>
      </c>
      <c r="B823" s="9" t="s">
        <v>18</v>
      </c>
      <c r="C823" s="9" t="s">
        <v>184</v>
      </c>
      <c r="D823" s="52">
        <v>46148</v>
      </c>
      <c r="E823" s="48">
        <v>0.65</v>
      </c>
      <c r="F823" s="48">
        <v>0.65694444444444444</v>
      </c>
      <c r="G823" s="43">
        <f>(F823-E823)*1440</f>
        <v>9.9999999999999645</v>
      </c>
      <c r="H823" s="9" t="s">
        <v>1118</v>
      </c>
      <c r="I823" s="9" t="s">
        <v>2180</v>
      </c>
      <c r="J823" s="44">
        <v>5.29</v>
      </c>
      <c r="K823" s="60">
        <v>4.95</v>
      </c>
      <c r="L823" s="56">
        <v>3.66</v>
      </c>
      <c r="M823" s="14">
        <f>K823-L823</f>
        <v>1.29</v>
      </c>
      <c r="N823" s="15">
        <f>IFERROR(M823/K823,0)</f>
        <v>0.26060606060606062</v>
      </c>
      <c r="O823" s="14">
        <f>IFERROR(L823/J823,0)</f>
        <v>0.6918714555765596</v>
      </c>
      <c r="P823" s="14">
        <f>IFERROR(L823/G823,0)</f>
        <v>0.36600000000000132</v>
      </c>
    </row>
    <row r="824" spans="1:18" x14ac:dyDescent="0.3">
      <c r="A824" s="9" t="s">
        <v>2070</v>
      </c>
      <c r="B824" s="9" t="s">
        <v>18</v>
      </c>
      <c r="C824" s="9" t="s">
        <v>196</v>
      </c>
      <c r="D824" s="52">
        <v>46148</v>
      </c>
      <c r="E824" s="48">
        <v>0.67083333333333339</v>
      </c>
      <c r="F824" s="48">
        <v>0.68263888888888891</v>
      </c>
      <c r="G824" s="43">
        <f>(F824-E824)*1440</f>
        <v>16.99999999999994</v>
      </c>
      <c r="H824" s="9" t="s">
        <v>1692</v>
      </c>
      <c r="I824" s="9" t="s">
        <v>2181</v>
      </c>
      <c r="J824" s="44">
        <v>11.72</v>
      </c>
      <c r="K824" s="60">
        <v>12.97</v>
      </c>
      <c r="L824" s="56">
        <v>8.44</v>
      </c>
      <c r="M824" s="14">
        <f>K824-L824</f>
        <v>4.5300000000000011</v>
      </c>
      <c r="N824" s="15">
        <f>IFERROR(M824/K824,0)</f>
        <v>0.34926754047802627</v>
      </c>
      <c r="O824" s="14">
        <f>IFERROR(L824/J824,0)</f>
        <v>0.720136518771331</v>
      </c>
      <c r="P824" s="14">
        <f>IFERROR(L824/G824,0)</f>
        <v>0.49647058823529583</v>
      </c>
    </row>
    <row r="825" spans="1:18" x14ac:dyDescent="0.3">
      <c r="A825" s="9" t="s">
        <v>2072</v>
      </c>
      <c r="B825" s="9" t="s">
        <v>18</v>
      </c>
      <c r="C825" s="9" t="s">
        <v>196</v>
      </c>
      <c r="D825" s="52">
        <v>46148</v>
      </c>
      <c r="E825" s="48">
        <v>0.75555555555555554</v>
      </c>
      <c r="F825" s="48">
        <v>0.76666666666666661</v>
      </c>
      <c r="G825" s="43">
        <f>(F825-E825)*1440</f>
        <v>15.999999999999943</v>
      </c>
      <c r="H825" s="9" t="s">
        <v>1289</v>
      </c>
      <c r="I825" s="9" t="s">
        <v>889</v>
      </c>
      <c r="J825" s="44">
        <v>8.91</v>
      </c>
      <c r="K825" s="60">
        <v>7.04</v>
      </c>
      <c r="L825" s="56">
        <v>6.83</v>
      </c>
      <c r="M825" s="14">
        <f>K825-L825</f>
        <v>0.20999999999999996</v>
      </c>
      <c r="N825" s="15">
        <f>IFERROR(M825/K825,0)</f>
        <v>2.9829545454545449E-2</v>
      </c>
      <c r="O825" s="14">
        <f>IFERROR(L825/J825,0)</f>
        <v>0.76655443322109984</v>
      </c>
      <c r="P825" s="14">
        <f>IFERROR(L825/G825,0)</f>
        <v>0.4268750000000015</v>
      </c>
    </row>
    <row r="826" spans="1:18" x14ac:dyDescent="0.3">
      <c r="A826" s="9" t="s">
        <v>2071</v>
      </c>
      <c r="B826" s="9" t="s">
        <v>18</v>
      </c>
      <c r="C826" s="9" t="s">
        <v>184</v>
      </c>
      <c r="D826" s="52">
        <v>46148</v>
      </c>
      <c r="E826" s="48">
        <v>0.68819444444444444</v>
      </c>
      <c r="F826" s="48">
        <v>0.70347222222222217</v>
      </c>
      <c r="G826" s="43">
        <f>(F826-E826)*1440</f>
        <v>21.999999999999922</v>
      </c>
      <c r="H826" s="9" t="s">
        <v>247</v>
      </c>
      <c r="I826" s="9" t="s">
        <v>2031</v>
      </c>
      <c r="J826" s="44">
        <v>8.31</v>
      </c>
      <c r="K826" s="60">
        <v>6.94</v>
      </c>
      <c r="L826" s="56">
        <v>6.38</v>
      </c>
      <c r="M826" s="14">
        <f>K826-L826</f>
        <v>0.5600000000000005</v>
      </c>
      <c r="N826" s="15">
        <f>IFERROR(M826/K826,0)</f>
        <v>8.0691642651296899E-2</v>
      </c>
      <c r="O826" s="14">
        <f>IFERROR(L826/J826,0)</f>
        <v>0.76774969915764135</v>
      </c>
      <c r="P826" s="14">
        <f>IFERROR(L826/G826,0)</f>
        <v>0.29000000000000103</v>
      </c>
    </row>
    <row r="827" spans="1:18" x14ac:dyDescent="0.3">
      <c r="A827" s="9" t="s">
        <v>2064</v>
      </c>
      <c r="B827" s="9" t="s">
        <v>18</v>
      </c>
      <c r="C827" s="9" t="s">
        <v>184</v>
      </c>
      <c r="D827" s="52">
        <v>46148</v>
      </c>
      <c r="E827" s="48">
        <v>0.57847222222222217</v>
      </c>
      <c r="F827" s="48">
        <v>0.58402777777777781</v>
      </c>
      <c r="G827" s="43">
        <f>(F827-E827)*1440</f>
        <v>8.0000000000001315</v>
      </c>
      <c r="H827" s="9" t="s">
        <v>2175</v>
      </c>
      <c r="I827" s="9" t="s">
        <v>1722</v>
      </c>
      <c r="J827" s="44">
        <v>4.4800000000000004</v>
      </c>
      <c r="K827" s="60">
        <v>5.27</v>
      </c>
      <c r="L827" s="56">
        <v>4.0199999999999996</v>
      </c>
      <c r="M827" s="14">
        <f>K827-L827</f>
        <v>1.25</v>
      </c>
      <c r="N827" s="15">
        <f>IFERROR(M827/K827,0)</f>
        <v>0.23719165085388996</v>
      </c>
      <c r="O827" s="14">
        <f>IFERROR(L827/J827,0)</f>
        <v>0.89732142857142838</v>
      </c>
      <c r="P827" s="14">
        <f>IFERROR(L827/G827,0)</f>
        <v>0.50249999999999173</v>
      </c>
    </row>
    <row r="828" spans="1:18" x14ac:dyDescent="0.3">
      <c r="A828" s="9" t="s">
        <v>2065</v>
      </c>
      <c r="B828" s="9" t="s">
        <v>18</v>
      </c>
      <c r="C828" s="9" t="s">
        <v>196</v>
      </c>
      <c r="D828" s="52">
        <v>46148</v>
      </c>
      <c r="E828" s="48">
        <v>0.59583333333333333</v>
      </c>
      <c r="F828" s="48">
        <v>0.60277777777777775</v>
      </c>
      <c r="G828" s="43">
        <f>(F828-E828)*1440</f>
        <v>9.9999999999999645</v>
      </c>
      <c r="H828" s="9" t="s">
        <v>190</v>
      </c>
      <c r="I828" s="9" t="s">
        <v>1789</v>
      </c>
      <c r="J828" s="44">
        <v>3.37</v>
      </c>
      <c r="K828" s="60">
        <v>4.99</v>
      </c>
      <c r="L828" s="56">
        <v>3.67</v>
      </c>
      <c r="M828" s="14">
        <f>K828-L828</f>
        <v>1.3200000000000003</v>
      </c>
      <c r="N828" s="15">
        <f>IFERROR(M828/K828,0)</f>
        <v>0.26452905811623251</v>
      </c>
      <c r="O828" s="14">
        <f>IFERROR(L828/J828,0)</f>
        <v>1.0890207715133531</v>
      </c>
      <c r="P828" s="14">
        <f>IFERROR(L828/G828,0)</f>
        <v>0.36700000000000127</v>
      </c>
    </row>
    <row r="829" spans="1:18" x14ac:dyDescent="0.3">
      <c r="A829" s="9" t="s">
        <v>2074</v>
      </c>
      <c r="B829" s="9" t="s">
        <v>18</v>
      </c>
      <c r="C829" s="9" t="s">
        <v>184</v>
      </c>
      <c r="D829" s="52">
        <v>46148</v>
      </c>
      <c r="E829" s="48">
        <v>0.83750000000000002</v>
      </c>
      <c r="F829" s="48">
        <v>0.85416666666666663</v>
      </c>
      <c r="G829" s="43">
        <f>(F829-E829)*1440</f>
        <v>23.999999999999915</v>
      </c>
      <c r="H829" s="9" t="s">
        <v>1120</v>
      </c>
      <c r="I829" s="9" t="s">
        <v>2183</v>
      </c>
      <c r="J829" s="44">
        <v>7.46</v>
      </c>
      <c r="K829" s="60">
        <v>11.02</v>
      </c>
      <c r="L829" s="56">
        <v>9.3699999999999992</v>
      </c>
      <c r="M829" s="14">
        <f>K829-L829</f>
        <v>1.6500000000000004</v>
      </c>
      <c r="N829" s="15">
        <f>IFERROR(M829/K829,0)</f>
        <v>0.14972776769509985</v>
      </c>
      <c r="O829" s="14">
        <f>IFERROR(L829/J829,0)</f>
        <v>1.2560321715817693</v>
      </c>
      <c r="P829" s="14">
        <f>IFERROR(L829/G829,0)</f>
        <v>0.39041666666666802</v>
      </c>
    </row>
    <row r="830" spans="1:18" x14ac:dyDescent="0.3">
      <c r="A830" s="9" t="s">
        <v>2059</v>
      </c>
      <c r="B830" s="9" t="s">
        <v>26</v>
      </c>
      <c r="C830" s="9" t="s">
        <v>27</v>
      </c>
      <c r="D830" s="52">
        <v>46148</v>
      </c>
      <c r="E830" s="48">
        <v>0.74513888888888891</v>
      </c>
      <c r="F830" s="48">
        <v>0.75069444444444444</v>
      </c>
      <c r="G830" s="43">
        <f>(F830-E830)*1440</f>
        <v>7.9999999999999716</v>
      </c>
      <c r="H830" s="9" t="s">
        <v>2168</v>
      </c>
      <c r="I830" s="9" t="s">
        <v>2169</v>
      </c>
      <c r="J830" s="44">
        <v>3</v>
      </c>
      <c r="K830" s="60">
        <v>5.78</v>
      </c>
      <c r="L830" s="56">
        <v>4.33</v>
      </c>
      <c r="M830" s="14">
        <f>K830-L830</f>
        <v>1.4500000000000002</v>
      </c>
      <c r="N830" s="15">
        <f>IFERROR(M830/K830,0)</f>
        <v>0.2508650519031142</v>
      </c>
      <c r="O830" s="14">
        <f>IFERROR(L830/J830,0)</f>
        <v>1.4433333333333334</v>
      </c>
      <c r="P830" s="14">
        <f>IFERROR(L830/G830,0)</f>
        <v>0.5412500000000019</v>
      </c>
      <c r="R830" s="57">
        <v>1.93</v>
      </c>
    </row>
    <row r="831" spans="1:18" x14ac:dyDescent="0.3">
      <c r="A831" s="9" t="s">
        <v>2058</v>
      </c>
      <c r="B831" s="9" t="s">
        <v>26</v>
      </c>
      <c r="C831" s="9" t="s">
        <v>27</v>
      </c>
      <c r="D831" s="52">
        <v>46148</v>
      </c>
      <c r="E831" s="48">
        <v>0.73472222222222217</v>
      </c>
      <c r="F831" s="48">
        <v>0.74444444444444446</v>
      </c>
      <c r="G831" s="43">
        <f>(F831-E831)*1440</f>
        <v>14.00000000000011</v>
      </c>
      <c r="H831" s="9" t="s">
        <v>561</v>
      </c>
      <c r="I831" s="9" t="s">
        <v>2167</v>
      </c>
      <c r="J831" s="44">
        <v>4</v>
      </c>
      <c r="K831" s="60">
        <v>8.0500000000000007</v>
      </c>
      <c r="L831" s="56">
        <v>6.04</v>
      </c>
      <c r="M831" s="14">
        <f>K831-L831</f>
        <v>2.0100000000000007</v>
      </c>
      <c r="N831" s="15">
        <f>IFERROR(M831/K831,0)</f>
        <v>0.24968944099378887</v>
      </c>
      <c r="O831" s="14">
        <f>IFERROR(L831/J831,0)</f>
        <v>1.51</v>
      </c>
      <c r="P831" s="14">
        <f>IFERROR(L831/G831,0)</f>
        <v>0.43142857142856805</v>
      </c>
    </row>
    <row r="832" spans="1:18" x14ac:dyDescent="0.3">
      <c r="A832" s="9" t="s">
        <v>2060</v>
      </c>
      <c r="B832" s="9" t="s">
        <v>26</v>
      </c>
      <c r="C832" s="9" t="s">
        <v>27</v>
      </c>
      <c r="D832" s="52">
        <v>46148</v>
      </c>
      <c r="E832" s="48">
        <v>0.78055555555555556</v>
      </c>
      <c r="F832" s="48">
        <v>0.79027777777777775</v>
      </c>
      <c r="G832" s="43">
        <f>(F832-E832)*1440</f>
        <v>13.99999999999995</v>
      </c>
      <c r="H832" s="9" t="s">
        <v>885</v>
      </c>
      <c r="I832" s="9" t="s">
        <v>671</v>
      </c>
      <c r="J832" s="44">
        <v>4.3</v>
      </c>
      <c r="K832" s="60">
        <v>8.94</v>
      </c>
      <c r="L832" s="56">
        <v>6.7</v>
      </c>
      <c r="M832" s="14">
        <f>K832-L832</f>
        <v>2.2399999999999993</v>
      </c>
      <c r="N832" s="15">
        <f>IFERROR(M832/K832,0)</f>
        <v>0.25055928411633105</v>
      </c>
      <c r="O832" s="14">
        <f>IFERROR(L832/J832,0)</f>
        <v>1.558139534883721</v>
      </c>
      <c r="P832" s="14">
        <f>IFERROR(L832/G832,0)</f>
        <v>0.47857142857143026</v>
      </c>
      <c r="R832" s="57">
        <v>3.46</v>
      </c>
    </row>
    <row r="833" spans="1:18" x14ac:dyDescent="0.3">
      <c r="A833" s="9" t="s">
        <v>2090</v>
      </c>
      <c r="B833" s="9" t="s">
        <v>26</v>
      </c>
      <c r="C833" s="9" t="s">
        <v>27</v>
      </c>
      <c r="D833" s="52">
        <v>46149</v>
      </c>
      <c r="E833" s="48">
        <v>0.89166666666666661</v>
      </c>
      <c r="F833" s="48">
        <v>0.90347222222222223</v>
      </c>
      <c r="G833" s="43">
        <f>(F833-E833)*1440</f>
        <v>17.000000000000099</v>
      </c>
      <c r="H833" s="9" t="s">
        <v>2158</v>
      </c>
      <c r="I833" s="9" t="s">
        <v>2202</v>
      </c>
      <c r="J833" s="44">
        <v>18.7</v>
      </c>
      <c r="K833" s="60">
        <v>10.029999999999999</v>
      </c>
      <c r="L833" s="56">
        <v>7.52</v>
      </c>
      <c r="M833" s="14">
        <f>K833-L833</f>
        <v>2.5099999999999998</v>
      </c>
      <c r="N833" s="15">
        <f>IFERROR(M833/K833,0)</f>
        <v>0.25024925224327016</v>
      </c>
      <c r="O833" s="14">
        <f>IFERROR(L833/J833,0)</f>
        <v>0.4021390374331551</v>
      </c>
      <c r="P833" s="14">
        <f>IFERROR(L833/G833,0)</f>
        <v>0.44235294117646795</v>
      </c>
    </row>
    <row r="834" spans="1:18" x14ac:dyDescent="0.3">
      <c r="A834" s="9" t="s">
        <v>2082</v>
      </c>
      <c r="B834" s="9" t="s">
        <v>26</v>
      </c>
      <c r="C834" s="9" t="s">
        <v>27</v>
      </c>
      <c r="D834" s="52">
        <v>46149</v>
      </c>
      <c r="E834" s="48">
        <v>0.56111111111111112</v>
      </c>
      <c r="F834" s="48">
        <v>0.58333333333333337</v>
      </c>
      <c r="G834" s="43">
        <f>(F834-E834)*1440</f>
        <v>32.000000000000043</v>
      </c>
      <c r="H834" s="9" t="s">
        <v>2195</v>
      </c>
      <c r="I834" s="9" t="s">
        <v>599</v>
      </c>
      <c r="J834" s="44">
        <v>23.8</v>
      </c>
      <c r="K834" s="60">
        <v>13.27</v>
      </c>
      <c r="L834" s="56">
        <v>9.9499999999999993</v>
      </c>
      <c r="M834" s="14">
        <f>K834-L834</f>
        <v>3.3200000000000003</v>
      </c>
      <c r="N834" s="15">
        <f>IFERROR(M834/K834,0)</f>
        <v>0.25018839487565941</v>
      </c>
      <c r="O834" s="14">
        <f>IFERROR(L834/J834,0)</f>
        <v>0.41806722689075626</v>
      </c>
      <c r="P834" s="14">
        <f>IFERROR(L834/G834,0)</f>
        <v>0.31093749999999959</v>
      </c>
    </row>
    <row r="835" spans="1:18" x14ac:dyDescent="0.3">
      <c r="A835" s="9" t="s">
        <v>2081</v>
      </c>
      <c r="B835" s="9" t="s">
        <v>18</v>
      </c>
      <c r="C835" s="9" t="s">
        <v>184</v>
      </c>
      <c r="D835" s="52">
        <v>46149</v>
      </c>
      <c r="E835" s="48">
        <v>0.82430555555555562</v>
      </c>
      <c r="F835" s="48">
        <v>0.83888888888888891</v>
      </c>
      <c r="G835" s="43">
        <f>(F835-E835)*1440</f>
        <v>20.999999999999925</v>
      </c>
      <c r="H835" s="9" t="s">
        <v>2193</v>
      </c>
      <c r="I835" s="9" t="s">
        <v>2194</v>
      </c>
      <c r="J835" s="44">
        <v>19.489999999999998</v>
      </c>
      <c r="K835" s="60">
        <v>13.95</v>
      </c>
      <c r="L835" s="56">
        <v>9.07</v>
      </c>
      <c r="M835" s="14">
        <f>K835-L835</f>
        <v>4.879999999999999</v>
      </c>
      <c r="N835" s="15">
        <f>IFERROR(M835/K835,0)</f>
        <v>0.34982078853046589</v>
      </c>
      <c r="O835" s="14">
        <f>IFERROR(L835/J835,0)</f>
        <v>0.46536685479733203</v>
      </c>
      <c r="P835" s="14">
        <f>IFERROR(L835/G835,0)</f>
        <v>0.43190476190476346</v>
      </c>
    </row>
    <row r="836" spans="1:18" x14ac:dyDescent="0.3">
      <c r="A836" s="9" t="s">
        <v>2078</v>
      </c>
      <c r="B836" s="9" t="s">
        <v>18</v>
      </c>
      <c r="C836" s="9" t="s">
        <v>184</v>
      </c>
      <c r="D836" s="52">
        <v>46149</v>
      </c>
      <c r="E836" s="48">
        <v>0.64444444444444449</v>
      </c>
      <c r="F836" s="48">
        <v>0.65347222222222223</v>
      </c>
      <c r="G836" s="43">
        <f>(F836-E836)*1440</f>
        <v>12.999999999999954</v>
      </c>
      <c r="H836" s="9" t="s">
        <v>2189</v>
      </c>
      <c r="I836" s="9" t="s">
        <v>2190</v>
      </c>
      <c r="J836" s="44">
        <v>8.99</v>
      </c>
      <c r="K836" s="60">
        <v>6.95</v>
      </c>
      <c r="L836" s="56">
        <v>4.5199999999999996</v>
      </c>
      <c r="M836" s="14">
        <f>K836-L836</f>
        <v>2.4300000000000006</v>
      </c>
      <c r="N836" s="15">
        <f>IFERROR(M836/K836,0)</f>
        <v>0.34964028776978423</v>
      </c>
      <c r="O836" s="14">
        <f>IFERROR(L836/J836,0)</f>
        <v>0.50278086763070073</v>
      </c>
      <c r="P836" s="14">
        <f>IFERROR(L836/G836,0)</f>
        <v>0.34769230769230891</v>
      </c>
    </row>
    <row r="837" spans="1:18" x14ac:dyDescent="0.3">
      <c r="A837" s="9" t="s">
        <v>2085</v>
      </c>
      <c r="B837" s="9" t="s">
        <v>26</v>
      </c>
      <c r="C837" s="9" t="s">
        <v>27</v>
      </c>
      <c r="D837" s="52">
        <v>46149</v>
      </c>
      <c r="E837" s="48">
        <v>0.66319444444444442</v>
      </c>
      <c r="F837" s="48">
        <v>0.6777777777777777</v>
      </c>
      <c r="G837" s="43">
        <f>(F837-E837)*1440</f>
        <v>20.999999999999925</v>
      </c>
      <c r="H837" s="9" t="s">
        <v>2199</v>
      </c>
      <c r="I837" s="9" t="s">
        <v>2200</v>
      </c>
      <c r="J837" s="44">
        <v>11.3</v>
      </c>
      <c r="K837" s="60">
        <v>7.21</v>
      </c>
      <c r="L837" s="56">
        <v>5.95</v>
      </c>
      <c r="M837" s="14">
        <f>K837-L837</f>
        <v>1.2599999999999998</v>
      </c>
      <c r="N837" s="15">
        <f>IFERROR(M837/K837,0)</f>
        <v>0.17475728155339804</v>
      </c>
      <c r="O837" s="14">
        <f>IFERROR(L837/J837,0)</f>
        <v>0.52654867256637161</v>
      </c>
      <c r="P837" s="14">
        <f>IFERROR(L837/G837,0)</f>
        <v>0.28333333333333433</v>
      </c>
    </row>
    <row r="838" spans="1:18" x14ac:dyDescent="0.3">
      <c r="A838" s="9" t="s">
        <v>2076</v>
      </c>
      <c r="B838" s="9" t="s">
        <v>18</v>
      </c>
      <c r="C838" s="9" t="s">
        <v>184</v>
      </c>
      <c r="D838" s="52">
        <v>46149</v>
      </c>
      <c r="E838" s="48">
        <v>0.6</v>
      </c>
      <c r="F838" s="48">
        <v>0.6069444444444444</v>
      </c>
      <c r="G838" s="43">
        <f>(F838-E838)*1440</f>
        <v>9.9999999999999645</v>
      </c>
      <c r="H838" s="9" t="s">
        <v>2187</v>
      </c>
      <c r="I838" s="9" t="s">
        <v>1877</v>
      </c>
      <c r="J838" s="44">
        <v>7.83</v>
      </c>
      <c r="K838" s="60">
        <v>4.95</v>
      </c>
      <c r="L838" s="56">
        <v>4.1399999999999997</v>
      </c>
      <c r="M838" s="14">
        <f>K838-L838</f>
        <v>0.8100000000000005</v>
      </c>
      <c r="N838" s="15">
        <f>IFERROR(M838/K838,0)</f>
        <v>0.16363636363636372</v>
      </c>
      <c r="O838" s="14">
        <f>IFERROR(L838/J838,0)</f>
        <v>0.52873563218390796</v>
      </c>
      <c r="P838" s="14">
        <f>IFERROR(L838/G838,0)</f>
        <v>0.41400000000000142</v>
      </c>
    </row>
    <row r="839" spans="1:18" x14ac:dyDescent="0.3">
      <c r="A839" s="9" t="s">
        <v>2089</v>
      </c>
      <c r="B839" s="9" t="s">
        <v>26</v>
      </c>
      <c r="C839" s="9" t="s">
        <v>26</v>
      </c>
      <c r="D839" s="52">
        <v>46149</v>
      </c>
      <c r="E839" s="48">
        <v>0.85555555555555562</v>
      </c>
      <c r="F839" s="48">
        <v>0.87291666666666667</v>
      </c>
      <c r="G839" s="43">
        <f>(F839-E839)*1440</f>
        <v>24.999999999999911</v>
      </c>
      <c r="H839" s="9" t="s">
        <v>842</v>
      </c>
      <c r="I839" s="9" t="s">
        <v>611</v>
      </c>
      <c r="J839" s="44">
        <v>16.5</v>
      </c>
      <c r="K839" s="60">
        <v>10.53</v>
      </c>
      <c r="L839" s="56">
        <v>9.14</v>
      </c>
      <c r="M839" s="14">
        <f>K839-L839</f>
        <v>1.3899999999999988</v>
      </c>
      <c r="N839" s="15">
        <f>IFERROR(M839/K839,0)</f>
        <v>0.13200379867046522</v>
      </c>
      <c r="O839" s="14">
        <f>IFERROR(L839/J839,0)</f>
        <v>0.55393939393939395</v>
      </c>
      <c r="P839" s="14">
        <f>IFERROR(L839/G839,0)</f>
        <v>0.36560000000000131</v>
      </c>
    </row>
    <row r="840" spans="1:18" x14ac:dyDescent="0.3">
      <c r="A840" s="9" t="s">
        <v>2088</v>
      </c>
      <c r="B840" s="9" t="s">
        <v>26</v>
      </c>
      <c r="C840" s="9" t="s">
        <v>27</v>
      </c>
      <c r="D840" s="52">
        <v>46149</v>
      </c>
      <c r="E840" s="48">
        <v>0.78194444444444444</v>
      </c>
      <c r="F840" s="48">
        <v>0.80555555555555547</v>
      </c>
      <c r="G840" s="43">
        <f>(F840-E840)*1440</f>
        <v>33.999999999999879</v>
      </c>
      <c r="H840" s="9" t="s">
        <v>712</v>
      </c>
      <c r="I840" s="9" t="s">
        <v>572</v>
      </c>
      <c r="J840" s="44">
        <v>14.5</v>
      </c>
      <c r="K840" s="60">
        <v>11.33</v>
      </c>
      <c r="L840" s="56">
        <v>8.5</v>
      </c>
      <c r="M840" s="14">
        <f>K840-L840</f>
        <v>2.83</v>
      </c>
      <c r="N840" s="15">
        <f>IFERROR(M840/K840,0)</f>
        <v>0.24977934686672551</v>
      </c>
      <c r="O840" s="14">
        <f>IFERROR(L840/J840,0)</f>
        <v>0.58620689655172409</v>
      </c>
      <c r="P840" s="14">
        <f>IFERROR(L840/G840,0)</f>
        <v>0.25000000000000089</v>
      </c>
    </row>
    <row r="841" spans="1:18" x14ac:dyDescent="0.3">
      <c r="A841" s="9" t="s">
        <v>2086</v>
      </c>
      <c r="B841" s="9" t="s">
        <v>26</v>
      </c>
      <c r="C841" s="9" t="s">
        <v>27</v>
      </c>
      <c r="D841" s="52">
        <v>46149</v>
      </c>
      <c r="E841" s="48">
        <v>0.68611111111111101</v>
      </c>
      <c r="F841" s="48">
        <v>0.69652777777777775</v>
      </c>
      <c r="G841" s="43">
        <f>(F841-E841)*1440</f>
        <v>15.000000000000107</v>
      </c>
      <c r="H841" s="9" t="s">
        <v>2201</v>
      </c>
      <c r="I841" s="9" t="s">
        <v>584</v>
      </c>
      <c r="J841" s="44">
        <v>6.3</v>
      </c>
      <c r="K841" s="60">
        <v>5.33</v>
      </c>
      <c r="L841" s="56">
        <v>4</v>
      </c>
      <c r="M841" s="14">
        <f>K841-L841</f>
        <v>1.33</v>
      </c>
      <c r="N841" s="15">
        <f>IFERROR(M841/K841,0)</f>
        <v>0.24953095684803003</v>
      </c>
      <c r="O841" s="14">
        <f>IFERROR(L841/J841,0)</f>
        <v>0.63492063492063489</v>
      </c>
      <c r="P841" s="14">
        <f>IFERROR(L841/G841,0)</f>
        <v>0.26666666666666478</v>
      </c>
    </row>
    <row r="842" spans="1:18" x14ac:dyDescent="0.3">
      <c r="A842" s="9" t="s">
        <v>2084</v>
      </c>
      <c r="B842" s="9" t="s">
        <v>26</v>
      </c>
      <c r="C842" s="9" t="s">
        <v>27</v>
      </c>
      <c r="D842" s="52">
        <v>46149</v>
      </c>
      <c r="E842" s="48">
        <v>0.62916666666666665</v>
      </c>
      <c r="F842" s="48">
        <v>0.63611111111111118</v>
      </c>
      <c r="G842" s="43">
        <f>(F842-E842)*1440</f>
        <v>10.000000000000124</v>
      </c>
      <c r="H842" s="9" t="s">
        <v>2197</v>
      </c>
      <c r="I842" s="9" t="s">
        <v>2198</v>
      </c>
      <c r="J842" s="44">
        <v>5.2</v>
      </c>
      <c r="K842" s="60">
        <v>4.59</v>
      </c>
      <c r="L842" s="56">
        <v>3.44</v>
      </c>
      <c r="M842" s="14">
        <f>K842-L842</f>
        <v>1.1499999999999999</v>
      </c>
      <c r="N842" s="15">
        <f>IFERROR(M842/K842,0)</f>
        <v>0.25054466230936817</v>
      </c>
      <c r="O842" s="14">
        <f>IFERROR(L842/J842,0)</f>
        <v>0.66153846153846152</v>
      </c>
      <c r="P842" s="14">
        <f>IFERROR(L842/G842,0)</f>
        <v>0.3439999999999957</v>
      </c>
    </row>
    <row r="843" spans="1:18" x14ac:dyDescent="0.3">
      <c r="A843" s="9" t="s">
        <v>2087</v>
      </c>
      <c r="B843" s="9" t="s">
        <v>26</v>
      </c>
      <c r="C843" s="9" t="s">
        <v>26</v>
      </c>
      <c r="D843" s="52">
        <v>46149</v>
      </c>
      <c r="E843" s="48">
        <v>0.7597222222222223</v>
      </c>
      <c r="F843" s="48">
        <v>0.77569444444444446</v>
      </c>
      <c r="G843" s="43">
        <f>(F843-E843)*1440</f>
        <v>22.999999999999918</v>
      </c>
      <c r="H843" s="9" t="s">
        <v>878</v>
      </c>
      <c r="I843" s="9" t="s">
        <v>1162</v>
      </c>
      <c r="J843" s="44">
        <v>10.8</v>
      </c>
      <c r="K843" s="60">
        <v>8.25</v>
      </c>
      <c r="L843" s="56">
        <v>7.73</v>
      </c>
      <c r="M843" s="14">
        <f>K843-L843</f>
        <v>0.51999999999999957</v>
      </c>
      <c r="N843" s="15">
        <f>IFERROR(M843/K843,0)</f>
        <v>6.3030303030302978E-2</v>
      </c>
      <c r="O843" s="14">
        <f>IFERROR(L843/J843,0)</f>
        <v>0.71574074074074079</v>
      </c>
      <c r="P843" s="14">
        <f>IFERROR(L843/G843,0)</f>
        <v>0.33608695652174037</v>
      </c>
    </row>
    <row r="844" spans="1:18" x14ac:dyDescent="0.3">
      <c r="A844" s="9" t="s">
        <v>2083</v>
      </c>
      <c r="B844" s="9" t="s">
        <v>26</v>
      </c>
      <c r="C844" s="9" t="s">
        <v>27</v>
      </c>
      <c r="D844" s="52">
        <v>46149</v>
      </c>
      <c r="E844" s="48">
        <v>0.59027777777777779</v>
      </c>
      <c r="F844" s="48">
        <v>0.6</v>
      </c>
      <c r="G844" s="43">
        <f>(F844-E844)*1440</f>
        <v>13.99999999999995</v>
      </c>
      <c r="H844" s="9" t="s">
        <v>2196</v>
      </c>
      <c r="I844" s="9" t="s">
        <v>225</v>
      </c>
      <c r="J844" s="44">
        <v>5.5</v>
      </c>
      <c r="K844" s="60">
        <v>5.71</v>
      </c>
      <c r="L844" s="56">
        <v>4.71</v>
      </c>
      <c r="M844" s="14">
        <f>K844-L844</f>
        <v>1</v>
      </c>
      <c r="N844" s="15">
        <f>IFERROR(M844/K844,0)</f>
        <v>0.17513134851138354</v>
      </c>
      <c r="O844" s="14">
        <f>IFERROR(L844/J844,0)</f>
        <v>0.85636363636363633</v>
      </c>
      <c r="P844" s="14">
        <f>IFERROR(L844/G844,0)</f>
        <v>0.33642857142857263</v>
      </c>
    </row>
    <row r="845" spans="1:18" x14ac:dyDescent="0.3">
      <c r="A845" s="9" t="s">
        <v>2080</v>
      </c>
      <c r="B845" s="9" t="s">
        <v>18</v>
      </c>
      <c r="C845" s="9" t="s">
        <v>196</v>
      </c>
      <c r="D845" s="52">
        <v>46149</v>
      </c>
      <c r="E845" s="48">
        <v>0.71250000000000002</v>
      </c>
      <c r="F845" s="48">
        <v>0.72430555555555554</v>
      </c>
      <c r="G845" s="43">
        <f>(F845-E845)*1440</f>
        <v>16.99999999999994</v>
      </c>
      <c r="H845" s="9" t="s">
        <v>2192</v>
      </c>
      <c r="I845" s="9" t="s">
        <v>1722</v>
      </c>
      <c r="J845" s="44">
        <v>5.22</v>
      </c>
      <c r="K845" s="60">
        <v>5.98</v>
      </c>
      <c r="L845" s="56">
        <v>5.07</v>
      </c>
      <c r="M845" s="14">
        <f>K845-L845</f>
        <v>0.91000000000000014</v>
      </c>
      <c r="N845" s="15">
        <f>IFERROR(M845/K845,0)</f>
        <v>0.15217391304347827</v>
      </c>
      <c r="O845" s="14">
        <f>IFERROR(L845/J845,0)</f>
        <v>0.97126436781609204</v>
      </c>
      <c r="P845" s="14">
        <f>IFERROR(L845/G845,0)</f>
        <v>0.29823529411764815</v>
      </c>
      <c r="R845" s="57">
        <v>0.5</v>
      </c>
    </row>
    <row r="846" spans="1:18" x14ac:dyDescent="0.3">
      <c r="A846" s="9" t="s">
        <v>2079</v>
      </c>
      <c r="B846" s="9" t="s">
        <v>18</v>
      </c>
      <c r="C846" s="9" t="s">
        <v>196</v>
      </c>
      <c r="D846" s="52">
        <v>46149</v>
      </c>
      <c r="E846" s="48">
        <v>0.69791666666666663</v>
      </c>
      <c r="F846" s="48">
        <v>0.7104166666666667</v>
      </c>
      <c r="G846" s="43">
        <f>(F846-E846)*1440</f>
        <v>18.000000000000096</v>
      </c>
      <c r="H846" s="9" t="s">
        <v>2191</v>
      </c>
      <c r="I846" s="9" t="s">
        <v>1314</v>
      </c>
      <c r="J846" s="44">
        <v>6.09</v>
      </c>
      <c r="K846" s="60">
        <v>8.98</v>
      </c>
      <c r="L846" s="56">
        <v>6.26</v>
      </c>
      <c r="M846" s="14">
        <f>K846-L846</f>
        <v>2.7200000000000006</v>
      </c>
      <c r="N846" s="15">
        <f>IFERROR(M846/K846,0)</f>
        <v>0.30289532293986643</v>
      </c>
      <c r="O846" s="14">
        <f>IFERROR(L846/J846,0)</f>
        <v>1.0279146141215108</v>
      </c>
      <c r="P846" s="14">
        <f>IFERROR(L846/G846,0)</f>
        <v>0.34777777777777591</v>
      </c>
    </row>
    <row r="847" spans="1:18" x14ac:dyDescent="0.3">
      <c r="A847" s="9" t="s">
        <v>2077</v>
      </c>
      <c r="B847" s="9" t="s">
        <v>18</v>
      </c>
      <c r="C847" s="9" t="s">
        <v>184</v>
      </c>
      <c r="D847" s="52">
        <v>46149</v>
      </c>
      <c r="E847" s="48">
        <v>0.63680555555555551</v>
      </c>
      <c r="F847" s="48">
        <v>0.64236111111111105</v>
      </c>
      <c r="G847" s="43">
        <f>(F847-E847)*1440</f>
        <v>7.9999999999999716</v>
      </c>
      <c r="H847" s="9" t="s">
        <v>2188</v>
      </c>
      <c r="I847" s="9" t="s">
        <v>1793</v>
      </c>
      <c r="J847" s="44">
        <v>2.74</v>
      </c>
      <c r="K847" s="60">
        <v>3.95</v>
      </c>
      <c r="L847" s="56">
        <v>3.21</v>
      </c>
      <c r="M847" s="14">
        <f>K847-L847</f>
        <v>0.74000000000000021</v>
      </c>
      <c r="N847" s="15">
        <f>IFERROR(M847/K847,0)</f>
        <v>0.18734177215189879</v>
      </c>
      <c r="O847" s="14">
        <f>IFERROR(L847/J847,0)</f>
        <v>1.1715328467153283</v>
      </c>
      <c r="P847" s="14">
        <f>IFERROR(L847/G847,0)</f>
        <v>0.40125000000000144</v>
      </c>
    </row>
    <row r="848" spans="1:18" x14ac:dyDescent="0.3">
      <c r="A848" s="9" t="s">
        <v>2107</v>
      </c>
      <c r="B848" s="9" t="s">
        <v>18</v>
      </c>
      <c r="C848" s="9" t="s">
        <v>184</v>
      </c>
      <c r="D848" s="52">
        <v>46150</v>
      </c>
      <c r="E848" s="48">
        <v>0.8666666666666667</v>
      </c>
      <c r="F848" s="48">
        <v>0.87847222222222221</v>
      </c>
      <c r="G848" s="43">
        <f>(F848-E848)*1440</f>
        <v>16.99999999999994</v>
      </c>
      <c r="H848" s="9" t="s">
        <v>584</v>
      </c>
      <c r="I848" s="9" t="s">
        <v>2226</v>
      </c>
      <c r="J848" s="44">
        <v>19.559999999999999</v>
      </c>
      <c r="K848" s="60">
        <v>12.1</v>
      </c>
      <c r="L848" s="56">
        <v>7.12</v>
      </c>
      <c r="M848" s="14">
        <f>K848-L848</f>
        <v>4.9799999999999995</v>
      </c>
      <c r="N848" s="15">
        <f>IFERROR(M848/K848,0)</f>
        <v>0.41157024793388425</v>
      </c>
      <c r="O848" s="14">
        <f>IFERROR(L848/J848,0)</f>
        <v>0.36400817995910023</v>
      </c>
      <c r="P848" s="14">
        <f>IFERROR(L848/G848,0)</f>
        <v>0.4188235294117662</v>
      </c>
    </row>
    <row r="849" spans="1:19" x14ac:dyDescent="0.3">
      <c r="A849" s="9" t="s">
        <v>2092</v>
      </c>
      <c r="B849" s="9" t="s">
        <v>26</v>
      </c>
      <c r="C849" s="9" t="s">
        <v>27</v>
      </c>
      <c r="D849" s="52">
        <v>46150</v>
      </c>
      <c r="E849" s="48">
        <v>0.60069444444444442</v>
      </c>
      <c r="F849" s="48">
        <v>0.61597222222222225</v>
      </c>
      <c r="G849" s="43">
        <f>(F849-E849)*1440</f>
        <v>22.000000000000082</v>
      </c>
      <c r="H849" s="9" t="s">
        <v>530</v>
      </c>
      <c r="I849" s="9" t="s">
        <v>2205</v>
      </c>
      <c r="J849" s="44">
        <v>12.6</v>
      </c>
      <c r="K849" s="60">
        <v>8.1199999999999992</v>
      </c>
      <c r="L849" s="56">
        <v>6.09</v>
      </c>
      <c r="M849" s="14">
        <f>K849-L849</f>
        <v>2.0299999999999994</v>
      </c>
      <c r="N849" s="15">
        <f>IFERROR(M849/K849,0)</f>
        <v>0.24999999999999994</v>
      </c>
      <c r="O849" s="14">
        <f>IFERROR(L849/J849,0)</f>
        <v>0.48333333333333334</v>
      </c>
      <c r="P849" s="14">
        <f>IFERROR(L849/G849,0)</f>
        <v>0.2768181818181808</v>
      </c>
    </row>
    <row r="850" spans="1:19" x14ac:dyDescent="0.3">
      <c r="A850" s="9" t="s">
        <v>2106</v>
      </c>
      <c r="B850" s="9" t="s">
        <v>18</v>
      </c>
      <c r="C850" s="9" t="s">
        <v>184</v>
      </c>
      <c r="D850" s="52">
        <v>46150</v>
      </c>
      <c r="E850" s="48">
        <v>0.83263888888888893</v>
      </c>
      <c r="F850" s="48">
        <v>0.8534722222222223</v>
      </c>
      <c r="G850" s="43">
        <f>(F850-E850)*1440</f>
        <v>30.000000000000053</v>
      </c>
      <c r="H850" s="9" t="s">
        <v>2224</v>
      </c>
      <c r="I850" s="9" t="s">
        <v>2225</v>
      </c>
      <c r="J850" s="44">
        <v>14.93</v>
      </c>
      <c r="K850" s="60">
        <v>10.95</v>
      </c>
      <c r="L850" s="56">
        <v>8.2200000000000006</v>
      </c>
      <c r="M850" s="14">
        <f>K850-L850</f>
        <v>2.7299999999999986</v>
      </c>
      <c r="N850" s="15">
        <f>IFERROR(M850/K850,0)</f>
        <v>0.24931506849315058</v>
      </c>
      <c r="O850" s="14">
        <f>IFERROR(L850/J850,0)</f>
        <v>0.55056932350971199</v>
      </c>
      <c r="P850" s="14">
        <f>IFERROR(L850/G850,0)</f>
        <v>0.27399999999999952</v>
      </c>
    </row>
    <row r="851" spans="1:19" x14ac:dyDescent="0.3">
      <c r="A851" s="9" t="s">
        <v>2098</v>
      </c>
      <c r="B851" s="9" t="s">
        <v>18</v>
      </c>
      <c r="C851" s="9" t="s">
        <v>184</v>
      </c>
      <c r="D851" s="52">
        <v>46150</v>
      </c>
      <c r="E851" s="48">
        <v>0.61527777777777781</v>
      </c>
      <c r="F851" s="48">
        <v>0.625</v>
      </c>
      <c r="G851" s="43">
        <f>(F851-E851)*1440</f>
        <v>13.99999999999995</v>
      </c>
      <c r="H851" s="9" t="s">
        <v>235</v>
      </c>
      <c r="I851" s="9" t="s">
        <v>698</v>
      </c>
      <c r="J851" s="44">
        <v>7.43</v>
      </c>
      <c r="K851" s="60">
        <v>5.95</v>
      </c>
      <c r="L851" s="56">
        <v>4.37</v>
      </c>
      <c r="M851" s="14">
        <f>K851-L851</f>
        <v>1.58</v>
      </c>
      <c r="N851" s="15">
        <f>IFERROR(M851/K851,0)</f>
        <v>0.26554621848739496</v>
      </c>
      <c r="O851" s="14">
        <f>IFERROR(L851/J851,0)</f>
        <v>0.58815612382234195</v>
      </c>
      <c r="P851" s="14">
        <f>IFERROR(L851/G851,0)</f>
        <v>0.31214285714285828</v>
      </c>
      <c r="S851" s="61">
        <v>2</v>
      </c>
    </row>
    <row r="852" spans="1:19" x14ac:dyDescent="0.3">
      <c r="A852" s="9" t="s">
        <v>2102</v>
      </c>
      <c r="B852" s="9" t="s">
        <v>18</v>
      </c>
      <c r="C852" s="9" t="s">
        <v>184</v>
      </c>
      <c r="D852" s="52">
        <v>46150</v>
      </c>
      <c r="E852" s="48">
        <v>0.70763888888888893</v>
      </c>
      <c r="F852" s="48">
        <v>0.71875</v>
      </c>
      <c r="G852" s="43">
        <f>(F852-E852)*1440</f>
        <v>15.999999999999943</v>
      </c>
      <c r="H852" s="9" t="s">
        <v>2217</v>
      </c>
      <c r="I852" s="9" t="s">
        <v>2218</v>
      </c>
      <c r="J852" s="44">
        <v>8.83</v>
      </c>
      <c r="K852" s="60">
        <v>7.96</v>
      </c>
      <c r="L852" s="56">
        <v>5.33</v>
      </c>
      <c r="M852" s="14">
        <f>K852-L852</f>
        <v>2.63</v>
      </c>
      <c r="N852" s="15">
        <f>IFERROR(M852/K852,0)</f>
        <v>0.33040201005025127</v>
      </c>
      <c r="O852" s="14">
        <f>IFERROR(L852/J852,0)</f>
        <v>0.60362400906002267</v>
      </c>
      <c r="P852" s="14">
        <f>IFERROR(L852/G852,0)</f>
        <v>0.33312500000000117</v>
      </c>
    </row>
    <row r="853" spans="1:19" x14ac:dyDescent="0.3">
      <c r="A853" s="9" t="s">
        <v>2094</v>
      </c>
      <c r="B853" s="9" t="s">
        <v>26</v>
      </c>
      <c r="C853" s="9" t="s">
        <v>26</v>
      </c>
      <c r="D853" s="52">
        <v>46150</v>
      </c>
      <c r="E853" s="48">
        <v>0.69513888888888886</v>
      </c>
      <c r="F853" s="48">
        <v>0.70624999999999993</v>
      </c>
      <c r="G853" s="43">
        <f>(F853-E853)*1440</f>
        <v>15.999999999999943</v>
      </c>
      <c r="H853" s="9" t="s">
        <v>2207</v>
      </c>
      <c r="I853" s="9" t="s">
        <v>843</v>
      </c>
      <c r="J853" s="44">
        <v>11.6</v>
      </c>
      <c r="K853" s="60">
        <v>7.17</v>
      </c>
      <c r="L853" s="56">
        <v>7.39</v>
      </c>
      <c r="M853" s="14">
        <f>K853-L853</f>
        <v>-0.21999999999999975</v>
      </c>
      <c r="N853" s="15">
        <f>IFERROR(M853/K853,0)</f>
        <v>-3.0683403068340272E-2</v>
      </c>
      <c r="O853" s="14">
        <f>IFERROR(L853/J853,0)</f>
        <v>0.63706896551724135</v>
      </c>
      <c r="P853" s="14">
        <f>IFERROR(L853/G853,0)</f>
        <v>0.46187500000000165</v>
      </c>
    </row>
    <row r="854" spans="1:19" x14ac:dyDescent="0.3">
      <c r="A854" s="9" t="s">
        <v>2101</v>
      </c>
      <c r="B854" s="9" t="s">
        <v>18</v>
      </c>
      <c r="C854" s="9" t="s">
        <v>184</v>
      </c>
      <c r="D854" s="52">
        <v>46150</v>
      </c>
      <c r="E854" s="48">
        <v>0.67708333333333337</v>
      </c>
      <c r="F854" s="48">
        <v>0.68611111111111101</v>
      </c>
      <c r="G854" s="43">
        <f>(F854-E854)*1440</f>
        <v>12.999999999999794</v>
      </c>
      <c r="H854" s="9" t="s">
        <v>2215</v>
      </c>
      <c r="I854" s="9" t="s">
        <v>2216</v>
      </c>
      <c r="J854" s="44">
        <v>8.06</v>
      </c>
      <c r="K854" s="60">
        <v>5.93</v>
      </c>
      <c r="L854" s="56">
        <v>5.49</v>
      </c>
      <c r="M854" s="14">
        <f>K854-L854</f>
        <v>0.4399999999999995</v>
      </c>
      <c r="N854" s="15">
        <f>IFERROR(M854/K854,0)</f>
        <v>7.4198988195615434E-2</v>
      </c>
      <c r="O854" s="14">
        <f>IFERROR(L854/J854,0)</f>
        <v>0.68114143920595527</v>
      </c>
      <c r="P854" s="14">
        <f>IFERROR(L854/G854,0)</f>
        <v>0.42230769230769905</v>
      </c>
    </row>
    <row r="855" spans="1:19" x14ac:dyDescent="0.3">
      <c r="A855" s="9" t="s">
        <v>2093</v>
      </c>
      <c r="B855" s="9" t="s">
        <v>26</v>
      </c>
      <c r="C855" s="9" t="s">
        <v>27</v>
      </c>
      <c r="D855" s="52">
        <v>46150</v>
      </c>
      <c r="E855" s="48">
        <v>0.65833333333333333</v>
      </c>
      <c r="F855" s="48">
        <v>0.67152777777777783</v>
      </c>
      <c r="G855" s="43">
        <f>(F855-E855)*1440</f>
        <v>19.000000000000092</v>
      </c>
      <c r="H855" s="9" t="s">
        <v>2206</v>
      </c>
      <c r="I855" s="9" t="s">
        <v>616</v>
      </c>
      <c r="J855" s="44">
        <v>7</v>
      </c>
      <c r="K855" s="60">
        <v>6.37</v>
      </c>
      <c r="L855" s="56">
        <v>4.78</v>
      </c>
      <c r="M855" s="14">
        <f>K855-L855</f>
        <v>1.5899999999999999</v>
      </c>
      <c r="N855" s="15">
        <f>IFERROR(M855/K855,0)</f>
        <v>0.24960753532182101</v>
      </c>
      <c r="O855" s="14">
        <f>IFERROR(L855/J855,0)</f>
        <v>0.68285714285714294</v>
      </c>
      <c r="P855" s="14">
        <f>IFERROR(L855/G855,0)</f>
        <v>0.25157894736841985</v>
      </c>
    </row>
    <row r="856" spans="1:19" x14ac:dyDescent="0.3">
      <c r="A856" s="9" t="s">
        <v>2096</v>
      </c>
      <c r="B856" s="9" t="s">
        <v>18</v>
      </c>
      <c r="C856" s="9" t="s">
        <v>184</v>
      </c>
      <c r="D856" s="52">
        <v>46150</v>
      </c>
      <c r="E856" s="48">
        <v>0.56805555555555554</v>
      </c>
      <c r="F856" s="48">
        <v>0.57291666666666663</v>
      </c>
      <c r="G856" s="43">
        <f>(F856-E856)*1440</f>
        <v>6.9999999999999751</v>
      </c>
      <c r="H856" s="9" t="s">
        <v>2209</v>
      </c>
      <c r="I856" s="9" t="s">
        <v>2174</v>
      </c>
      <c r="J856" s="44">
        <v>4.7699999999999996</v>
      </c>
      <c r="K856" s="60">
        <v>4.95</v>
      </c>
      <c r="L856" s="56">
        <v>3.43</v>
      </c>
      <c r="M856" s="14">
        <f>K856-L856</f>
        <v>1.52</v>
      </c>
      <c r="N856" s="15">
        <f>IFERROR(M856/K856,0)</f>
        <v>0.30707070707070705</v>
      </c>
      <c r="O856" s="14">
        <f>IFERROR(L856/J856,0)</f>
        <v>0.71907756813417201</v>
      </c>
      <c r="P856" s="14">
        <f>IFERROR(L856/G856,0)</f>
        <v>0.49000000000000177</v>
      </c>
    </row>
    <row r="857" spans="1:19" x14ac:dyDescent="0.3">
      <c r="A857" s="9" t="s">
        <v>2105</v>
      </c>
      <c r="B857" s="9" t="s">
        <v>18</v>
      </c>
      <c r="C857" s="9" t="s">
        <v>196</v>
      </c>
      <c r="D857" s="52">
        <v>46150</v>
      </c>
      <c r="E857" s="48">
        <v>0.79166666666666663</v>
      </c>
      <c r="F857" s="48">
        <v>0.80208333333333337</v>
      </c>
      <c r="G857" s="43">
        <f>(F857-E857)*1440</f>
        <v>15.000000000000107</v>
      </c>
      <c r="H857" s="9" t="s">
        <v>2222</v>
      </c>
      <c r="I857" s="9" t="s">
        <v>2223</v>
      </c>
      <c r="J857" s="44">
        <v>9.44</v>
      </c>
      <c r="K857" s="60">
        <v>9.9700000000000006</v>
      </c>
      <c r="L857" s="56">
        <v>7.91</v>
      </c>
      <c r="M857" s="14">
        <f>K857-L857</f>
        <v>2.0600000000000005</v>
      </c>
      <c r="N857" s="15">
        <f>IFERROR(M857/K857,0)</f>
        <v>0.20661985957873624</v>
      </c>
      <c r="O857" s="14">
        <f>IFERROR(L857/J857,0)</f>
        <v>0.83792372881355937</v>
      </c>
      <c r="P857" s="14">
        <f>IFERROR(L857/G857,0)</f>
        <v>0.52733333333332955</v>
      </c>
      <c r="S857" s="61">
        <v>1</v>
      </c>
    </row>
    <row r="858" spans="1:19" x14ac:dyDescent="0.3">
      <c r="A858" s="9" t="s">
        <v>2095</v>
      </c>
      <c r="B858" s="9" t="s">
        <v>26</v>
      </c>
      <c r="C858" s="9" t="s">
        <v>27</v>
      </c>
      <c r="D858" s="52">
        <v>46150</v>
      </c>
      <c r="E858" s="48">
        <v>0.77847222222222223</v>
      </c>
      <c r="F858" s="48">
        <v>0.7909722222222223</v>
      </c>
      <c r="G858" s="43">
        <f>(F858-E858)*1440</f>
        <v>18.000000000000096</v>
      </c>
      <c r="H858" s="9" t="s">
        <v>216</v>
      </c>
      <c r="I858" s="9" t="s">
        <v>2208</v>
      </c>
      <c r="J858" s="44">
        <v>8.6</v>
      </c>
      <c r="K858" s="60">
        <v>9.77</v>
      </c>
      <c r="L858" s="56">
        <v>7.33</v>
      </c>
      <c r="M858" s="14">
        <f>K858-L858</f>
        <v>2.4399999999999995</v>
      </c>
      <c r="N858" s="15">
        <f>IFERROR(M858/K858,0)</f>
        <v>0.24974411463664276</v>
      </c>
      <c r="O858" s="14">
        <f>IFERROR(L858/J858,0)</f>
        <v>0.85232558139534886</v>
      </c>
      <c r="P858" s="14">
        <f>IFERROR(L858/G858,0)</f>
        <v>0.40722222222222004</v>
      </c>
    </row>
    <row r="859" spans="1:19" x14ac:dyDescent="0.3">
      <c r="A859" s="9" t="s">
        <v>2103</v>
      </c>
      <c r="B859" s="9" t="s">
        <v>18</v>
      </c>
      <c r="C859" s="9" t="s">
        <v>196</v>
      </c>
      <c r="D859" s="52">
        <v>46150</v>
      </c>
      <c r="E859" s="48">
        <v>0.73333333333333339</v>
      </c>
      <c r="F859" s="48">
        <v>0.75277777777777777</v>
      </c>
      <c r="G859" s="43">
        <f>(F859-E859)*1440</f>
        <v>27.999999999999901</v>
      </c>
      <c r="H859" s="9" t="s">
        <v>2219</v>
      </c>
      <c r="I859" s="9" t="s">
        <v>2220</v>
      </c>
      <c r="J859" s="44">
        <v>12.49</v>
      </c>
      <c r="K859" s="60">
        <v>11.3</v>
      </c>
      <c r="L859" s="56">
        <v>10.75</v>
      </c>
      <c r="M859" s="14">
        <f>K859-L859</f>
        <v>0.55000000000000071</v>
      </c>
      <c r="N859" s="15">
        <f>IFERROR(M859/K859,0)</f>
        <v>4.8672566371681478E-2</v>
      </c>
      <c r="O859" s="14">
        <f>IFERROR(L859/J859,0)</f>
        <v>0.86068855084067253</v>
      </c>
      <c r="P859" s="14">
        <f>IFERROR(L859/G859,0)</f>
        <v>0.38392857142857278</v>
      </c>
    </row>
    <row r="860" spans="1:19" x14ac:dyDescent="0.3">
      <c r="A860" s="9" t="s">
        <v>2097</v>
      </c>
      <c r="B860" s="9" t="s">
        <v>538</v>
      </c>
      <c r="C860" s="9" t="s">
        <v>184</v>
      </c>
      <c r="D860" s="52">
        <v>46150</v>
      </c>
      <c r="E860" s="48">
        <v>0.58402777777777781</v>
      </c>
      <c r="F860" s="48">
        <v>0.58958333333333335</v>
      </c>
      <c r="G860" s="43">
        <f>(F860-E860)*1440</f>
        <v>7.9999999999999716</v>
      </c>
      <c r="H860" s="9" t="s">
        <v>2210</v>
      </c>
      <c r="I860" s="9" t="s">
        <v>2211</v>
      </c>
      <c r="J860" s="44">
        <v>3.9</v>
      </c>
      <c r="K860" s="60">
        <v>4.95</v>
      </c>
      <c r="L860" s="56">
        <v>3.38</v>
      </c>
      <c r="M860" s="14">
        <f>K860-L860</f>
        <v>1.5700000000000003</v>
      </c>
      <c r="N860" s="15">
        <f>IFERROR(M860/K860,0)</f>
        <v>0.31717171717171722</v>
      </c>
      <c r="O860" s="14">
        <f>IFERROR(L860/J860,0)</f>
        <v>0.8666666666666667</v>
      </c>
      <c r="P860" s="14">
        <f>IFERROR(L860/G860,0)</f>
        <v>0.42250000000000149</v>
      </c>
    </row>
    <row r="861" spans="1:19" x14ac:dyDescent="0.3">
      <c r="A861" s="9" t="s">
        <v>2091</v>
      </c>
      <c r="B861" s="9" t="s">
        <v>26</v>
      </c>
      <c r="C861" s="9" t="s">
        <v>26</v>
      </c>
      <c r="D861" s="52">
        <v>46150</v>
      </c>
      <c r="E861" s="48">
        <v>0.56111111111111112</v>
      </c>
      <c r="F861" s="48">
        <v>0.56597222222222221</v>
      </c>
      <c r="G861" s="43">
        <f>(F861-E861)*1440</f>
        <v>6.9999999999999751</v>
      </c>
      <c r="H861" s="9" t="s">
        <v>2203</v>
      </c>
      <c r="I861" s="9" t="s">
        <v>2204</v>
      </c>
      <c r="J861" s="44">
        <v>3.7</v>
      </c>
      <c r="K861" s="60">
        <v>3.52</v>
      </c>
      <c r="L861" s="56">
        <v>3.63</v>
      </c>
      <c r="M861" s="14">
        <f>K861-L861</f>
        <v>-0.10999999999999988</v>
      </c>
      <c r="N861" s="15">
        <f>IFERROR(M861/K861,0)</f>
        <v>-3.1249999999999965E-2</v>
      </c>
      <c r="O861" s="14">
        <f>IFERROR(L861/J861,0)</f>
        <v>0.98108108108108105</v>
      </c>
      <c r="P861" s="14">
        <f>IFERROR(L861/G861,0)</f>
        <v>0.51857142857143035</v>
      </c>
    </row>
    <row r="862" spans="1:19" x14ac:dyDescent="0.3">
      <c r="A862" s="9" t="s">
        <v>2099</v>
      </c>
      <c r="B862" s="9" t="s">
        <v>18</v>
      </c>
      <c r="C862" s="9" t="s">
        <v>184</v>
      </c>
      <c r="D862" s="52">
        <v>46150</v>
      </c>
      <c r="E862" s="48">
        <v>0.62638888888888888</v>
      </c>
      <c r="F862" s="48">
        <v>0.63611111111111118</v>
      </c>
      <c r="G862" s="43">
        <f>(F862-E862)*1440</f>
        <v>14.00000000000011</v>
      </c>
      <c r="H862" s="9" t="s">
        <v>2212</v>
      </c>
      <c r="I862" s="9" t="s">
        <v>2213</v>
      </c>
      <c r="J862" s="44">
        <v>7.97</v>
      </c>
      <c r="K862" s="60">
        <v>9.9499999999999993</v>
      </c>
      <c r="L862" s="56">
        <v>7.93</v>
      </c>
      <c r="M862" s="14">
        <f>K862-L862</f>
        <v>2.0199999999999996</v>
      </c>
      <c r="N862" s="15">
        <f>IFERROR(M862/K862,0)</f>
        <v>0.2030150753768844</v>
      </c>
      <c r="O862" s="14">
        <f>IFERROR(L862/J862,0)</f>
        <v>0.99498117942283559</v>
      </c>
      <c r="P862" s="14">
        <f>IFERROR(L862/G862,0)</f>
        <v>0.56642857142856695</v>
      </c>
    </row>
    <row r="863" spans="1:19" x14ac:dyDescent="0.3">
      <c r="A863" s="9" t="s">
        <v>2104</v>
      </c>
      <c r="B863" s="9" t="s">
        <v>18</v>
      </c>
      <c r="C863" s="9" t="s">
        <v>196</v>
      </c>
      <c r="D863" s="52">
        <v>46150</v>
      </c>
      <c r="E863" s="48">
        <v>0.76458333333333339</v>
      </c>
      <c r="F863" s="48">
        <v>0.77222222222222225</v>
      </c>
      <c r="G863" s="43">
        <f>(F863-E863)*1440</f>
        <v>10.999999999999961</v>
      </c>
      <c r="H863" s="9" t="s">
        <v>2221</v>
      </c>
      <c r="I863" s="9" t="s">
        <v>234</v>
      </c>
      <c r="J863" s="44">
        <v>4.93</v>
      </c>
      <c r="K863" s="60">
        <v>5.97</v>
      </c>
      <c r="L863" s="56">
        <v>4.9800000000000004</v>
      </c>
      <c r="M863" s="14">
        <f>K863-L863</f>
        <v>0.98999999999999932</v>
      </c>
      <c r="N863" s="15">
        <f>IFERROR(M863/K863,0)</f>
        <v>0.1658291457286431</v>
      </c>
      <c r="O863" s="14">
        <f>IFERROR(L863/J863,0)</f>
        <v>1.0101419878296147</v>
      </c>
      <c r="P863" s="14">
        <f>IFERROR(L863/G863,0)</f>
        <v>0.45272727272727437</v>
      </c>
    </row>
    <row r="864" spans="1:19" x14ac:dyDescent="0.3">
      <c r="A864" s="9" t="s">
        <v>2100</v>
      </c>
      <c r="B864" s="9" t="s">
        <v>18</v>
      </c>
      <c r="C864" s="9" t="s">
        <v>196</v>
      </c>
      <c r="D864" s="52">
        <v>46150</v>
      </c>
      <c r="E864" s="48">
        <v>0.67222222222222217</v>
      </c>
      <c r="F864" s="48">
        <v>0.67847222222222225</v>
      </c>
      <c r="G864" s="43">
        <f>(F864-E864)*1440</f>
        <v>9.0000000000001279</v>
      </c>
      <c r="H864" s="9" t="s">
        <v>2214</v>
      </c>
      <c r="I864" s="9" t="s">
        <v>701</v>
      </c>
      <c r="J864" s="44">
        <v>3.34</v>
      </c>
      <c r="K864" s="60">
        <v>5.98</v>
      </c>
      <c r="L864" s="56">
        <v>4.12</v>
      </c>
      <c r="M864" s="14">
        <f>K864-L864</f>
        <v>1.8600000000000003</v>
      </c>
      <c r="N864" s="15">
        <f>IFERROR(M864/K864,0)</f>
        <v>0.31103678929765888</v>
      </c>
      <c r="O864" s="14">
        <f>IFERROR(L864/J864,0)</f>
        <v>1.2335329341317367</v>
      </c>
      <c r="P864" s="14">
        <f>IFERROR(L864/G864,0)</f>
        <v>0.45777777777777129</v>
      </c>
    </row>
    <row r="865" spans="1:19" x14ac:dyDescent="0.3">
      <c r="A865" s="9" t="s">
        <v>2116</v>
      </c>
      <c r="B865" s="9" t="s">
        <v>26</v>
      </c>
      <c r="C865" s="9" t="s">
        <v>27</v>
      </c>
      <c r="D865" s="52">
        <v>46151</v>
      </c>
      <c r="E865" s="48">
        <v>0.80069444444444438</v>
      </c>
      <c r="F865" s="48">
        <v>0.81736111111111109</v>
      </c>
      <c r="G865" s="43">
        <f>(F865-E865)*1440</f>
        <v>24.000000000000075</v>
      </c>
      <c r="H865" s="9" t="s">
        <v>2238</v>
      </c>
      <c r="I865" s="9" t="s">
        <v>2239</v>
      </c>
      <c r="J865" s="44">
        <v>14.7</v>
      </c>
      <c r="K865" s="60">
        <v>4.2</v>
      </c>
      <c r="L865" s="56">
        <v>6.3</v>
      </c>
      <c r="M865" s="14">
        <f>K865-L865</f>
        <v>-2.0999999999999996</v>
      </c>
      <c r="N865" s="15">
        <f>IFERROR(M865/K865,0)</f>
        <v>-0.49999999999999989</v>
      </c>
      <c r="O865" s="14">
        <f>IFERROR(L865/J865,0)</f>
        <v>0.4285714285714286</v>
      </c>
      <c r="P865" s="14">
        <f>IFERROR(L865/G865,0)</f>
        <v>0.26249999999999918</v>
      </c>
    </row>
    <row r="866" spans="1:19" x14ac:dyDescent="0.3">
      <c r="A866" s="9" t="s">
        <v>2109</v>
      </c>
      <c r="B866" s="9" t="s">
        <v>18</v>
      </c>
      <c r="C866" s="9" t="s">
        <v>184</v>
      </c>
      <c r="D866" s="52">
        <v>46151</v>
      </c>
      <c r="E866" s="48">
        <v>0.58888888888888891</v>
      </c>
      <c r="F866" s="48">
        <v>0.59513888888888888</v>
      </c>
      <c r="G866" s="43">
        <f>(F866-E866)*1440</f>
        <v>8.999999999999968</v>
      </c>
      <c r="H866" s="9" t="s">
        <v>214</v>
      </c>
      <c r="I866" s="9" t="s">
        <v>2228</v>
      </c>
      <c r="J866" s="44">
        <v>4.79</v>
      </c>
      <c r="K866" s="60">
        <v>3.94</v>
      </c>
      <c r="L866" s="56">
        <v>3.38</v>
      </c>
      <c r="M866" s="14">
        <f>K866-L866</f>
        <v>0.56000000000000005</v>
      </c>
      <c r="N866" s="15">
        <f>IFERROR(M866/K866,0)</f>
        <v>0.14213197969543148</v>
      </c>
      <c r="O866" s="14">
        <f>IFERROR(L866/J866,0)</f>
        <v>0.70563674321503134</v>
      </c>
      <c r="P866" s="14">
        <f>IFERROR(L866/G866,0)</f>
        <v>0.37555555555555686</v>
      </c>
    </row>
    <row r="867" spans="1:19" x14ac:dyDescent="0.3">
      <c r="A867" s="9" t="s">
        <v>2112</v>
      </c>
      <c r="B867" s="9" t="s">
        <v>18</v>
      </c>
      <c r="C867" s="9" t="s">
        <v>184</v>
      </c>
      <c r="D867" s="52">
        <v>46151</v>
      </c>
      <c r="E867" s="48">
        <v>0.66597222222222219</v>
      </c>
      <c r="F867" s="48">
        <v>0.6743055555555556</v>
      </c>
      <c r="G867" s="43">
        <f>(F867-E867)*1440</f>
        <v>12.000000000000117</v>
      </c>
      <c r="H867" s="9" t="s">
        <v>2231</v>
      </c>
      <c r="I867" s="9" t="s">
        <v>1120</v>
      </c>
      <c r="J867" s="44">
        <v>4.63</v>
      </c>
      <c r="K867" s="60">
        <v>4.9400000000000004</v>
      </c>
      <c r="L867" s="56">
        <v>3.55</v>
      </c>
      <c r="M867" s="14">
        <f>K867-L867</f>
        <v>1.3900000000000006</v>
      </c>
      <c r="N867" s="15">
        <f>IFERROR(M867/K867,0)</f>
        <v>0.28137651821862358</v>
      </c>
      <c r="O867" s="14">
        <f>IFERROR(L867/J867,0)</f>
        <v>0.76673866090712739</v>
      </c>
      <c r="P867" s="14">
        <f>IFERROR(L867/G867,0)</f>
        <v>0.29583333333333045</v>
      </c>
    </row>
    <row r="868" spans="1:19" x14ac:dyDescent="0.3">
      <c r="A868" s="9" t="s">
        <v>2108</v>
      </c>
      <c r="B868" s="9" t="s">
        <v>18</v>
      </c>
      <c r="C868" s="9" t="s">
        <v>184</v>
      </c>
      <c r="D868" s="52">
        <v>46151</v>
      </c>
      <c r="E868" s="48">
        <v>0.57777777777777783</v>
      </c>
      <c r="F868" s="48">
        <v>0.58333333333333337</v>
      </c>
      <c r="G868" s="43">
        <f>(F868-E868)*1440</f>
        <v>7.9999999999999716</v>
      </c>
      <c r="H868" s="9" t="s">
        <v>2227</v>
      </c>
      <c r="I868" s="9" t="s">
        <v>214</v>
      </c>
      <c r="J868" s="44">
        <v>4.28</v>
      </c>
      <c r="K868" s="60">
        <v>4.99</v>
      </c>
      <c r="L868" s="56">
        <v>3.3</v>
      </c>
      <c r="M868" s="14">
        <f>K868-L868</f>
        <v>1.6900000000000004</v>
      </c>
      <c r="N868" s="15">
        <f>IFERROR(M868/K868,0)</f>
        <v>0.3386773547094189</v>
      </c>
      <c r="O868" s="14">
        <f>IFERROR(L868/J868,0)</f>
        <v>0.77102803738317749</v>
      </c>
      <c r="P868" s="14">
        <f>IFERROR(L868/G868,0)</f>
        <v>0.41250000000000142</v>
      </c>
    </row>
    <row r="869" spans="1:19" x14ac:dyDescent="0.3">
      <c r="A869" s="9" t="s">
        <v>2113</v>
      </c>
      <c r="B869" s="9" t="s">
        <v>18</v>
      </c>
      <c r="C869" s="9" t="s">
        <v>824</v>
      </c>
      <c r="D869" s="52">
        <v>46151</v>
      </c>
      <c r="E869" s="48">
        <v>0.72152777777777777</v>
      </c>
      <c r="F869" s="48">
        <v>0.72916666666666663</v>
      </c>
      <c r="G869" s="43">
        <f>(F869-E869)*1440</f>
        <v>10.999999999999961</v>
      </c>
      <c r="H869" s="9" t="s">
        <v>2232</v>
      </c>
      <c r="I869" s="9" t="s">
        <v>2233</v>
      </c>
      <c r="J869" s="44">
        <v>5.89</v>
      </c>
      <c r="K869" s="60">
        <v>6.94</v>
      </c>
      <c r="L869" s="56">
        <v>5.62</v>
      </c>
      <c r="M869" s="14">
        <f>K869-L869</f>
        <v>1.3200000000000003</v>
      </c>
      <c r="N869" s="15">
        <f>IFERROR(M869/K869,0)</f>
        <v>0.19020172910662828</v>
      </c>
      <c r="O869" s="14">
        <f>IFERROR(L869/J869,0)</f>
        <v>0.9541595925297115</v>
      </c>
      <c r="P869" s="14">
        <f>IFERROR(L869/G869,0)</f>
        <v>0.51090909090909276</v>
      </c>
    </row>
    <row r="870" spans="1:19" x14ac:dyDescent="0.3">
      <c r="A870" s="9" t="s">
        <v>2110</v>
      </c>
      <c r="B870" s="9" t="s">
        <v>18</v>
      </c>
      <c r="C870" s="9" t="s">
        <v>196</v>
      </c>
      <c r="D870" s="52">
        <v>46151</v>
      </c>
      <c r="E870" s="48">
        <v>0.6</v>
      </c>
      <c r="F870" s="48">
        <v>0.60555555555555551</v>
      </c>
      <c r="G870" s="43">
        <f>(F870-E870)*1440</f>
        <v>7.9999999999999716</v>
      </c>
      <c r="H870" s="9" t="s">
        <v>2229</v>
      </c>
      <c r="I870" s="9" t="s">
        <v>1120</v>
      </c>
      <c r="J870" s="44">
        <v>4.0199999999999996</v>
      </c>
      <c r="K870" s="60">
        <v>5.99</v>
      </c>
      <c r="L870" s="56">
        <v>4.04</v>
      </c>
      <c r="M870" s="14">
        <f>K870-L870</f>
        <v>1.9500000000000002</v>
      </c>
      <c r="N870" s="15">
        <f>IFERROR(M870/K870,0)</f>
        <v>0.32554257095158601</v>
      </c>
      <c r="O870" s="14">
        <f>IFERROR(L870/J870,0)</f>
        <v>1.0049751243781095</v>
      </c>
      <c r="P870" s="14">
        <f>IFERROR(L870/G870,0)</f>
        <v>0.50500000000000178</v>
      </c>
    </row>
    <row r="871" spans="1:19" x14ac:dyDescent="0.3">
      <c r="A871" s="9" t="s">
        <v>2111</v>
      </c>
      <c r="B871" s="9" t="s">
        <v>18</v>
      </c>
      <c r="C871" s="9" t="s">
        <v>184</v>
      </c>
      <c r="D871" s="52">
        <v>46151</v>
      </c>
      <c r="E871" s="48">
        <v>0.65138888888888891</v>
      </c>
      <c r="F871" s="48">
        <v>0.66111111111111109</v>
      </c>
      <c r="G871" s="43">
        <f>(F871-E871)*1440</f>
        <v>13.99999999999995</v>
      </c>
      <c r="H871" s="9" t="s">
        <v>1120</v>
      </c>
      <c r="I871" s="9" t="s">
        <v>2230</v>
      </c>
      <c r="J871" s="44">
        <v>4.5</v>
      </c>
      <c r="K871" s="60">
        <v>9</v>
      </c>
      <c r="L871" s="56">
        <v>5.16</v>
      </c>
      <c r="M871" s="14">
        <f>K871-L871</f>
        <v>3.84</v>
      </c>
      <c r="N871" s="15">
        <f>IFERROR(M871/K871,0)</f>
        <v>0.42666666666666664</v>
      </c>
      <c r="O871" s="14">
        <f>IFERROR(L871/J871,0)</f>
        <v>1.1466666666666667</v>
      </c>
      <c r="P871" s="14">
        <f>IFERROR(L871/G871,0)</f>
        <v>0.36857142857142988</v>
      </c>
    </row>
    <row r="872" spans="1:19" x14ac:dyDescent="0.3">
      <c r="A872" s="9" t="s">
        <v>2115</v>
      </c>
      <c r="B872" s="9" t="s">
        <v>26</v>
      </c>
      <c r="C872" s="9" t="s">
        <v>27</v>
      </c>
      <c r="D872" s="52">
        <v>46151</v>
      </c>
      <c r="E872" s="48">
        <v>0.69166666666666676</v>
      </c>
      <c r="F872" s="48">
        <v>0.71180555555555547</v>
      </c>
      <c r="G872" s="43">
        <f>(F872-E872)*1440</f>
        <v>28.999999999999737</v>
      </c>
      <c r="H872" s="9" t="s">
        <v>2236</v>
      </c>
      <c r="I872" s="9" t="s">
        <v>2237</v>
      </c>
      <c r="J872" s="44">
        <v>15.1</v>
      </c>
      <c r="K872" s="60">
        <v>23.95</v>
      </c>
      <c r="L872" s="56">
        <v>17.96</v>
      </c>
      <c r="M872" s="14">
        <f>K872-L872</f>
        <v>5.9899999999999984</v>
      </c>
      <c r="N872" s="15">
        <f>IFERROR(M872/K872,0)</f>
        <v>0.25010438413361163</v>
      </c>
      <c r="O872" s="14">
        <f>IFERROR(L872/J872,0)</f>
        <v>1.1894039735099338</v>
      </c>
      <c r="P872" s="14">
        <f>IFERROR(L872/G872,0)</f>
        <v>0.61931034482759184</v>
      </c>
    </row>
    <row r="873" spans="1:19" x14ac:dyDescent="0.3">
      <c r="A873" s="9" t="s">
        <v>2114</v>
      </c>
      <c r="B873" s="9" t="s">
        <v>18</v>
      </c>
      <c r="C873" s="9" t="s">
        <v>184</v>
      </c>
      <c r="D873" s="52">
        <v>46151</v>
      </c>
      <c r="E873" s="48">
        <v>0.75</v>
      </c>
      <c r="F873" s="48">
        <v>0.75763888888888886</v>
      </c>
      <c r="G873" s="43">
        <f>(F873-E873)*1440</f>
        <v>10.999999999999961</v>
      </c>
      <c r="H873" s="9" t="s">
        <v>2234</v>
      </c>
      <c r="I873" s="9" t="s">
        <v>2235</v>
      </c>
      <c r="J873" s="44">
        <v>4.8899999999999997</v>
      </c>
      <c r="K873" s="60">
        <v>10.56</v>
      </c>
      <c r="L873" s="56">
        <v>6.07</v>
      </c>
      <c r="M873" s="14">
        <f>K873-L873</f>
        <v>4.49</v>
      </c>
      <c r="N873" s="15">
        <f>IFERROR(M873/K873,0)</f>
        <v>0.42518939393939392</v>
      </c>
      <c r="O873" s="14">
        <f>IFERROR(L873/J873,0)</f>
        <v>1.241308793456033</v>
      </c>
      <c r="P873" s="14">
        <f>IFERROR(L873/G873,0)</f>
        <v>0.55181818181818376</v>
      </c>
    </row>
    <row r="874" spans="1:19" x14ac:dyDescent="0.3">
      <c r="A874" s="9" t="s">
        <v>2126</v>
      </c>
      <c r="B874" s="9" t="s">
        <v>18</v>
      </c>
      <c r="C874" s="9" t="s">
        <v>184</v>
      </c>
      <c r="D874" s="52">
        <v>46152</v>
      </c>
      <c r="E874" s="48">
        <v>0.47500000000000003</v>
      </c>
      <c r="F874" s="48">
        <v>0.48680555555555555</v>
      </c>
      <c r="G874" s="43">
        <f>(F874-E874)*1440</f>
        <v>16.99999999999994</v>
      </c>
      <c r="H874" s="9" t="s">
        <v>2244</v>
      </c>
      <c r="I874" s="9" t="s">
        <v>2245</v>
      </c>
      <c r="J874" s="44">
        <v>12.78</v>
      </c>
      <c r="K874" s="60">
        <v>8.8000000000000007</v>
      </c>
      <c r="L874" s="56">
        <v>4.3499999999999996</v>
      </c>
      <c r="M874" s="14">
        <f>K874-L874</f>
        <v>4.4500000000000011</v>
      </c>
      <c r="N874" s="15">
        <f>IFERROR(M874/K874,0)</f>
        <v>0.50568181818181823</v>
      </c>
      <c r="O874" s="14">
        <f>IFERROR(L874/J874,0)</f>
        <v>0.34037558685446007</v>
      </c>
      <c r="P874" s="14">
        <f>IFERROR(L874/G874,0)</f>
        <v>0.25588235294117734</v>
      </c>
      <c r="S874" s="61">
        <v>2</v>
      </c>
    </row>
    <row r="875" spans="1:19" x14ac:dyDescent="0.3">
      <c r="A875" s="9" t="s">
        <v>2122</v>
      </c>
      <c r="B875" s="9" t="s">
        <v>18</v>
      </c>
      <c r="C875" s="9" t="s">
        <v>184</v>
      </c>
      <c r="D875" s="52">
        <v>46152</v>
      </c>
      <c r="E875" s="48">
        <v>0.32916666666666666</v>
      </c>
      <c r="F875" s="48">
        <v>0.34097222222222223</v>
      </c>
      <c r="G875" s="43">
        <f>(F875-E875)*1440</f>
        <v>17.000000000000021</v>
      </c>
      <c r="H875" s="9" t="s">
        <v>829</v>
      </c>
      <c r="I875" s="9" t="s">
        <v>604</v>
      </c>
      <c r="J875" s="44">
        <v>18.079999999999998</v>
      </c>
      <c r="K875" s="60">
        <v>11.3</v>
      </c>
      <c r="L875" s="56">
        <v>7.33</v>
      </c>
      <c r="M875" s="14">
        <f>K875-L875</f>
        <v>3.9700000000000006</v>
      </c>
      <c r="N875" s="15">
        <f>IFERROR(M875/K875,0)</f>
        <v>0.35132743362831864</v>
      </c>
      <c r="O875" s="14">
        <f>IFERROR(L875/J875,0)</f>
        <v>0.40542035398230092</v>
      </c>
      <c r="P875" s="14">
        <f>IFERROR(L875/G875,0)</f>
        <v>0.43117647058823477</v>
      </c>
    </row>
    <row r="876" spans="1:19" x14ac:dyDescent="0.3">
      <c r="A876" s="9" t="s">
        <v>2127</v>
      </c>
      <c r="B876" s="9" t="s">
        <v>18</v>
      </c>
      <c r="C876" s="9" t="s">
        <v>184</v>
      </c>
      <c r="D876" s="52">
        <v>46152</v>
      </c>
      <c r="E876" s="48">
        <v>0.49513888888888885</v>
      </c>
      <c r="F876" s="48">
        <v>0.51041666666666663</v>
      </c>
      <c r="G876" s="43">
        <f>(F876-E876)*1440</f>
        <v>22</v>
      </c>
      <c r="H876" s="9" t="s">
        <v>2246</v>
      </c>
      <c r="I876" s="9" t="s">
        <v>2247</v>
      </c>
      <c r="J876" s="44">
        <v>19.170000000000002</v>
      </c>
      <c r="K876" s="60">
        <v>11.93</v>
      </c>
      <c r="L876" s="56">
        <v>7.92</v>
      </c>
      <c r="M876" s="14">
        <f>K876-L876</f>
        <v>4.01</v>
      </c>
      <c r="N876" s="15">
        <f>IFERROR(M876/K876,0)</f>
        <v>0.33612740989103101</v>
      </c>
      <c r="O876" s="14">
        <f>IFERROR(L876/J876,0)</f>
        <v>0.41314553990610325</v>
      </c>
      <c r="P876" s="14">
        <f>IFERROR(L876/G876,0)</f>
        <v>0.36</v>
      </c>
    </row>
    <row r="877" spans="1:19" x14ac:dyDescent="0.3">
      <c r="A877" s="9" t="s">
        <v>2123</v>
      </c>
      <c r="B877" s="9" t="s">
        <v>18</v>
      </c>
      <c r="C877" s="9" t="s">
        <v>184</v>
      </c>
      <c r="D877" s="52">
        <v>46152</v>
      </c>
      <c r="E877" s="48">
        <v>0.36388888888888887</v>
      </c>
      <c r="F877" s="48">
        <v>0.375</v>
      </c>
      <c r="G877" s="43">
        <f>(F877-E877)*1440</f>
        <v>16.000000000000021</v>
      </c>
      <c r="H877" s="9" t="s">
        <v>2242</v>
      </c>
      <c r="I877" s="9" t="s">
        <v>1120</v>
      </c>
      <c r="J877" s="44">
        <v>13.39</v>
      </c>
      <c r="K877" s="60">
        <v>9.9499999999999993</v>
      </c>
      <c r="L877" s="56">
        <v>6.93</v>
      </c>
      <c r="M877" s="14">
        <f>K877-L877</f>
        <v>3.0199999999999996</v>
      </c>
      <c r="N877" s="15">
        <f>IFERROR(M877/K877,0)</f>
        <v>0.30351758793969846</v>
      </c>
      <c r="O877" s="14">
        <f>IFERROR(L877/J877,0)</f>
        <v>0.5175504107542942</v>
      </c>
      <c r="P877" s="14">
        <f>IFERROR(L877/G877,0)</f>
        <v>0.43312499999999943</v>
      </c>
    </row>
    <row r="878" spans="1:19" x14ac:dyDescent="0.3">
      <c r="A878" s="9" t="s">
        <v>2125</v>
      </c>
      <c r="B878" s="9" t="s">
        <v>18</v>
      </c>
      <c r="C878" s="9" t="s">
        <v>184</v>
      </c>
      <c r="D878" s="52">
        <v>46152</v>
      </c>
      <c r="E878" s="48">
        <v>0.45347222222222222</v>
      </c>
      <c r="F878" s="48">
        <v>0.46666666666666662</v>
      </c>
      <c r="G878" s="43">
        <f>(F878-E878)*1440</f>
        <v>18.999999999999932</v>
      </c>
      <c r="H878" s="9" t="s">
        <v>1120</v>
      </c>
      <c r="I878" s="9" t="s">
        <v>888</v>
      </c>
      <c r="J878" s="44">
        <v>13.61</v>
      </c>
      <c r="K878" s="60">
        <v>12</v>
      </c>
      <c r="L878" s="56">
        <v>7.11</v>
      </c>
      <c r="M878" s="14">
        <f>K878-L878</f>
        <v>4.8899999999999997</v>
      </c>
      <c r="N878" s="15">
        <f>IFERROR(M878/K878,0)</f>
        <v>0.40749999999999997</v>
      </c>
      <c r="O878" s="14">
        <f>IFERROR(L878/J878,0)</f>
        <v>0.52240999265246146</v>
      </c>
      <c r="P878" s="14">
        <f>IFERROR(L878/G878,0)</f>
        <v>0.37421052631579083</v>
      </c>
    </row>
    <row r="879" spans="1:19" x14ac:dyDescent="0.3">
      <c r="A879" s="9" t="s">
        <v>2117</v>
      </c>
      <c r="B879" s="9" t="s">
        <v>26</v>
      </c>
      <c r="C879" s="9" t="s">
        <v>26</v>
      </c>
      <c r="D879" s="52">
        <v>46152</v>
      </c>
      <c r="E879" s="48">
        <v>0.34930555555555554</v>
      </c>
      <c r="F879" s="48">
        <v>0.36319444444444443</v>
      </c>
      <c r="G879" s="43">
        <f>(F879-E879)*1440</f>
        <v>20.000000000000007</v>
      </c>
      <c r="H879" s="9" t="s">
        <v>570</v>
      </c>
      <c r="I879" s="9" t="s">
        <v>1906</v>
      </c>
      <c r="J879" s="44">
        <v>16.5</v>
      </c>
      <c r="K879" s="60">
        <v>11.65</v>
      </c>
      <c r="L879" s="56">
        <v>8.74</v>
      </c>
      <c r="M879" s="14">
        <f>K879-L879</f>
        <v>2.91</v>
      </c>
      <c r="N879" s="15">
        <f>IFERROR(M879/K879,0)</f>
        <v>0.2497854077253219</v>
      </c>
      <c r="O879" s="14">
        <f>IFERROR(L879/J879,0)</f>
        <v>0.52969696969696967</v>
      </c>
      <c r="P879" s="14">
        <f>IFERROR(L879/G879,0)</f>
        <v>0.43699999999999983</v>
      </c>
    </row>
    <row r="880" spans="1:19" x14ac:dyDescent="0.3">
      <c r="A880" s="9" t="s">
        <v>2130</v>
      </c>
      <c r="B880" s="9" t="s">
        <v>538</v>
      </c>
      <c r="C880" s="9" t="s">
        <v>184</v>
      </c>
      <c r="D880" s="52">
        <v>46152</v>
      </c>
      <c r="E880" s="48">
        <v>0.85</v>
      </c>
      <c r="F880" s="48">
        <v>0.86458333333333337</v>
      </c>
      <c r="G880" s="43">
        <f>(F880-E880)*1440</f>
        <v>21.000000000000085</v>
      </c>
      <c r="H880" s="9" t="s">
        <v>2249</v>
      </c>
      <c r="I880" s="9" t="s">
        <v>2250</v>
      </c>
      <c r="J880" s="44">
        <v>11.92</v>
      </c>
      <c r="K880" s="60">
        <v>9.9499999999999993</v>
      </c>
      <c r="L880" s="56">
        <v>6.47</v>
      </c>
      <c r="M880" s="14">
        <f>K880-L880</f>
        <v>3.4799999999999995</v>
      </c>
      <c r="N880" s="15">
        <f>IFERROR(M880/K880,0)</f>
        <v>0.34974874371859294</v>
      </c>
      <c r="O880" s="14">
        <f>IFERROR(L880/J880,0)</f>
        <v>0.54278523489932884</v>
      </c>
      <c r="P880" s="14">
        <f>IFERROR(L880/G880,0)</f>
        <v>0.30809523809523681</v>
      </c>
    </row>
    <row r="881" spans="1:19" x14ac:dyDescent="0.3">
      <c r="A881" s="9" t="s">
        <v>2128</v>
      </c>
      <c r="B881" s="9" t="s">
        <v>18</v>
      </c>
      <c r="C881" s="9" t="s">
        <v>184</v>
      </c>
      <c r="D881" s="52">
        <v>46152</v>
      </c>
      <c r="E881" s="48">
        <v>0.55902777777777779</v>
      </c>
      <c r="F881" s="48">
        <v>0.56736111111111109</v>
      </c>
      <c r="G881" s="43">
        <f>(F881-E881)*1440</f>
        <v>11.999999999999957</v>
      </c>
      <c r="H881" s="9" t="s">
        <v>229</v>
      </c>
      <c r="I881" s="9" t="s">
        <v>604</v>
      </c>
      <c r="J881" s="44">
        <v>6.77</v>
      </c>
      <c r="K881" s="60">
        <v>5.94</v>
      </c>
      <c r="L881" s="56">
        <v>3.88</v>
      </c>
      <c r="M881" s="14">
        <f>K881-L881</f>
        <v>2.0600000000000005</v>
      </c>
      <c r="N881" s="15">
        <f>IFERROR(M881/K881,0)</f>
        <v>0.34680134680134689</v>
      </c>
      <c r="O881" s="14">
        <f>IFERROR(L881/J881,0)</f>
        <v>0.57311669128508125</v>
      </c>
      <c r="P881" s="14">
        <f>IFERROR(L881/G881,0)</f>
        <v>0.32333333333333447</v>
      </c>
    </row>
    <row r="882" spans="1:19" x14ac:dyDescent="0.3">
      <c r="A882" s="9" t="s">
        <v>2121</v>
      </c>
      <c r="B882" s="9" t="s">
        <v>26</v>
      </c>
      <c r="C882" s="9" t="s">
        <v>27</v>
      </c>
      <c r="D882" s="52">
        <v>46152</v>
      </c>
      <c r="E882" s="48">
        <v>0.73333333333333339</v>
      </c>
      <c r="F882" s="48">
        <v>0.74930555555555556</v>
      </c>
      <c r="G882" s="43">
        <f>(F882-E882)*1440</f>
        <v>22.999999999999918</v>
      </c>
      <c r="H882" s="9" t="s">
        <v>728</v>
      </c>
      <c r="I882" s="9" t="s">
        <v>611</v>
      </c>
      <c r="J882" s="44">
        <v>12.3</v>
      </c>
      <c r="K882" s="60">
        <v>9.41</v>
      </c>
      <c r="L882" s="56">
        <v>7.06</v>
      </c>
      <c r="M882" s="14">
        <f>K882-L882</f>
        <v>2.3500000000000005</v>
      </c>
      <c r="N882" s="15">
        <f>IFERROR(M882/K882,0)</f>
        <v>0.24973432518597241</v>
      </c>
      <c r="O882" s="14">
        <f>IFERROR(L882/J882,0)</f>
        <v>0.57398373983739825</v>
      </c>
      <c r="P882" s="14">
        <f>IFERROR(L882/G882,0)</f>
        <v>0.30695652173913152</v>
      </c>
    </row>
    <row r="883" spans="1:19" x14ac:dyDescent="0.3">
      <c r="A883" s="9" t="s">
        <v>2120</v>
      </c>
      <c r="B883" s="9" t="s">
        <v>26</v>
      </c>
      <c r="C883" s="9" t="s">
        <v>26</v>
      </c>
      <c r="D883" s="52">
        <v>46152</v>
      </c>
      <c r="E883" s="48">
        <v>0.71666666666666667</v>
      </c>
      <c r="F883" s="48">
        <v>0.7319444444444444</v>
      </c>
      <c r="G883" s="43">
        <f>(F883-E883)*1440</f>
        <v>21.999999999999922</v>
      </c>
      <c r="H883" s="9" t="s">
        <v>1120</v>
      </c>
      <c r="I883" s="68" t="s">
        <v>854</v>
      </c>
      <c r="J883" s="44">
        <v>14.7</v>
      </c>
      <c r="K883" s="60">
        <v>11.95</v>
      </c>
      <c r="L883" s="56">
        <v>9.0399999999999991</v>
      </c>
      <c r="M883" s="14">
        <f>K883-L883</f>
        <v>2.91</v>
      </c>
      <c r="N883" s="15">
        <f>IFERROR(M883/K883,0)</f>
        <v>0.24351464435146447</v>
      </c>
      <c r="O883" s="14">
        <f>IFERROR(L883/J883,0)</f>
        <v>0.6149659863945578</v>
      </c>
      <c r="P883" s="14">
        <f>IFERROR(L883/G883,0)</f>
        <v>0.41090909090909233</v>
      </c>
    </row>
    <row r="884" spans="1:19" x14ac:dyDescent="0.3">
      <c r="A884" s="9" t="s">
        <v>2118</v>
      </c>
      <c r="B884" s="9" t="s">
        <v>26</v>
      </c>
      <c r="C884" s="9" t="s">
        <v>26</v>
      </c>
      <c r="D884" s="52">
        <v>46152</v>
      </c>
      <c r="E884" s="48">
        <v>0.55277777777777781</v>
      </c>
      <c r="F884" s="48">
        <v>0.55833333333333335</v>
      </c>
      <c r="G884" s="43">
        <f>(F884-E884)*1440</f>
        <v>7.9999999999999716</v>
      </c>
      <c r="H884" s="9" t="s">
        <v>1981</v>
      </c>
      <c r="I884" s="9" t="s">
        <v>1278</v>
      </c>
      <c r="J884" s="44">
        <v>4.5</v>
      </c>
      <c r="K884" s="60">
        <v>4.57</v>
      </c>
      <c r="L884" s="56">
        <v>3.61</v>
      </c>
      <c r="M884" s="14">
        <f>K884-L884</f>
        <v>0.96000000000000041</v>
      </c>
      <c r="N884" s="15">
        <f>IFERROR(M884/K884,0)</f>
        <v>0.21006564551422327</v>
      </c>
      <c r="O884" s="14">
        <f>IFERROR(L884/J884,0)</f>
        <v>0.80222222222222217</v>
      </c>
      <c r="P884" s="14">
        <f>IFERROR(L884/G884,0)</f>
        <v>0.45125000000000159</v>
      </c>
    </row>
    <row r="885" spans="1:19" x14ac:dyDescent="0.3">
      <c r="A885" s="9" t="s">
        <v>2124</v>
      </c>
      <c r="B885" s="9" t="s">
        <v>18</v>
      </c>
      <c r="C885" s="9" t="s">
        <v>196</v>
      </c>
      <c r="D885" s="52">
        <v>46152</v>
      </c>
      <c r="E885" s="48">
        <v>0.38263888888888892</v>
      </c>
      <c r="F885" s="48">
        <v>0.39652777777777781</v>
      </c>
      <c r="G885" s="43">
        <f>(F885-E885)*1440</f>
        <v>20.000000000000007</v>
      </c>
      <c r="H885" s="9" t="s">
        <v>1120</v>
      </c>
      <c r="I885" s="9" t="s">
        <v>2243</v>
      </c>
      <c r="J885" s="44">
        <v>8.0399999999999991</v>
      </c>
      <c r="K885" s="60">
        <v>10.99</v>
      </c>
      <c r="L885" s="56">
        <v>7.64</v>
      </c>
      <c r="M885" s="14">
        <f>K885-L885</f>
        <v>3.3500000000000005</v>
      </c>
      <c r="N885" s="15">
        <f>IFERROR(M885/K885,0)</f>
        <v>0.30482256596906282</v>
      </c>
      <c r="O885" s="14">
        <f>IFERROR(L885/J885,0)</f>
        <v>0.95024875621890559</v>
      </c>
      <c r="P885" s="14">
        <f>IFERROR(L885/G885,0)</f>
        <v>0.38199999999999984</v>
      </c>
      <c r="S885" s="61">
        <v>2</v>
      </c>
    </row>
    <row r="886" spans="1:19" x14ac:dyDescent="0.3">
      <c r="A886" s="9" t="s">
        <v>2119</v>
      </c>
      <c r="B886" s="9" t="s">
        <v>26</v>
      </c>
      <c r="C886" s="9" t="s">
        <v>26</v>
      </c>
      <c r="D886" s="52">
        <v>46152</v>
      </c>
      <c r="E886" s="48">
        <v>0.63611111111111118</v>
      </c>
      <c r="F886" s="48">
        <v>0.64166666666666672</v>
      </c>
      <c r="G886" s="43">
        <f>(F886-E886)*1440</f>
        <v>7.9999999999999716</v>
      </c>
      <c r="H886" s="9" t="s">
        <v>2240</v>
      </c>
      <c r="I886" s="9" t="s">
        <v>2241</v>
      </c>
      <c r="J886" s="44">
        <v>1.7</v>
      </c>
      <c r="K886" s="60">
        <v>3.39</v>
      </c>
      <c r="L886" s="56">
        <v>3.18</v>
      </c>
      <c r="M886" s="14">
        <f>K886-L886</f>
        <v>0.20999999999999996</v>
      </c>
      <c r="N886" s="15">
        <f>IFERROR(M886/K886,0)</f>
        <v>6.1946902654867242E-2</v>
      </c>
      <c r="O886" s="14">
        <f>IFERROR(L886/J886,0)</f>
        <v>1.8705882352941179</v>
      </c>
      <c r="P886" s="14">
        <f>IFERROR(L886/G886,0)</f>
        <v>0.39750000000000141</v>
      </c>
      <c r="R886" s="57">
        <v>0.39</v>
      </c>
    </row>
    <row r="887" spans="1:19" x14ac:dyDescent="0.3">
      <c r="A887" s="9" t="s">
        <v>2129</v>
      </c>
      <c r="B887" s="9" t="s">
        <v>538</v>
      </c>
      <c r="C887" s="9" t="s">
        <v>184</v>
      </c>
      <c r="D887" s="52">
        <v>46152</v>
      </c>
      <c r="E887" s="48">
        <v>0.57152777777777775</v>
      </c>
      <c r="F887" s="48">
        <v>0.5756944444444444</v>
      </c>
      <c r="G887" s="43">
        <f>(F887-E887)*1440</f>
        <v>5.9999999999999787</v>
      </c>
      <c r="H887" s="9" t="s">
        <v>2248</v>
      </c>
      <c r="I887" s="9" t="s">
        <v>2225</v>
      </c>
      <c r="J887" s="44">
        <v>1.38</v>
      </c>
      <c r="K887" s="60">
        <v>4.95</v>
      </c>
      <c r="L887" s="56">
        <v>3.38</v>
      </c>
      <c r="M887" s="14">
        <f>K887-L887</f>
        <v>1.5700000000000003</v>
      </c>
      <c r="N887" s="15">
        <f>IFERROR(M887/K887,0)</f>
        <v>0.31717171717171722</v>
      </c>
      <c r="O887" s="14">
        <f>IFERROR(L887/J887,0)</f>
        <v>2.4492753623188408</v>
      </c>
      <c r="P887" s="14">
        <f>IFERROR(L887/G887,0)</f>
        <v>0.56333333333333535</v>
      </c>
    </row>
    <row r="888" spans="1:19" x14ac:dyDescent="0.3">
      <c r="A888" s="9" t="s">
        <v>2136</v>
      </c>
      <c r="B888" s="9" t="s">
        <v>18</v>
      </c>
      <c r="C888" s="9" t="s">
        <v>184</v>
      </c>
      <c r="D888" s="52">
        <v>46153</v>
      </c>
      <c r="E888" s="48">
        <v>0.76388888888888884</v>
      </c>
      <c r="F888" s="48">
        <v>0.77708333333333324</v>
      </c>
      <c r="G888" s="43">
        <f>(F888-E888)*1440</f>
        <v>18.999999999999932</v>
      </c>
      <c r="H888" s="9" t="s">
        <v>2256</v>
      </c>
      <c r="I888" s="9" t="s">
        <v>2257</v>
      </c>
      <c r="J888" s="44">
        <v>17.23</v>
      </c>
      <c r="K888" s="60">
        <v>12.94</v>
      </c>
      <c r="L888" s="56">
        <v>7.37</v>
      </c>
      <c r="M888" s="14">
        <f>K888-L888</f>
        <v>5.5699999999999994</v>
      </c>
      <c r="N888" s="15">
        <f>IFERROR(M888/K888,0)</f>
        <v>0.43044822256568777</v>
      </c>
      <c r="O888" s="14">
        <f>IFERROR(L888/J888,0)</f>
        <v>0.4277423099245502</v>
      </c>
      <c r="P888" s="14">
        <f>IFERROR(L888/G888,0)</f>
        <v>0.38789473684210662</v>
      </c>
      <c r="Q888" s="64">
        <v>1.6</v>
      </c>
    </row>
    <row r="889" spans="1:19" x14ac:dyDescent="0.3">
      <c r="A889" s="9" t="s">
        <v>2135</v>
      </c>
      <c r="B889" s="9" t="s">
        <v>538</v>
      </c>
      <c r="C889" s="9" t="s">
        <v>184</v>
      </c>
      <c r="D889" s="52">
        <v>46153</v>
      </c>
      <c r="E889" s="48">
        <v>0.70486111111111116</v>
      </c>
      <c r="F889" s="48">
        <v>0.71875</v>
      </c>
      <c r="G889" s="43">
        <f>(F889-E889)*1440</f>
        <v>19.999999999999929</v>
      </c>
      <c r="H889" s="9" t="s">
        <v>1220</v>
      </c>
      <c r="I889" s="9" t="s">
        <v>2255</v>
      </c>
      <c r="J889" s="44">
        <v>18.36</v>
      </c>
      <c r="K889" s="60">
        <v>12.95</v>
      </c>
      <c r="L889" s="56">
        <v>7.98</v>
      </c>
      <c r="M889" s="14">
        <f>K889-L889</f>
        <v>4.9699999999999989</v>
      </c>
      <c r="N889" s="15">
        <f>IFERROR(M889/K889,0)</f>
        <v>0.38378378378378369</v>
      </c>
      <c r="O889" s="14">
        <f>IFERROR(L889/J889,0)</f>
        <v>0.434640522875817</v>
      </c>
      <c r="P889" s="14">
        <f>IFERROR(L889/G889,0)</f>
        <v>0.39900000000000146</v>
      </c>
      <c r="Q889" s="64">
        <v>1.6</v>
      </c>
    </row>
    <row r="890" spans="1:19" x14ac:dyDescent="0.3">
      <c r="A890" s="9" t="s">
        <v>2138</v>
      </c>
      <c r="B890" s="9" t="s">
        <v>26</v>
      </c>
      <c r="C890" s="9" t="s">
        <v>27</v>
      </c>
      <c r="D890" s="52">
        <v>46153</v>
      </c>
      <c r="E890" s="48">
        <v>0.54305555555555551</v>
      </c>
      <c r="F890" s="48">
        <v>0.55694444444444446</v>
      </c>
      <c r="G890" s="43">
        <f>(F890-E890)*1440</f>
        <v>20.000000000000089</v>
      </c>
      <c r="H890" s="9" t="s">
        <v>2258</v>
      </c>
      <c r="I890" s="9" t="s">
        <v>2259</v>
      </c>
      <c r="J890" s="44">
        <v>21.5</v>
      </c>
      <c r="K890" s="60">
        <v>13.78</v>
      </c>
      <c r="L890" s="56">
        <v>10.33</v>
      </c>
      <c r="M890" s="14">
        <f>K890-L890</f>
        <v>3.4499999999999993</v>
      </c>
      <c r="N890" s="15">
        <f>IFERROR(M890/K890,0)</f>
        <v>0.25036284470246728</v>
      </c>
      <c r="O890" s="14">
        <f>IFERROR(L890/J890,0)</f>
        <v>0.48046511627906979</v>
      </c>
      <c r="P890" s="14">
        <f>IFERROR(L890/G890,0)</f>
        <v>0.51649999999999774</v>
      </c>
    </row>
    <row r="891" spans="1:19" x14ac:dyDescent="0.3">
      <c r="A891" s="9" t="s">
        <v>2131</v>
      </c>
      <c r="B891" s="9" t="s">
        <v>538</v>
      </c>
      <c r="C891" s="9" t="s">
        <v>184</v>
      </c>
      <c r="D891" s="52">
        <v>46153</v>
      </c>
      <c r="E891" s="48">
        <v>0.55694444444444446</v>
      </c>
      <c r="F891" s="48">
        <v>0.56597222222222221</v>
      </c>
      <c r="G891" s="43">
        <f>(F891-E891)*1440</f>
        <v>12.999999999999954</v>
      </c>
      <c r="H891" s="9" t="s">
        <v>2251</v>
      </c>
      <c r="I891" s="9" t="s">
        <v>2252</v>
      </c>
      <c r="J891" s="44">
        <v>10.87</v>
      </c>
      <c r="K891" s="60">
        <v>6.95</v>
      </c>
      <c r="L891" s="56">
        <v>5.72</v>
      </c>
      <c r="M891" s="14">
        <f>K891-L891</f>
        <v>1.2300000000000004</v>
      </c>
      <c r="N891" s="15">
        <f>IFERROR(M891/K891,0)</f>
        <v>0.1769784172661871</v>
      </c>
      <c r="O891" s="14">
        <f>IFERROR(L891/J891,0)</f>
        <v>0.52621895124195028</v>
      </c>
      <c r="P891" s="14">
        <f>IFERROR(L891/G891,0)</f>
        <v>0.44000000000000156</v>
      </c>
    </row>
    <row r="892" spans="1:19" x14ac:dyDescent="0.3">
      <c r="A892" s="9" t="s">
        <v>2264</v>
      </c>
      <c r="B892" s="9" t="s">
        <v>26</v>
      </c>
      <c r="C892" s="9" t="s">
        <v>27</v>
      </c>
      <c r="D892" s="52">
        <v>46153</v>
      </c>
      <c r="E892" s="48">
        <v>0.82708333333333339</v>
      </c>
      <c r="F892" s="48">
        <v>0.83819444444444446</v>
      </c>
      <c r="G892" s="43">
        <f>(F892-E892)*1440</f>
        <v>15.999999999999943</v>
      </c>
      <c r="H892" s="9" t="s">
        <v>2466</v>
      </c>
      <c r="I892" s="9" t="s">
        <v>1793</v>
      </c>
      <c r="J892" s="44">
        <v>8.6</v>
      </c>
      <c r="K892" s="60">
        <v>6.04</v>
      </c>
      <c r="L892" s="56">
        <v>4.53</v>
      </c>
      <c r="M892" s="14">
        <f>K892-L892</f>
        <v>1.5099999999999998</v>
      </c>
      <c r="N892" s="15">
        <f>IFERROR(M892/K892,0)</f>
        <v>0.24999999999999997</v>
      </c>
      <c r="O892" s="14">
        <f>IFERROR(L892/J892,0)</f>
        <v>0.52674418604651163</v>
      </c>
      <c r="P892" s="14">
        <f>IFERROR(L892/G892,0)</f>
        <v>0.28312500000000101</v>
      </c>
    </row>
    <row r="893" spans="1:19" x14ac:dyDescent="0.3">
      <c r="A893" s="9" t="s">
        <v>2133</v>
      </c>
      <c r="B893" s="9" t="s">
        <v>18</v>
      </c>
      <c r="C893" s="9" t="s">
        <v>196</v>
      </c>
      <c r="D893" s="52">
        <v>46153</v>
      </c>
      <c r="E893" s="48">
        <v>0.63402777777777775</v>
      </c>
      <c r="F893" s="48">
        <v>0.64236111111111105</v>
      </c>
      <c r="G893" s="43">
        <f>(F893-E893)*1440</f>
        <v>11.999999999999957</v>
      </c>
      <c r="H893" s="9" t="s">
        <v>2253</v>
      </c>
      <c r="I893" s="9" t="s">
        <v>2254</v>
      </c>
      <c r="J893" s="44">
        <v>6.41</v>
      </c>
      <c r="K893" s="60">
        <v>3.89</v>
      </c>
      <c r="L893" s="56">
        <v>3.66</v>
      </c>
      <c r="M893" s="14">
        <f>K893-L893</f>
        <v>0.22999999999999998</v>
      </c>
      <c r="N893" s="15">
        <f>IFERROR(M893/K893,0)</f>
        <v>5.9125964010282771E-2</v>
      </c>
      <c r="O893" s="14">
        <f>IFERROR(L893/J893,0)</f>
        <v>0.57098283931357252</v>
      </c>
      <c r="P893" s="14">
        <f>IFERROR(L893/G893,0)</f>
        <v>0.3050000000000011</v>
      </c>
    </row>
    <row r="894" spans="1:19" x14ac:dyDescent="0.3">
      <c r="A894" s="9" t="s">
        <v>2265</v>
      </c>
      <c r="B894" s="9" t="s">
        <v>26</v>
      </c>
      <c r="C894" s="9" t="s">
        <v>27</v>
      </c>
      <c r="D894" s="52">
        <v>46153</v>
      </c>
      <c r="E894" s="48">
        <v>0.84097222222222223</v>
      </c>
      <c r="F894" s="48">
        <v>0.85416666666666663</v>
      </c>
      <c r="G894" s="43">
        <f>(F894-E894)*1440</f>
        <v>18.999999999999932</v>
      </c>
      <c r="H894" s="9" t="s">
        <v>2467</v>
      </c>
      <c r="I894" s="9" t="s">
        <v>2468</v>
      </c>
      <c r="J894" s="44">
        <v>10.199999999999999</v>
      </c>
      <c r="K894" s="60">
        <v>7.19</v>
      </c>
      <c r="L894" s="56">
        <v>5.93</v>
      </c>
      <c r="M894" s="14">
        <f>K894-L894</f>
        <v>1.2600000000000007</v>
      </c>
      <c r="N894" s="15">
        <f>IFERROR(M894/K894,0)</f>
        <v>0.17524339360222541</v>
      </c>
      <c r="O894" s="14">
        <f>IFERROR(L894/J894,0)</f>
        <v>0.58137254901960789</v>
      </c>
      <c r="P894" s="14">
        <f>IFERROR(L894/G894,0)</f>
        <v>0.31210526315789583</v>
      </c>
    </row>
    <row r="895" spans="1:19" x14ac:dyDescent="0.3">
      <c r="A895" s="9" t="s">
        <v>2139</v>
      </c>
      <c r="B895" s="9" t="s">
        <v>26</v>
      </c>
      <c r="C895" s="9" t="s">
        <v>27</v>
      </c>
      <c r="D895" s="52">
        <v>46153</v>
      </c>
      <c r="E895" s="48">
        <v>0.59166666666666667</v>
      </c>
      <c r="F895" s="48">
        <v>0.59930555555555554</v>
      </c>
      <c r="G895" s="43">
        <f>(F895-E895)*1440</f>
        <v>10.999999999999961</v>
      </c>
      <c r="H895" s="9" t="s">
        <v>1210</v>
      </c>
      <c r="I895" s="9" t="s">
        <v>576</v>
      </c>
      <c r="J895" s="44">
        <v>6.8</v>
      </c>
      <c r="K895" s="60">
        <v>5.72</v>
      </c>
      <c r="L895" s="56">
        <v>4.29</v>
      </c>
      <c r="M895" s="14">
        <f>K895-L895</f>
        <v>1.4299999999999997</v>
      </c>
      <c r="N895" s="15">
        <f>IFERROR(M895/K895,0)</f>
        <v>0.24999999999999997</v>
      </c>
      <c r="O895" s="14">
        <f>IFERROR(L895/J895,0)</f>
        <v>0.63088235294117645</v>
      </c>
      <c r="P895" s="14">
        <f>IFERROR(L895/G895,0)</f>
        <v>0.3900000000000014</v>
      </c>
    </row>
    <row r="896" spans="1:19" x14ac:dyDescent="0.3">
      <c r="A896" s="9" t="s">
        <v>2142</v>
      </c>
      <c r="B896" s="9" t="s">
        <v>26</v>
      </c>
      <c r="C896" s="9" t="s">
        <v>27</v>
      </c>
      <c r="D896" s="52">
        <v>46153</v>
      </c>
      <c r="E896" s="48">
        <v>0.62291666666666667</v>
      </c>
      <c r="F896" s="48">
        <v>0.63541666666666663</v>
      </c>
      <c r="G896" s="43">
        <f>(F896-E896)*1440</f>
        <v>17.999999999999936</v>
      </c>
      <c r="H896" s="9" t="s">
        <v>1937</v>
      </c>
      <c r="I896" s="9" t="s">
        <v>2261</v>
      </c>
      <c r="J896" s="44">
        <v>7.7</v>
      </c>
      <c r="K896" s="60">
        <v>5.98</v>
      </c>
      <c r="L896" s="56">
        <v>4.93</v>
      </c>
      <c r="M896" s="14">
        <f>K896-L896</f>
        <v>1.0500000000000007</v>
      </c>
      <c r="N896" s="15">
        <f>IFERROR(M896/K896,0)</f>
        <v>0.17558528428093656</v>
      </c>
      <c r="O896" s="14">
        <f>IFERROR(L896/J896,0)</f>
        <v>0.6402597402597402</v>
      </c>
      <c r="P896" s="14">
        <f>IFERROR(L896/G896,0)</f>
        <v>0.27388888888888985</v>
      </c>
    </row>
    <row r="897" spans="1:19" x14ac:dyDescent="0.3">
      <c r="A897" s="9" t="s">
        <v>2141</v>
      </c>
      <c r="B897" s="9" t="s">
        <v>26</v>
      </c>
      <c r="C897" s="9" t="s">
        <v>27</v>
      </c>
      <c r="D897" s="52">
        <v>46153</v>
      </c>
      <c r="E897" s="48">
        <v>0.61249999999999993</v>
      </c>
      <c r="F897" s="48">
        <v>0.62152777777777779</v>
      </c>
      <c r="G897" s="43">
        <f>(F897-E897)*1440</f>
        <v>13.000000000000114</v>
      </c>
      <c r="H897" s="9" t="s">
        <v>214</v>
      </c>
      <c r="I897" s="9" t="s">
        <v>2260</v>
      </c>
      <c r="J897" s="44">
        <v>5.7</v>
      </c>
      <c r="K897" s="60">
        <v>4.87</v>
      </c>
      <c r="L897" s="56">
        <v>3.65</v>
      </c>
      <c r="M897" s="14">
        <f>K897-L897</f>
        <v>1.2200000000000002</v>
      </c>
      <c r="N897" s="15">
        <f>IFERROR(M897/K897,0)</f>
        <v>0.25051334702258732</v>
      </c>
      <c r="O897" s="14">
        <f>IFERROR(L897/J897,0)</f>
        <v>0.64035087719298245</v>
      </c>
      <c r="P897" s="14">
        <f>IFERROR(L897/G897,0)</f>
        <v>0.28076923076922833</v>
      </c>
    </row>
    <row r="898" spans="1:19" x14ac:dyDescent="0.3">
      <c r="A898" s="9" t="s">
        <v>2144</v>
      </c>
      <c r="B898" s="9" t="s">
        <v>26</v>
      </c>
      <c r="C898" s="9" t="s">
        <v>27</v>
      </c>
      <c r="D898" s="52">
        <v>46153</v>
      </c>
      <c r="E898" s="48">
        <v>0.7284722222222223</v>
      </c>
      <c r="F898" s="48">
        <v>0.75347222222222221</v>
      </c>
      <c r="G898" s="43">
        <f>(F898-E898)*1440</f>
        <v>35.999999999999872</v>
      </c>
      <c r="H898" s="9" t="s">
        <v>2463</v>
      </c>
      <c r="I898" s="9" t="s">
        <v>2464</v>
      </c>
      <c r="J898" s="44">
        <v>25.4</v>
      </c>
      <c r="K898" s="60">
        <v>17.420000000000002</v>
      </c>
      <c r="L898" s="56">
        <v>17.13</v>
      </c>
      <c r="M898" s="14">
        <f>K898-L898</f>
        <v>0.2900000000000027</v>
      </c>
      <c r="N898" s="15">
        <f>IFERROR(M898/K898,0)</f>
        <v>1.6647531572904859E-2</v>
      </c>
      <c r="O898" s="14">
        <f>IFERROR(L898/J898,0)</f>
        <v>0.67440944881889764</v>
      </c>
      <c r="P898" s="14">
        <f>IFERROR(L898/G898,0)</f>
        <v>0.475833333333335</v>
      </c>
      <c r="Q898" s="64">
        <v>3.2</v>
      </c>
    </row>
    <row r="899" spans="1:19" x14ac:dyDescent="0.3">
      <c r="A899" s="9" t="s">
        <v>2143</v>
      </c>
      <c r="B899" s="9" t="s">
        <v>26</v>
      </c>
      <c r="C899" s="9" t="s">
        <v>27</v>
      </c>
      <c r="D899" s="52">
        <v>46153</v>
      </c>
      <c r="E899" s="48">
        <v>0.69444444444444453</v>
      </c>
      <c r="F899" s="48">
        <v>0.70486111111111116</v>
      </c>
      <c r="G899" s="43">
        <f>(F899-E899)*1440</f>
        <v>14.999999999999947</v>
      </c>
      <c r="H899" s="9" t="s">
        <v>2262</v>
      </c>
      <c r="I899" s="9" t="s">
        <v>1298</v>
      </c>
      <c r="J899" s="44">
        <v>6.3</v>
      </c>
      <c r="K899" s="60">
        <v>5.69</v>
      </c>
      <c r="L899" s="56">
        <v>4.2699999999999996</v>
      </c>
      <c r="M899" s="14">
        <f>K899-L899</f>
        <v>1.4200000000000008</v>
      </c>
      <c r="N899" s="15">
        <f>IFERROR(M899/K899,0)</f>
        <v>0.24956063268892806</v>
      </c>
      <c r="O899" s="14">
        <f>IFERROR(L899/J899,0)</f>
        <v>0.6777777777777777</v>
      </c>
      <c r="P899" s="14">
        <f>IFERROR(L899/G899,0)</f>
        <v>0.28466666666666762</v>
      </c>
    </row>
    <row r="900" spans="1:19" x14ac:dyDescent="0.3">
      <c r="A900" s="9" t="s">
        <v>2134</v>
      </c>
      <c r="B900" s="9" t="s">
        <v>18</v>
      </c>
      <c r="C900" s="9" t="s">
        <v>184</v>
      </c>
      <c r="D900" s="52">
        <v>46153</v>
      </c>
      <c r="E900" s="48">
        <v>0.65</v>
      </c>
      <c r="F900" s="48">
        <v>0.65972222222222221</v>
      </c>
      <c r="G900" s="43">
        <f>(F900-E900)*1440</f>
        <v>13.99999999999995</v>
      </c>
      <c r="H900" s="9" t="s">
        <v>582</v>
      </c>
      <c r="I900" s="9" t="s">
        <v>1330</v>
      </c>
      <c r="J900" s="44">
        <v>7.21</v>
      </c>
      <c r="K900" s="60">
        <v>5.93</v>
      </c>
      <c r="L900" s="56">
        <v>5.01</v>
      </c>
      <c r="M900" s="14">
        <f>K900-L900</f>
        <v>0.91999999999999993</v>
      </c>
      <c r="N900" s="15">
        <f>IFERROR(M900/K900,0)</f>
        <v>0.1551433389544688</v>
      </c>
      <c r="O900" s="14">
        <f>IFERROR(L900/J900,0)</f>
        <v>0.69486823855755897</v>
      </c>
      <c r="P900" s="14">
        <f>IFERROR(L900/G900,0)</f>
        <v>0.35785714285714409</v>
      </c>
    </row>
    <row r="901" spans="1:19" x14ac:dyDescent="0.3">
      <c r="A901" s="9" t="s">
        <v>2263</v>
      </c>
      <c r="B901" s="9" t="s">
        <v>26</v>
      </c>
      <c r="C901" s="9" t="s">
        <v>27</v>
      </c>
      <c r="D901" s="52">
        <v>46153</v>
      </c>
      <c r="E901" s="48">
        <v>0.81944444444444453</v>
      </c>
      <c r="F901" s="48">
        <v>0.82708333333333339</v>
      </c>
      <c r="G901" s="43">
        <f>(F901-E901)*1440</f>
        <v>10.999999999999961</v>
      </c>
      <c r="H901" s="9" t="s">
        <v>843</v>
      </c>
      <c r="I901" s="9" t="s">
        <v>2465</v>
      </c>
      <c r="J901" s="44">
        <v>5.6</v>
      </c>
      <c r="K901" s="60">
        <v>5.13</v>
      </c>
      <c r="L901" s="56">
        <v>4.24</v>
      </c>
      <c r="M901" s="14">
        <f>K901-L901</f>
        <v>0.88999999999999968</v>
      </c>
      <c r="N901" s="15">
        <f>IFERROR(M901/K901,0)</f>
        <v>0.17348927875243658</v>
      </c>
      <c r="O901" s="14">
        <f>IFERROR(L901/J901,0)</f>
        <v>0.75714285714285723</v>
      </c>
      <c r="P901" s="14">
        <f>IFERROR(L901/G901,0)</f>
        <v>0.38545454545454683</v>
      </c>
    </row>
    <row r="902" spans="1:19" x14ac:dyDescent="0.3">
      <c r="A902" s="9" t="s">
        <v>2132</v>
      </c>
      <c r="B902" s="9" t="s">
        <v>18</v>
      </c>
      <c r="C902" s="9" t="s">
        <v>196</v>
      </c>
      <c r="D902" s="52">
        <v>46153</v>
      </c>
      <c r="E902" s="48">
        <v>0.57500000000000007</v>
      </c>
      <c r="F902" s="48">
        <v>0.58402777777777781</v>
      </c>
      <c r="G902" s="43">
        <f>(F902-E902)*1440</f>
        <v>12.999999999999954</v>
      </c>
      <c r="H902" s="9" t="s">
        <v>2252</v>
      </c>
      <c r="I902" s="9" t="s">
        <v>185</v>
      </c>
      <c r="J902" s="44">
        <v>5.83</v>
      </c>
      <c r="K902" s="60">
        <v>5.99</v>
      </c>
      <c r="L902" s="56">
        <v>4.57</v>
      </c>
      <c r="M902" s="14">
        <f>K902-L902</f>
        <v>1.42</v>
      </c>
      <c r="N902" s="15">
        <f>IFERROR(M902/K902,0)</f>
        <v>0.23706176961602668</v>
      </c>
      <c r="O902" s="14">
        <f>IFERROR(L902/J902,0)</f>
        <v>0.78387650085763294</v>
      </c>
      <c r="P902" s="14">
        <f>IFERROR(L902/G902,0)</f>
        <v>0.3515384615384628</v>
      </c>
    </row>
    <row r="903" spans="1:19" x14ac:dyDescent="0.3">
      <c r="A903" s="9" t="s">
        <v>2266</v>
      </c>
      <c r="B903" s="9" t="s">
        <v>26</v>
      </c>
      <c r="C903" s="9" t="s">
        <v>27</v>
      </c>
      <c r="D903" s="52">
        <v>46153</v>
      </c>
      <c r="E903" s="48">
        <v>0.8569444444444444</v>
      </c>
      <c r="F903" s="48">
        <v>0.86319444444444438</v>
      </c>
      <c r="G903" s="43">
        <f>(F903-E903)*1440</f>
        <v>8.999999999999968</v>
      </c>
      <c r="H903" s="9" t="s">
        <v>261</v>
      </c>
      <c r="I903" s="9" t="s">
        <v>2469</v>
      </c>
      <c r="J903" s="44">
        <v>5.2</v>
      </c>
      <c r="K903" s="60">
        <v>5.74</v>
      </c>
      <c r="L903" s="56">
        <v>4.3</v>
      </c>
      <c r="M903" s="14">
        <f>K903-L903</f>
        <v>1.4400000000000004</v>
      </c>
      <c r="N903" s="15">
        <f>IFERROR(M903/K903,0)</f>
        <v>0.25087108013937287</v>
      </c>
      <c r="O903" s="14">
        <f>IFERROR(L903/J903,0)</f>
        <v>0.82692307692307687</v>
      </c>
      <c r="P903" s="14">
        <f>IFERROR(L903/G903,0)</f>
        <v>0.47777777777777947</v>
      </c>
      <c r="R903" s="57">
        <v>1.32</v>
      </c>
    </row>
    <row r="904" spans="1:19" x14ac:dyDescent="0.3">
      <c r="A904" s="9" t="s">
        <v>2137</v>
      </c>
      <c r="B904" s="9" t="s">
        <v>538</v>
      </c>
      <c r="C904" s="9" t="s">
        <v>196</v>
      </c>
      <c r="D904" s="52">
        <v>46153</v>
      </c>
      <c r="E904" s="48">
        <v>0.77777777777777779</v>
      </c>
      <c r="F904" s="48">
        <v>0.79305555555555562</v>
      </c>
      <c r="G904" s="43">
        <f>(F904-E904)*1440</f>
        <v>22.000000000000082</v>
      </c>
      <c r="H904" s="9" t="s">
        <v>2257</v>
      </c>
      <c r="I904" s="9" t="s">
        <v>2188</v>
      </c>
      <c r="J904" s="44">
        <v>8.1999999999999993</v>
      </c>
      <c r="K904" s="60">
        <v>7.99</v>
      </c>
      <c r="L904" s="56">
        <v>6.84</v>
      </c>
      <c r="M904" s="14">
        <f>K904-L904</f>
        <v>1.1500000000000004</v>
      </c>
      <c r="N904" s="15">
        <f>IFERROR(M904/K904,0)</f>
        <v>0.14392991239048816</v>
      </c>
      <c r="O904" s="14">
        <f>IFERROR(L904/J904,0)</f>
        <v>0.83414634146341471</v>
      </c>
      <c r="P904" s="14">
        <f>IFERROR(L904/G904,0)</f>
        <v>0.31090909090908975</v>
      </c>
      <c r="S904" s="61">
        <v>2</v>
      </c>
    </row>
    <row r="905" spans="1:19" x14ac:dyDescent="0.3">
      <c r="A905" s="9" t="s">
        <v>2140</v>
      </c>
      <c r="B905" s="9" t="s">
        <v>26</v>
      </c>
      <c r="C905" s="9" t="s">
        <v>27</v>
      </c>
      <c r="D905" s="52">
        <v>46153</v>
      </c>
      <c r="E905" s="48">
        <v>0.60138888888888886</v>
      </c>
      <c r="F905" s="48">
        <v>0.6118055555555556</v>
      </c>
      <c r="G905" s="43">
        <f>(F905-E905)*1440</f>
        <v>15.000000000000107</v>
      </c>
      <c r="H905" s="9" t="s">
        <v>818</v>
      </c>
      <c r="I905" s="9" t="s">
        <v>214</v>
      </c>
      <c r="J905" s="44">
        <v>5.0999999999999996</v>
      </c>
      <c r="K905" s="60">
        <v>5.32</v>
      </c>
      <c r="L905" s="56">
        <v>4.3899999999999997</v>
      </c>
      <c r="M905" s="14">
        <f>K905-L905</f>
        <v>0.9300000000000006</v>
      </c>
      <c r="N905" s="15">
        <f>IFERROR(M905/K905,0)</f>
        <v>0.17481203007518809</v>
      </c>
      <c r="O905" s="14">
        <f>IFERROR(L905/J905,0)</f>
        <v>0.86078431372549025</v>
      </c>
      <c r="P905" s="14">
        <f>IFERROR(L905/G905,0)</f>
        <v>0.29266666666666458</v>
      </c>
    </row>
    <row r="906" spans="1:19" x14ac:dyDescent="0.3">
      <c r="A906" s="9" t="s">
        <v>2269</v>
      </c>
      <c r="B906" s="9" t="s">
        <v>18</v>
      </c>
      <c r="C906" s="9" t="s">
        <v>230</v>
      </c>
      <c r="D906" s="52">
        <v>46154</v>
      </c>
      <c r="E906" s="48">
        <v>0.58124999999999993</v>
      </c>
      <c r="F906" s="48">
        <v>0.59236111111111112</v>
      </c>
      <c r="G906" s="43">
        <f>(F906-E906)*1440</f>
        <v>16.000000000000103</v>
      </c>
      <c r="H906" s="9" t="s">
        <v>2472</v>
      </c>
      <c r="I906" s="9" t="s">
        <v>2473</v>
      </c>
      <c r="J906" s="44">
        <v>9.85</v>
      </c>
      <c r="K906" s="60">
        <v>4.91</v>
      </c>
      <c r="L906" s="56">
        <v>4.72</v>
      </c>
      <c r="M906" s="14">
        <f>K906-L906</f>
        <v>0.19000000000000039</v>
      </c>
      <c r="N906" s="15">
        <f>IFERROR(M906/K906,0)</f>
        <v>3.8696537678207819E-2</v>
      </c>
      <c r="O906" s="14">
        <f>IFERROR(L906/J906,0)</f>
        <v>0.47918781725888326</v>
      </c>
      <c r="P906" s="14">
        <f>IFERROR(L906/G906,0)</f>
        <v>0.2949999999999981</v>
      </c>
    </row>
    <row r="907" spans="1:19" x14ac:dyDescent="0.3">
      <c r="A907" s="9" t="s">
        <v>2281</v>
      </c>
      <c r="B907" s="9" t="s">
        <v>18</v>
      </c>
      <c r="C907" s="9" t="s">
        <v>184</v>
      </c>
      <c r="D907" s="52">
        <v>46154</v>
      </c>
      <c r="E907" s="48">
        <v>0.8666666666666667</v>
      </c>
      <c r="F907" s="48">
        <v>0.87638888888888899</v>
      </c>
      <c r="G907" s="43">
        <f>(F907-E907)*1440</f>
        <v>14.00000000000011</v>
      </c>
      <c r="H907" s="9" t="s">
        <v>1894</v>
      </c>
      <c r="I907" s="9" t="s">
        <v>703</v>
      </c>
      <c r="J907" s="44">
        <v>9.6</v>
      </c>
      <c r="K907" s="60">
        <v>6.94</v>
      </c>
      <c r="L907" s="56">
        <v>4.82</v>
      </c>
      <c r="M907" s="14">
        <f>K907-L907</f>
        <v>2.12</v>
      </c>
      <c r="N907" s="15">
        <f>IFERROR(M907/K907,0)</f>
        <v>0.30547550432276654</v>
      </c>
      <c r="O907" s="14">
        <f>IFERROR(L907/J907,0)</f>
        <v>0.50208333333333344</v>
      </c>
      <c r="P907" s="14">
        <f>IFERROR(L907/G907,0)</f>
        <v>0.34428571428571159</v>
      </c>
    </row>
    <row r="908" spans="1:19" x14ac:dyDescent="0.3">
      <c r="A908" s="9" t="s">
        <v>2280</v>
      </c>
      <c r="B908" s="9" t="s">
        <v>18</v>
      </c>
      <c r="C908" s="9" t="s">
        <v>184</v>
      </c>
      <c r="D908" s="52">
        <v>46154</v>
      </c>
      <c r="E908" s="48">
        <v>0.8534722222222223</v>
      </c>
      <c r="F908" s="48">
        <v>0.8618055555555556</v>
      </c>
      <c r="G908" s="43">
        <f>(F908-E908)*1440</f>
        <v>11.999999999999957</v>
      </c>
      <c r="H908" s="9" t="s">
        <v>204</v>
      </c>
      <c r="I908" s="9" t="s">
        <v>2480</v>
      </c>
      <c r="J908" s="44">
        <v>7.47</v>
      </c>
      <c r="K908" s="60">
        <v>5.96</v>
      </c>
      <c r="L908" s="56">
        <v>3.93</v>
      </c>
      <c r="M908" s="14">
        <f>K908-L908</f>
        <v>2.0299999999999998</v>
      </c>
      <c r="N908" s="15">
        <f>IFERROR(M908/K908,0)</f>
        <v>0.34060402684563756</v>
      </c>
      <c r="O908" s="14">
        <f>IFERROR(L908/J908,0)</f>
        <v>0.52610441767068272</v>
      </c>
      <c r="P908" s="14">
        <f>IFERROR(L908/G908,0)</f>
        <v>0.32750000000000118</v>
      </c>
    </row>
    <row r="909" spans="1:19" x14ac:dyDescent="0.3">
      <c r="A909" s="9" t="s">
        <v>2268</v>
      </c>
      <c r="B909" s="9" t="s">
        <v>26</v>
      </c>
      <c r="C909" s="9" t="s">
        <v>27</v>
      </c>
      <c r="D909" s="52">
        <v>46154</v>
      </c>
      <c r="E909" s="48">
        <v>0.7104166666666667</v>
      </c>
      <c r="F909" s="48">
        <v>0.7284722222222223</v>
      </c>
      <c r="G909" s="43">
        <f>(F909-E909)*1440</f>
        <v>26.000000000000068</v>
      </c>
      <c r="H909" s="9" t="s">
        <v>2471</v>
      </c>
      <c r="I909" s="9" t="s">
        <v>242</v>
      </c>
      <c r="J909" s="44">
        <v>11.4</v>
      </c>
      <c r="K909" s="60">
        <v>8.51</v>
      </c>
      <c r="L909" s="56">
        <v>6.38</v>
      </c>
      <c r="M909" s="14">
        <f>K909-L909</f>
        <v>2.13</v>
      </c>
      <c r="N909" s="15">
        <f>IFERROR(M909/K909,0)</f>
        <v>0.25029377203290248</v>
      </c>
      <c r="O909" s="14">
        <f>IFERROR(L909/J909,0)</f>
        <v>0.55964912280701751</v>
      </c>
      <c r="P909" s="14">
        <f>IFERROR(L909/G909,0)</f>
        <v>0.24538461538461476</v>
      </c>
    </row>
    <row r="910" spans="1:19" x14ac:dyDescent="0.3">
      <c r="A910" s="9" t="s">
        <v>2277</v>
      </c>
      <c r="B910" s="9" t="s">
        <v>18</v>
      </c>
      <c r="C910" s="9" t="s">
        <v>184</v>
      </c>
      <c r="D910" s="52">
        <v>46154</v>
      </c>
      <c r="E910" s="48">
        <v>0.74861111111111101</v>
      </c>
      <c r="F910" s="48">
        <v>0.76180555555555562</v>
      </c>
      <c r="G910" s="43">
        <f>(F910-E910)*1440</f>
        <v>19.000000000000252</v>
      </c>
      <c r="H910" s="9" t="s">
        <v>2478</v>
      </c>
      <c r="I910" s="9" t="s">
        <v>2479</v>
      </c>
      <c r="J910" s="44">
        <v>9.8699999999999992</v>
      </c>
      <c r="K910" s="60">
        <v>7.94</v>
      </c>
      <c r="L910" s="56">
        <v>5.65</v>
      </c>
      <c r="M910" s="14">
        <f>K910-L910</f>
        <v>2.29</v>
      </c>
      <c r="N910" s="15">
        <f>IFERROR(M910/K910,0)</f>
        <v>0.2884130982367758</v>
      </c>
      <c r="O910" s="14">
        <f>IFERROR(L910/J910,0)</f>
        <v>0.57244174265450865</v>
      </c>
      <c r="P910" s="14">
        <f>IFERROR(L910/G910,0)</f>
        <v>0.29736842105262767</v>
      </c>
    </row>
    <row r="911" spans="1:19" x14ac:dyDescent="0.3">
      <c r="A911" s="9" t="s">
        <v>2271</v>
      </c>
      <c r="B911" s="9" t="s">
        <v>18</v>
      </c>
      <c r="C911" s="9" t="s">
        <v>184</v>
      </c>
      <c r="D911" s="52">
        <v>46154</v>
      </c>
      <c r="E911" s="48">
        <v>0.63472222222222219</v>
      </c>
      <c r="F911" s="48">
        <v>0.64374999999999993</v>
      </c>
      <c r="G911" s="43">
        <f>(F911-E911)*1440</f>
        <v>12.999999999999954</v>
      </c>
      <c r="H911" s="9" t="s">
        <v>235</v>
      </c>
      <c r="I911" s="9" t="s">
        <v>2474</v>
      </c>
      <c r="J911" s="44">
        <v>5.43</v>
      </c>
      <c r="K911" s="60">
        <v>4.9400000000000004</v>
      </c>
      <c r="L911" s="56">
        <v>3.21</v>
      </c>
      <c r="M911" s="14">
        <f>K911-L911</f>
        <v>1.7300000000000004</v>
      </c>
      <c r="N911" s="15">
        <f>IFERROR(M911/K911,0)</f>
        <v>0.35020242914979766</v>
      </c>
      <c r="O911" s="14">
        <f>IFERROR(L911/J911,0)</f>
        <v>0.59116022099447518</v>
      </c>
      <c r="P911" s="14">
        <f>IFERROR(L911/G911,0)</f>
        <v>0.2469230769230778</v>
      </c>
    </row>
    <row r="912" spans="1:19" x14ac:dyDescent="0.3">
      <c r="A912" s="9" t="s">
        <v>2279</v>
      </c>
      <c r="B912" s="9" t="s">
        <v>18</v>
      </c>
      <c r="C912" s="9" t="s">
        <v>184</v>
      </c>
      <c r="D912" s="52">
        <v>46154</v>
      </c>
      <c r="E912" s="48">
        <v>0.81597222222222221</v>
      </c>
      <c r="F912" s="48">
        <v>0.82847222222222217</v>
      </c>
      <c r="G912" s="43">
        <f>(F912-E912)*1440</f>
        <v>17.999999999999936</v>
      </c>
      <c r="H912" s="9" t="s">
        <v>1120</v>
      </c>
      <c r="I912" s="9" t="s">
        <v>2180</v>
      </c>
      <c r="J912" s="44">
        <v>12.47</v>
      </c>
      <c r="K912" s="60">
        <v>12.93</v>
      </c>
      <c r="L912" s="56">
        <v>9.23</v>
      </c>
      <c r="M912" s="14">
        <f>K912-L912</f>
        <v>3.6999999999999993</v>
      </c>
      <c r="N912" s="15">
        <f>IFERROR(M912/K912,0)</f>
        <v>0.28615622583139982</v>
      </c>
      <c r="O912" s="14">
        <f>IFERROR(L912/J912,0)</f>
        <v>0.74017642341619883</v>
      </c>
      <c r="P912" s="14">
        <f>IFERROR(L912/G912,0)</f>
        <v>0.51277777777777966</v>
      </c>
    </row>
    <row r="913" spans="1:16" x14ac:dyDescent="0.3">
      <c r="A913" s="9" t="s">
        <v>2270</v>
      </c>
      <c r="B913" s="9" t="s">
        <v>18</v>
      </c>
      <c r="C913" s="9" t="s">
        <v>184</v>
      </c>
      <c r="D913" s="52">
        <v>46154</v>
      </c>
      <c r="E913" s="48">
        <v>0.61736111111111114</v>
      </c>
      <c r="F913" s="48">
        <v>0.62569444444444444</v>
      </c>
      <c r="G913" s="43">
        <f>(F913-E913)*1440</f>
        <v>11.999999999999957</v>
      </c>
      <c r="H913" s="9" t="s">
        <v>563</v>
      </c>
      <c r="I913" s="9" t="s">
        <v>1968</v>
      </c>
      <c r="J913" s="44">
        <v>3.92</v>
      </c>
      <c r="K913" s="60">
        <v>3.96</v>
      </c>
      <c r="L913" s="56">
        <v>3.17</v>
      </c>
      <c r="M913" s="14">
        <f>K913-L913</f>
        <v>0.79</v>
      </c>
      <c r="N913" s="15">
        <f>IFERROR(M913/K913,0)</f>
        <v>0.1994949494949495</v>
      </c>
      <c r="O913" s="14">
        <f>IFERROR(L913/J913,0)</f>
        <v>0.80867346938775508</v>
      </c>
      <c r="P913" s="14">
        <f>IFERROR(L913/G913,0)</f>
        <v>0.2641666666666676</v>
      </c>
    </row>
    <row r="914" spans="1:16" x14ac:dyDescent="0.3">
      <c r="A914" s="9" t="s">
        <v>2273</v>
      </c>
      <c r="B914" s="9" t="s">
        <v>538</v>
      </c>
      <c r="C914" s="9" t="s">
        <v>184</v>
      </c>
      <c r="D914" s="52">
        <v>46154</v>
      </c>
      <c r="E914" s="48">
        <v>0.68125000000000002</v>
      </c>
      <c r="F914" s="48">
        <v>0.68888888888888899</v>
      </c>
      <c r="G914" s="43">
        <f>(F914-E914)*1440</f>
        <v>11.000000000000121</v>
      </c>
      <c r="H914" s="9" t="s">
        <v>1953</v>
      </c>
      <c r="I914" s="9" t="s">
        <v>1979</v>
      </c>
      <c r="J914" s="44">
        <v>6.1</v>
      </c>
      <c r="K914" s="60">
        <v>5.94</v>
      </c>
      <c r="L914" s="56">
        <v>5.2</v>
      </c>
      <c r="M914" s="14">
        <f>K914-L914</f>
        <v>0.74000000000000021</v>
      </c>
      <c r="N914" s="15">
        <f>IFERROR(M914/K914,0)</f>
        <v>0.12457912457912461</v>
      </c>
      <c r="O914" s="14">
        <f>IFERROR(L914/J914,0)</f>
        <v>0.85245901639344268</v>
      </c>
      <c r="P914" s="14">
        <f>IFERROR(L914/G914,0)</f>
        <v>0.47272727272726756</v>
      </c>
    </row>
    <row r="915" spans="1:16" x14ac:dyDescent="0.3">
      <c r="A915" s="9" t="s">
        <v>2278</v>
      </c>
      <c r="B915" s="9" t="s">
        <v>538</v>
      </c>
      <c r="C915" s="9" t="s">
        <v>184</v>
      </c>
      <c r="D915" s="52">
        <v>46154</v>
      </c>
      <c r="E915" s="48">
        <v>0.77083333333333337</v>
      </c>
      <c r="F915" s="48">
        <v>0.79861111111111116</v>
      </c>
      <c r="G915" s="43">
        <f>(F915-E915)*1440</f>
        <v>40.000000000000014</v>
      </c>
      <c r="H915" s="9" t="s">
        <v>888</v>
      </c>
      <c r="I915" s="9" t="s">
        <v>1120</v>
      </c>
      <c r="J915" s="44">
        <v>11.43</v>
      </c>
      <c r="K915" s="60">
        <v>13.95</v>
      </c>
      <c r="L915" s="56">
        <v>9.86</v>
      </c>
      <c r="M915" s="14">
        <f>K915-L915</f>
        <v>4.09</v>
      </c>
      <c r="N915" s="15">
        <f>IFERROR(M915/K915,0)</f>
        <v>0.2931899641577061</v>
      </c>
      <c r="O915" s="14">
        <f>IFERROR(L915/J915,0)</f>
        <v>0.86264216972878383</v>
      </c>
      <c r="P915" s="14">
        <f>IFERROR(L915/G915,0)</f>
        <v>0.24649999999999989</v>
      </c>
    </row>
    <row r="916" spans="1:16" x14ac:dyDescent="0.3">
      <c r="A916" s="9" t="s">
        <v>2275</v>
      </c>
      <c r="B916" s="9" t="s">
        <v>18</v>
      </c>
      <c r="C916" s="9" t="s">
        <v>184</v>
      </c>
      <c r="D916" s="52">
        <v>46154</v>
      </c>
      <c r="E916" s="48">
        <v>0.70694444444444438</v>
      </c>
      <c r="F916" s="48">
        <v>0.71250000000000002</v>
      </c>
      <c r="G916" s="43">
        <f>(F916-E916)*1440</f>
        <v>8.0000000000001315</v>
      </c>
      <c r="H916" s="9" t="s">
        <v>233</v>
      </c>
      <c r="I916" s="9" t="s">
        <v>2477</v>
      </c>
      <c r="J916" s="44">
        <v>3.7</v>
      </c>
      <c r="K916" s="60">
        <v>4.9400000000000004</v>
      </c>
      <c r="L916" s="56">
        <v>3.3</v>
      </c>
      <c r="M916" s="14">
        <f>K916-L916</f>
        <v>1.6400000000000006</v>
      </c>
      <c r="N916" s="15">
        <f>IFERROR(M916/K916,0)</f>
        <v>0.33198380566801627</v>
      </c>
      <c r="O916" s="14">
        <f>IFERROR(L916/J916,0)</f>
        <v>0.89189189189189177</v>
      </c>
      <c r="P916" s="14">
        <f>IFERROR(L916/G916,0)</f>
        <v>0.41249999999999321</v>
      </c>
    </row>
    <row r="917" spans="1:16" x14ac:dyDescent="0.3">
      <c r="A917" s="9" t="s">
        <v>2267</v>
      </c>
      <c r="B917" s="9" t="s">
        <v>26</v>
      </c>
      <c r="C917" s="9" t="s">
        <v>26</v>
      </c>
      <c r="D917" s="52">
        <v>46154</v>
      </c>
      <c r="E917" s="48">
        <v>0.60277777777777775</v>
      </c>
      <c r="F917" s="48">
        <v>0.61111111111111105</v>
      </c>
      <c r="G917" s="43">
        <f>(F917-E917)*1440</f>
        <v>11.999999999999957</v>
      </c>
      <c r="H917" s="9" t="s">
        <v>2470</v>
      </c>
      <c r="I917" s="9" t="s">
        <v>1120</v>
      </c>
      <c r="J917" s="44">
        <v>3.5</v>
      </c>
      <c r="K917" s="60">
        <v>4.4000000000000004</v>
      </c>
      <c r="L917" s="56">
        <v>3.3</v>
      </c>
      <c r="M917" s="14">
        <f>K917-L917</f>
        <v>1.1000000000000005</v>
      </c>
      <c r="N917" s="15">
        <f>IFERROR(M917/K917,0)</f>
        <v>0.25000000000000011</v>
      </c>
      <c r="O917" s="14">
        <f>IFERROR(L917/J917,0)</f>
        <v>0.94285714285714284</v>
      </c>
      <c r="P917" s="14">
        <f>IFERROR(L917/G917,0)</f>
        <v>0.27500000000000097</v>
      </c>
    </row>
    <row r="918" spans="1:16" x14ac:dyDescent="0.3">
      <c r="A918" s="9" t="s">
        <v>2276</v>
      </c>
      <c r="B918" s="9" t="s">
        <v>18</v>
      </c>
      <c r="C918" s="9" t="s">
        <v>184</v>
      </c>
      <c r="D918" s="52">
        <v>46154</v>
      </c>
      <c r="E918" s="48">
        <v>0.73611111111111116</v>
      </c>
      <c r="F918" s="48">
        <v>0.74305555555555547</v>
      </c>
      <c r="G918" s="43">
        <f>(F918-E918)*1440</f>
        <v>9.9999999999998046</v>
      </c>
      <c r="H918" s="9" t="s">
        <v>633</v>
      </c>
      <c r="I918" s="9" t="s">
        <v>243</v>
      </c>
      <c r="J918" s="44">
        <v>5.37</v>
      </c>
      <c r="K918" s="60">
        <v>6.93</v>
      </c>
      <c r="L918" s="56">
        <v>5.78</v>
      </c>
      <c r="M918" s="14">
        <f>K918-L918</f>
        <v>1.1499999999999995</v>
      </c>
      <c r="N918" s="15">
        <f>IFERROR(M918/K918,0)</f>
        <v>0.16594516594516587</v>
      </c>
      <c r="O918" s="14">
        <f>IFERROR(L918/J918,0)</f>
        <v>1.0763500931098697</v>
      </c>
      <c r="P918" s="14">
        <f>IFERROR(L918/G918,0)</f>
        <v>0.57800000000001128</v>
      </c>
    </row>
    <row r="919" spans="1:16" x14ac:dyDescent="0.3">
      <c r="A919" s="9" t="s">
        <v>2274</v>
      </c>
      <c r="B919" s="9" t="s">
        <v>538</v>
      </c>
      <c r="C919" s="9" t="s">
        <v>184</v>
      </c>
      <c r="D919" s="52">
        <v>46154</v>
      </c>
      <c r="E919" s="48">
        <v>0.69097222222222221</v>
      </c>
      <c r="F919" s="48">
        <v>0.69652777777777775</v>
      </c>
      <c r="G919" s="43">
        <f>(F919-E919)*1440</f>
        <v>7.9999999999999716</v>
      </c>
      <c r="H919" s="9" t="s">
        <v>2476</v>
      </c>
      <c r="I919" s="9" t="s">
        <v>1789</v>
      </c>
      <c r="J919" s="44">
        <v>2.42</v>
      </c>
      <c r="K919" s="60">
        <v>4.95</v>
      </c>
      <c r="L919" s="56">
        <v>4.18</v>
      </c>
      <c r="M919" s="14">
        <f>K919-L919</f>
        <v>0.77000000000000046</v>
      </c>
      <c r="N919" s="15">
        <f>IFERROR(M919/K919,0)</f>
        <v>0.15555555555555564</v>
      </c>
      <c r="O919" s="14">
        <f>IFERROR(L919/J919,0)</f>
        <v>1.7272727272727273</v>
      </c>
      <c r="P919" s="14">
        <f>IFERROR(L919/G919,0)</f>
        <v>0.52250000000000185</v>
      </c>
    </row>
    <row r="920" spans="1:16" x14ac:dyDescent="0.3">
      <c r="A920" s="9" t="s">
        <v>2272</v>
      </c>
      <c r="B920" s="9" t="s">
        <v>18</v>
      </c>
      <c r="C920" s="9" t="s">
        <v>184</v>
      </c>
      <c r="D920" s="52">
        <v>46154</v>
      </c>
      <c r="E920" s="48">
        <v>0.67291666666666661</v>
      </c>
      <c r="F920" s="48">
        <v>0.67847222222222225</v>
      </c>
      <c r="G920" s="43">
        <f>(F920-E920)*1440</f>
        <v>8.0000000000001315</v>
      </c>
      <c r="H920" s="9" t="s">
        <v>2475</v>
      </c>
      <c r="I920" s="9" t="s">
        <v>234</v>
      </c>
      <c r="J920" s="44">
        <v>2.2400000000000002</v>
      </c>
      <c r="K920" s="60">
        <v>4.96</v>
      </c>
      <c r="L920" s="56">
        <v>4.03</v>
      </c>
      <c r="M920" s="14">
        <f>K920-L920</f>
        <v>0.92999999999999972</v>
      </c>
      <c r="N920" s="15">
        <f>IFERROR(M920/K920,0)</f>
        <v>0.18749999999999994</v>
      </c>
      <c r="O920" s="14">
        <f>IFERROR(L920/J920,0)</f>
        <v>1.7991071428571428</v>
      </c>
      <c r="P920" s="14">
        <f>IFERROR(L920/G920,0)</f>
        <v>0.5037499999999917</v>
      </c>
    </row>
    <row r="921" spans="1:16" x14ac:dyDescent="0.3">
      <c r="A921" s="9" t="s">
        <v>2282</v>
      </c>
      <c r="B921" s="9" t="s">
        <v>18</v>
      </c>
      <c r="C921" s="9" t="s">
        <v>824</v>
      </c>
      <c r="D921" s="52">
        <v>46155</v>
      </c>
      <c r="E921" s="48">
        <v>0.53749999999999998</v>
      </c>
      <c r="F921" s="48">
        <v>0.55277777777777781</v>
      </c>
      <c r="G921" s="43">
        <f>(F921-E921)*1440</f>
        <v>22.000000000000082</v>
      </c>
      <c r="H921" s="9" t="s">
        <v>262</v>
      </c>
      <c r="I921" s="9" t="s">
        <v>1728</v>
      </c>
      <c r="J921" s="44">
        <v>24.96</v>
      </c>
      <c r="K921" s="60">
        <v>12.76</v>
      </c>
      <c r="L921" s="56">
        <v>9.64</v>
      </c>
      <c r="M921" s="14">
        <f>K921-L921</f>
        <v>3.1199999999999992</v>
      </c>
      <c r="N921" s="15">
        <f>IFERROR(M921/K921,0)</f>
        <v>0.24451410658307204</v>
      </c>
      <c r="O921" s="14">
        <f>IFERROR(L921/J921,0)</f>
        <v>0.38621794871794873</v>
      </c>
      <c r="P921" s="14">
        <f>IFERROR(L921/G921,0)</f>
        <v>0.43818181818181656</v>
      </c>
    </row>
    <row r="922" spans="1:16" x14ac:dyDescent="0.3">
      <c r="A922" s="9" t="s">
        <v>2283</v>
      </c>
      <c r="B922" s="9" t="s">
        <v>18</v>
      </c>
      <c r="C922" s="9" t="s">
        <v>184</v>
      </c>
      <c r="D922" s="52">
        <v>46155</v>
      </c>
      <c r="E922" s="48">
        <v>0.625</v>
      </c>
      <c r="F922" s="48">
        <v>0.63750000000000007</v>
      </c>
      <c r="G922" s="43">
        <f>(F922-E922)*1440</f>
        <v>18.000000000000096</v>
      </c>
      <c r="H922" s="9" t="s">
        <v>729</v>
      </c>
      <c r="I922" s="9" t="s">
        <v>2481</v>
      </c>
      <c r="J922" s="44">
        <v>14.69</v>
      </c>
      <c r="K922" s="60">
        <v>8.93</v>
      </c>
      <c r="L922" s="56">
        <v>5.8</v>
      </c>
      <c r="M922" s="14">
        <f>K922-L922</f>
        <v>3.13</v>
      </c>
      <c r="N922" s="15">
        <f>IFERROR(M922/K922,0)</f>
        <v>0.35050391937290032</v>
      </c>
      <c r="O922" s="14">
        <f>IFERROR(L922/J922,0)</f>
        <v>0.39482641252552758</v>
      </c>
      <c r="P922" s="14">
        <f>IFERROR(L922/G922,0)</f>
        <v>0.32222222222222052</v>
      </c>
    </row>
    <row r="923" spans="1:16" x14ac:dyDescent="0.3">
      <c r="A923" s="9" t="s">
        <v>2289</v>
      </c>
      <c r="B923" s="9" t="s">
        <v>538</v>
      </c>
      <c r="C923" s="9" t="s">
        <v>184</v>
      </c>
      <c r="D923" s="52">
        <v>46155</v>
      </c>
      <c r="E923" s="48">
        <v>0.80625000000000002</v>
      </c>
      <c r="F923" s="48">
        <v>0.81805555555555554</v>
      </c>
      <c r="G923" s="43">
        <f>(F923-E923)*1440</f>
        <v>16.99999999999994</v>
      </c>
      <c r="H923" s="9" t="s">
        <v>23</v>
      </c>
      <c r="I923" s="9" t="s">
        <v>24</v>
      </c>
      <c r="J923" s="44">
        <v>18.309999999999999</v>
      </c>
      <c r="K923" s="60">
        <v>11.96</v>
      </c>
      <c r="L923" s="56">
        <v>8.15</v>
      </c>
      <c r="M923" s="14">
        <f>K923-L923</f>
        <v>3.8100000000000005</v>
      </c>
      <c r="N923" s="15">
        <f>IFERROR(M923/K923,0)</f>
        <v>0.31856187290969901</v>
      </c>
      <c r="O923" s="14">
        <f>IFERROR(L923/J923,0)</f>
        <v>0.44511196067722564</v>
      </c>
      <c r="P923" s="14">
        <f>IFERROR(L923/G923,0)</f>
        <v>0.47941176470588409</v>
      </c>
    </row>
    <row r="924" spans="1:16" x14ac:dyDescent="0.3">
      <c r="A924" s="9" t="s">
        <v>2293</v>
      </c>
      <c r="B924" s="9" t="s">
        <v>26</v>
      </c>
      <c r="C924" s="9" t="s">
        <v>27</v>
      </c>
      <c r="D924" s="52">
        <v>46155</v>
      </c>
      <c r="E924" s="48">
        <v>0.66111111111111109</v>
      </c>
      <c r="F924" s="48">
        <v>0.67291666666666661</v>
      </c>
      <c r="G924" s="43">
        <f>(F924-E924)*1440</f>
        <v>16.99999999999994</v>
      </c>
      <c r="H924" s="9" t="s">
        <v>2487</v>
      </c>
      <c r="I924" s="9" t="s">
        <v>1960</v>
      </c>
      <c r="J924" s="44">
        <v>9.5</v>
      </c>
      <c r="K924" s="60">
        <v>6.81</v>
      </c>
      <c r="L924" s="56">
        <v>5.1100000000000003</v>
      </c>
      <c r="M924" s="14">
        <f>K924-L924</f>
        <v>1.6999999999999993</v>
      </c>
      <c r="N924" s="15">
        <f>IFERROR(M924/K924,0)</f>
        <v>0.24963289280469889</v>
      </c>
      <c r="O924" s="14">
        <f>IFERROR(L924/J924,0)</f>
        <v>0.53789473684210531</v>
      </c>
      <c r="P924" s="14">
        <f>IFERROR(L924/G924,0)</f>
        <v>0.30058823529411871</v>
      </c>
    </row>
    <row r="925" spans="1:16" x14ac:dyDescent="0.3">
      <c r="A925" s="9" t="s">
        <v>2292</v>
      </c>
      <c r="B925" s="9" t="s">
        <v>26</v>
      </c>
      <c r="C925" s="9" t="s">
        <v>27</v>
      </c>
      <c r="D925" s="52">
        <v>46155</v>
      </c>
      <c r="E925" s="48">
        <v>0.60763888888888895</v>
      </c>
      <c r="F925" s="48">
        <v>0.61944444444444446</v>
      </c>
      <c r="G925" s="43">
        <f>(F925-E925)*1440</f>
        <v>16.99999999999994</v>
      </c>
      <c r="H925" s="9" t="s">
        <v>235</v>
      </c>
      <c r="I925" s="9" t="s">
        <v>560</v>
      </c>
      <c r="J925" s="44">
        <v>7.7</v>
      </c>
      <c r="K925" s="60">
        <v>6.17</v>
      </c>
      <c r="L925" s="56">
        <v>4.63</v>
      </c>
      <c r="M925" s="14">
        <f>K925-L925</f>
        <v>1.54</v>
      </c>
      <c r="N925" s="15">
        <f>IFERROR(M925/K925,0)</f>
        <v>0.24959481361426256</v>
      </c>
      <c r="O925" s="14">
        <f>IFERROR(L925/J925,0)</f>
        <v>0.60129870129870122</v>
      </c>
      <c r="P925" s="14">
        <f>IFERROR(L925/G925,0)</f>
        <v>0.27235294117647157</v>
      </c>
    </row>
    <row r="926" spans="1:16" x14ac:dyDescent="0.3">
      <c r="A926" s="9" t="s">
        <v>2290</v>
      </c>
      <c r="B926" s="9" t="s">
        <v>26</v>
      </c>
      <c r="C926" s="9" t="s">
        <v>27</v>
      </c>
      <c r="D926" s="52">
        <v>46155</v>
      </c>
      <c r="E926" s="48">
        <v>0.56180555555555556</v>
      </c>
      <c r="F926" s="48">
        <v>0.57777777777777783</v>
      </c>
      <c r="G926" s="43">
        <f>(F926-E926)*1440</f>
        <v>23.000000000000078</v>
      </c>
      <c r="H926" s="9" t="s">
        <v>2485</v>
      </c>
      <c r="I926" s="9" t="s">
        <v>2003</v>
      </c>
      <c r="J926" s="44">
        <v>7.7</v>
      </c>
      <c r="K926" s="60">
        <v>6.65</v>
      </c>
      <c r="L926" s="56">
        <v>4.99</v>
      </c>
      <c r="M926" s="14">
        <f>K926-L926</f>
        <v>1.6600000000000001</v>
      </c>
      <c r="N926" s="15">
        <f>IFERROR(M926/K926,0)</f>
        <v>0.24962406015037594</v>
      </c>
      <c r="O926" s="14">
        <f>IFERROR(L926/J926,0)</f>
        <v>0.6480519480519481</v>
      </c>
      <c r="P926" s="14">
        <f>IFERROR(L926/G926,0)</f>
        <v>0.21695652173912972</v>
      </c>
    </row>
    <row r="927" spans="1:16" x14ac:dyDescent="0.3">
      <c r="A927" s="9" t="s">
        <v>2291</v>
      </c>
      <c r="B927" s="9" t="s">
        <v>26</v>
      </c>
      <c r="C927" s="9" t="s">
        <v>26</v>
      </c>
      <c r="D927" s="52">
        <v>46155</v>
      </c>
      <c r="E927" s="48">
        <v>0.57916666666666672</v>
      </c>
      <c r="F927" s="48">
        <v>0.58888888888888891</v>
      </c>
      <c r="G927" s="43">
        <f>(F927-E927)*1440</f>
        <v>13.99999999999995</v>
      </c>
      <c r="H927" s="9" t="s">
        <v>852</v>
      </c>
      <c r="I927" s="9" t="s">
        <v>2486</v>
      </c>
      <c r="J927" s="44">
        <v>8.1</v>
      </c>
      <c r="K927" s="60">
        <v>7.02</v>
      </c>
      <c r="L927" s="56">
        <v>5.26</v>
      </c>
      <c r="M927" s="14">
        <f>K927-L927</f>
        <v>1.7599999999999998</v>
      </c>
      <c r="N927" s="15">
        <f>IFERROR(M927/K927,0)</f>
        <v>0.25071225071225067</v>
      </c>
      <c r="O927" s="14">
        <f>IFERROR(L927/J927,0)</f>
        <v>0.64938271604938269</v>
      </c>
      <c r="P927" s="14">
        <f>IFERROR(L927/G927,0)</f>
        <v>0.37571428571428706</v>
      </c>
    </row>
    <row r="928" spans="1:16" x14ac:dyDescent="0.3">
      <c r="A928" s="9" t="s">
        <v>2284</v>
      </c>
      <c r="B928" s="9" t="s">
        <v>18</v>
      </c>
      <c r="C928" s="9" t="s">
        <v>196</v>
      </c>
      <c r="D928" s="52">
        <v>46155</v>
      </c>
      <c r="E928" s="48">
        <v>0.6743055555555556</v>
      </c>
      <c r="F928" s="48">
        <v>0.6958333333333333</v>
      </c>
      <c r="G928" s="43">
        <f>(F928-E928)*1440</f>
        <v>30.99999999999989</v>
      </c>
      <c r="H928" s="9" t="s">
        <v>634</v>
      </c>
      <c r="I928" s="9" t="s">
        <v>2193</v>
      </c>
      <c r="J928" s="44">
        <v>16.25</v>
      </c>
      <c r="K928" s="60">
        <v>16.98</v>
      </c>
      <c r="L928" s="56">
        <v>11.15</v>
      </c>
      <c r="M928" s="14">
        <f>K928-L928</f>
        <v>5.83</v>
      </c>
      <c r="N928" s="15">
        <f>IFERROR(M928/K928,0)</f>
        <v>0.34334511189634864</v>
      </c>
      <c r="O928" s="14">
        <f>IFERROR(L928/J928,0)</f>
        <v>0.68615384615384623</v>
      </c>
      <c r="P928" s="14">
        <f>IFERROR(L928/G928,0)</f>
        <v>0.35967741935483999</v>
      </c>
    </row>
    <row r="929" spans="1:19" x14ac:dyDescent="0.3">
      <c r="A929" s="9" t="s">
        <v>2288</v>
      </c>
      <c r="B929" s="9" t="s">
        <v>538</v>
      </c>
      <c r="C929" s="9" t="s">
        <v>184</v>
      </c>
      <c r="D929" s="52">
        <v>46155</v>
      </c>
      <c r="E929" s="48">
        <v>0.76944444444444438</v>
      </c>
      <c r="F929" s="48">
        <v>0.78611111111111109</v>
      </c>
      <c r="G929" s="43">
        <f>(F929-E929)*1440</f>
        <v>24.000000000000075</v>
      </c>
      <c r="H929" s="9" t="s">
        <v>2471</v>
      </c>
      <c r="I929" s="9" t="s">
        <v>2153</v>
      </c>
      <c r="J929" s="44">
        <v>10.29</v>
      </c>
      <c r="K929" s="60">
        <v>8.9499999999999993</v>
      </c>
      <c r="L929" s="56">
        <v>7.33</v>
      </c>
      <c r="M929" s="14">
        <f>K929-L929</f>
        <v>1.6199999999999992</v>
      </c>
      <c r="N929" s="15">
        <f>IFERROR(M929/K929,0)</f>
        <v>0.18100558659217869</v>
      </c>
      <c r="O929" s="14">
        <f>IFERROR(L929/J929,0)</f>
        <v>0.71234207968901853</v>
      </c>
      <c r="P929" s="14">
        <f>IFERROR(L929/G929,0)</f>
        <v>0.30541666666666573</v>
      </c>
    </row>
    <row r="930" spans="1:19" x14ac:dyDescent="0.3">
      <c r="A930" s="9" t="s">
        <v>2285</v>
      </c>
      <c r="B930" s="9" t="s">
        <v>18</v>
      </c>
      <c r="C930" s="9" t="s">
        <v>184</v>
      </c>
      <c r="D930" s="52">
        <v>46155</v>
      </c>
      <c r="E930" s="48">
        <v>0.70138888888888884</v>
      </c>
      <c r="F930" s="48">
        <v>0.70763888888888893</v>
      </c>
      <c r="G930" s="43">
        <f>(F930-E930)*1440</f>
        <v>9.0000000000001279</v>
      </c>
      <c r="H930" s="9" t="s">
        <v>1337</v>
      </c>
      <c r="I930" s="9" t="s">
        <v>564</v>
      </c>
      <c r="J930" s="44">
        <v>4.97</v>
      </c>
      <c r="K930" s="60">
        <v>4.12</v>
      </c>
      <c r="L930" s="56">
        <v>4</v>
      </c>
      <c r="M930" s="14">
        <f>K930-L930</f>
        <v>0.12000000000000011</v>
      </c>
      <c r="N930" s="15">
        <f>IFERROR(M930/K930,0)</f>
        <v>2.9126213592233035E-2</v>
      </c>
      <c r="O930" s="14">
        <f>IFERROR(L930/J930,0)</f>
        <v>0.8048289738430584</v>
      </c>
      <c r="P930" s="14">
        <f>IFERROR(L930/G930,0)</f>
        <v>0.44444444444443815</v>
      </c>
    </row>
    <row r="931" spans="1:19" x14ac:dyDescent="0.3">
      <c r="A931" s="9" t="s">
        <v>2286</v>
      </c>
      <c r="B931" s="9" t="s">
        <v>538</v>
      </c>
      <c r="C931" s="9" t="s">
        <v>184</v>
      </c>
      <c r="D931" s="52">
        <v>46155</v>
      </c>
      <c r="E931" s="48">
        <v>0.74097222222222225</v>
      </c>
      <c r="F931" s="48">
        <v>0.75069444444444444</v>
      </c>
      <c r="G931" s="43">
        <f>(F931-E931)*1440</f>
        <v>13.99999999999995</v>
      </c>
      <c r="H931" s="9" t="s">
        <v>2482</v>
      </c>
      <c r="I931" s="9" t="s">
        <v>2483</v>
      </c>
      <c r="J931" s="44">
        <v>3.41</v>
      </c>
      <c r="K931" s="60">
        <v>5.0999999999999996</v>
      </c>
      <c r="L931" s="56">
        <v>4.95</v>
      </c>
      <c r="M931" s="14">
        <f>K931-L931</f>
        <v>0.14999999999999947</v>
      </c>
      <c r="N931" s="15">
        <f>IFERROR(M931/K931,0)</f>
        <v>2.9411764705882252E-2</v>
      </c>
      <c r="O931" s="14">
        <f>IFERROR(L931/J931,0)</f>
        <v>1.4516129032258065</v>
      </c>
      <c r="P931" s="14">
        <f>IFERROR(L931/G931,0)</f>
        <v>0.35357142857142981</v>
      </c>
    </row>
    <row r="932" spans="1:19" x14ac:dyDescent="0.3">
      <c r="A932" s="9" t="s">
        <v>2287</v>
      </c>
      <c r="B932" s="9" t="s">
        <v>538</v>
      </c>
      <c r="C932" s="9" t="s">
        <v>196</v>
      </c>
      <c r="D932" s="52">
        <v>46155</v>
      </c>
      <c r="E932" s="48">
        <v>0.75347222222222221</v>
      </c>
      <c r="F932" s="48">
        <v>0.76111111111111107</v>
      </c>
      <c r="G932" s="43">
        <f>(F932-E932)*1440</f>
        <v>10.999999999999961</v>
      </c>
      <c r="H932" s="9" t="s">
        <v>827</v>
      </c>
      <c r="I932" s="9" t="s">
        <v>2484</v>
      </c>
      <c r="J932" s="44">
        <v>2.87</v>
      </c>
      <c r="K932" s="60">
        <v>5.98</v>
      </c>
      <c r="L932" s="56">
        <v>4.46</v>
      </c>
      <c r="M932" s="14">
        <f>K932-L932</f>
        <v>1.5200000000000005</v>
      </c>
      <c r="N932" s="15">
        <f>IFERROR(M932/K932,0)</f>
        <v>0.25418060200668902</v>
      </c>
      <c r="O932" s="14">
        <f>IFERROR(L932/J932,0)</f>
        <v>1.5540069686411149</v>
      </c>
      <c r="P932" s="14">
        <f>IFERROR(L932/G932,0)</f>
        <v>0.4054545454545469</v>
      </c>
    </row>
    <row r="933" spans="1:19" x14ac:dyDescent="0.3">
      <c r="A933" s="9" t="s">
        <v>2298</v>
      </c>
      <c r="B933" s="9" t="s">
        <v>538</v>
      </c>
      <c r="C933" s="9" t="s">
        <v>184</v>
      </c>
      <c r="D933" s="52">
        <v>46156</v>
      </c>
      <c r="E933" s="48">
        <v>0.64027777777777783</v>
      </c>
      <c r="F933" s="48">
        <v>0.65625</v>
      </c>
      <c r="G933" s="43">
        <f>(F933-E933)*1440</f>
        <v>22.999999999999918</v>
      </c>
      <c r="H933" s="9" t="s">
        <v>2492</v>
      </c>
      <c r="I933" s="9" t="s">
        <v>2493</v>
      </c>
      <c r="J933" s="44">
        <v>18.45</v>
      </c>
      <c r="K933" s="60">
        <v>11.95</v>
      </c>
      <c r="L933" s="56">
        <v>7.77</v>
      </c>
      <c r="M933" s="14">
        <f>K933-L933</f>
        <v>4.18</v>
      </c>
      <c r="N933" s="15">
        <f>IFERROR(M933/K933,0)</f>
        <v>0.3497907949790795</v>
      </c>
      <c r="O933" s="14">
        <f>IFERROR(L933/J933,0)</f>
        <v>0.42113821138211383</v>
      </c>
      <c r="P933" s="14">
        <f>IFERROR(L933/G933,0)</f>
        <v>0.33782608695652294</v>
      </c>
    </row>
    <row r="934" spans="1:19" x14ac:dyDescent="0.3">
      <c r="A934" s="9" t="s">
        <v>2294</v>
      </c>
      <c r="B934" s="9" t="s">
        <v>18</v>
      </c>
      <c r="C934" s="9" t="s">
        <v>184</v>
      </c>
      <c r="D934" s="52">
        <v>46156</v>
      </c>
      <c r="E934" s="48">
        <v>0.58472222222222225</v>
      </c>
      <c r="F934" s="48">
        <v>0.59375</v>
      </c>
      <c r="G934" s="43">
        <f>(F934-E934)*1440</f>
        <v>12.999999999999954</v>
      </c>
      <c r="H934" s="9" t="s">
        <v>2488</v>
      </c>
      <c r="I934" s="9" t="s">
        <v>2489</v>
      </c>
      <c r="J934" s="44">
        <v>8.51</v>
      </c>
      <c r="K934" s="60">
        <v>5.57</v>
      </c>
      <c r="L934" s="56">
        <v>4.26</v>
      </c>
      <c r="M934" s="14">
        <f>K934-L934</f>
        <v>1.3100000000000005</v>
      </c>
      <c r="N934" s="15">
        <f>IFERROR(M934/K934,0)</f>
        <v>0.23518850987432682</v>
      </c>
      <c r="O934" s="14">
        <f>IFERROR(L934/J934,0)</f>
        <v>0.50058754406580497</v>
      </c>
      <c r="P934" s="14">
        <f>IFERROR(L934/G934,0)</f>
        <v>0.32769230769230884</v>
      </c>
    </row>
    <row r="935" spans="1:19" x14ac:dyDescent="0.3">
      <c r="A935" s="9" t="s">
        <v>2296</v>
      </c>
      <c r="B935" s="9" t="s">
        <v>538</v>
      </c>
      <c r="C935" s="9" t="s">
        <v>184</v>
      </c>
      <c r="D935" s="52">
        <v>46156</v>
      </c>
      <c r="E935" s="48">
        <v>0.60763888888888895</v>
      </c>
      <c r="F935" s="48">
        <v>0.62083333333333335</v>
      </c>
      <c r="G935" s="43">
        <f>(F935-E935)*1440</f>
        <v>18.999999999999932</v>
      </c>
      <c r="H935" s="9" t="s">
        <v>1207</v>
      </c>
      <c r="I935" s="9" t="s">
        <v>1223</v>
      </c>
      <c r="J935" s="44">
        <v>9.19</v>
      </c>
      <c r="K935" s="60">
        <v>7.96</v>
      </c>
      <c r="L935" s="56">
        <v>5.17</v>
      </c>
      <c r="M935" s="14">
        <f>K935-L935</f>
        <v>2.79</v>
      </c>
      <c r="N935" s="15">
        <f>IFERROR(M935/K935,0)</f>
        <v>0.35050251256281406</v>
      </c>
      <c r="O935" s="14">
        <f>IFERROR(L935/J935,0)</f>
        <v>0.56256800870511425</v>
      </c>
      <c r="P935" s="14">
        <f>IFERROR(L935/G935,0)</f>
        <v>0.27210526315789568</v>
      </c>
    </row>
    <row r="936" spans="1:19" x14ac:dyDescent="0.3">
      <c r="A936" s="9" t="s">
        <v>2299</v>
      </c>
      <c r="B936" s="9" t="s">
        <v>18</v>
      </c>
      <c r="C936" s="9" t="s">
        <v>184</v>
      </c>
      <c r="D936" s="52">
        <v>46156</v>
      </c>
      <c r="E936" s="48">
        <v>0.67708333333333337</v>
      </c>
      <c r="F936" s="48">
        <v>0.68819444444444444</v>
      </c>
      <c r="G936" s="43">
        <f>(F936-E936)*1440</f>
        <v>15.999999999999943</v>
      </c>
      <c r="H936" s="9" t="s">
        <v>2494</v>
      </c>
      <c r="I936" s="9" t="s">
        <v>792</v>
      </c>
      <c r="J936" s="44">
        <v>9.32</v>
      </c>
      <c r="K936" s="60">
        <v>7.94</v>
      </c>
      <c r="L936" s="56">
        <v>5.36</v>
      </c>
      <c r="M936" s="14">
        <f>K936-L936</f>
        <v>2.58</v>
      </c>
      <c r="N936" s="15">
        <f>IFERROR(M936/K936,0)</f>
        <v>0.32493702770780858</v>
      </c>
      <c r="O936" s="14">
        <f>IFERROR(L936/J936,0)</f>
        <v>0.57510729613733902</v>
      </c>
      <c r="P936" s="14">
        <f>IFERROR(L936/G936,0)</f>
        <v>0.33500000000000119</v>
      </c>
    </row>
    <row r="937" spans="1:19" x14ac:dyDescent="0.3">
      <c r="A937" s="9" t="s">
        <v>2297</v>
      </c>
      <c r="B937" s="9" t="s">
        <v>538</v>
      </c>
      <c r="C937" s="9" t="s">
        <v>196</v>
      </c>
      <c r="D937" s="52">
        <v>46156</v>
      </c>
      <c r="E937" s="48">
        <v>0.62708333333333333</v>
      </c>
      <c r="F937" s="48">
        <v>0.63750000000000007</v>
      </c>
      <c r="G937" s="43">
        <f>(F937-E937)*1440</f>
        <v>15.000000000000107</v>
      </c>
      <c r="H937" s="9" t="s">
        <v>645</v>
      </c>
      <c r="I937" s="9" t="s">
        <v>2491</v>
      </c>
      <c r="J937" s="44">
        <v>8.08</v>
      </c>
      <c r="K937" s="60">
        <v>6.99</v>
      </c>
      <c r="L937" s="56">
        <v>4.7</v>
      </c>
      <c r="M937" s="14">
        <f>K937-L937</f>
        <v>2.29</v>
      </c>
      <c r="N937" s="15">
        <f>IFERROR(M937/K937,0)</f>
        <v>0.32761087267525035</v>
      </c>
      <c r="O937" s="14">
        <f>IFERROR(L937/J937,0)</f>
        <v>0.58168316831683164</v>
      </c>
      <c r="P937" s="14">
        <f>IFERROR(L937/G937,0)</f>
        <v>0.31333333333333113</v>
      </c>
      <c r="S937" s="61">
        <v>1</v>
      </c>
    </row>
    <row r="938" spans="1:19" x14ac:dyDescent="0.3">
      <c r="A938" s="9" t="s">
        <v>2301</v>
      </c>
      <c r="B938" s="9" t="s">
        <v>538</v>
      </c>
      <c r="C938" s="9" t="s">
        <v>184</v>
      </c>
      <c r="D938" s="52">
        <v>46156</v>
      </c>
      <c r="E938" s="48">
        <v>0.70347222222222217</v>
      </c>
      <c r="F938" s="48">
        <v>0.73055555555555562</v>
      </c>
      <c r="G938" s="43">
        <f>(F938-E938)*1440</f>
        <v>39.000000000000185</v>
      </c>
      <c r="H938" s="9" t="s">
        <v>2497</v>
      </c>
      <c r="I938" s="9" t="s">
        <v>2497</v>
      </c>
      <c r="J938" s="44">
        <v>20.87</v>
      </c>
      <c r="K938" s="60">
        <v>15.91</v>
      </c>
      <c r="L938" s="56">
        <v>12.28</v>
      </c>
      <c r="M938" s="14">
        <f>K938-L938</f>
        <v>3.6300000000000008</v>
      </c>
      <c r="N938" s="15">
        <f>IFERROR(M938/K938,0)</f>
        <v>0.22815839094908866</v>
      </c>
      <c r="O938" s="14">
        <f>IFERROR(L938/J938,0)</f>
        <v>0.58840440824149487</v>
      </c>
      <c r="P938" s="14">
        <f>IFERROR(L938/G938,0)</f>
        <v>0.31487179487179334</v>
      </c>
    </row>
    <row r="939" spans="1:19" x14ac:dyDescent="0.3">
      <c r="A939" s="9" t="s">
        <v>2300</v>
      </c>
      <c r="B939" s="9" t="s">
        <v>538</v>
      </c>
      <c r="C939" s="9" t="s">
        <v>824</v>
      </c>
      <c r="D939" s="52">
        <v>46156</v>
      </c>
      <c r="E939" s="48">
        <v>0.68958333333333333</v>
      </c>
      <c r="F939" s="48">
        <v>0.6972222222222223</v>
      </c>
      <c r="G939" s="43">
        <f>(F939-E939)*1440</f>
        <v>11.000000000000121</v>
      </c>
      <c r="H939" s="9" t="s">
        <v>2495</v>
      </c>
      <c r="I939" s="9" t="s">
        <v>2496</v>
      </c>
      <c r="J939" s="44">
        <v>7.96</v>
      </c>
      <c r="K939" s="60">
        <v>5.93</v>
      </c>
      <c r="L939" s="56">
        <v>5.51</v>
      </c>
      <c r="M939" s="14">
        <f>K939-L939</f>
        <v>0.41999999999999993</v>
      </c>
      <c r="N939" s="15">
        <f>IFERROR(M939/K939,0)</f>
        <v>7.082630691399662E-2</v>
      </c>
      <c r="O939" s="14">
        <f>IFERROR(L939/J939,0)</f>
        <v>0.69221105527638194</v>
      </c>
      <c r="P939" s="14">
        <f>IFERROR(L939/G939,0)</f>
        <v>0.50090909090908542</v>
      </c>
    </row>
    <row r="940" spans="1:19" x14ac:dyDescent="0.3">
      <c r="A940" s="9" t="s">
        <v>2295</v>
      </c>
      <c r="B940" s="9" t="s">
        <v>538</v>
      </c>
      <c r="C940" s="9" t="s">
        <v>196</v>
      </c>
      <c r="D940" s="52">
        <v>46156</v>
      </c>
      <c r="E940" s="48">
        <v>0.6</v>
      </c>
      <c r="F940" s="48">
        <v>0.60486111111111118</v>
      </c>
      <c r="G940" s="43">
        <f>(F940-E940)*1440</f>
        <v>7.000000000000135</v>
      </c>
      <c r="H940" s="9" t="s">
        <v>2490</v>
      </c>
      <c r="I940" s="9" t="s">
        <v>531</v>
      </c>
      <c r="J940" s="44">
        <v>4.74</v>
      </c>
      <c r="K940" s="60">
        <v>4.97</v>
      </c>
      <c r="L940" s="56">
        <v>3.71</v>
      </c>
      <c r="M940" s="14">
        <f>K940-L940</f>
        <v>1.2599999999999998</v>
      </c>
      <c r="N940" s="15">
        <f>IFERROR(M940/K940,0)</f>
        <v>0.25352112676056338</v>
      </c>
      <c r="O940" s="14">
        <f>IFERROR(L940/J940,0)</f>
        <v>0.78270042194092826</v>
      </c>
      <c r="P940" s="14">
        <f>IFERROR(L940/G940,0)</f>
        <v>0.52999999999998981</v>
      </c>
    </row>
    <row r="941" spans="1:19" x14ac:dyDescent="0.3">
      <c r="A941" s="9" t="s">
        <v>2305</v>
      </c>
      <c r="B941" s="9" t="s">
        <v>538</v>
      </c>
      <c r="C941" s="9" t="s">
        <v>184</v>
      </c>
      <c r="D941" s="52">
        <v>46156</v>
      </c>
      <c r="E941" s="48">
        <v>0.80694444444444446</v>
      </c>
      <c r="F941" s="48">
        <v>0.82361111111111107</v>
      </c>
      <c r="G941" s="43">
        <f>(F941-E941)*1440</f>
        <v>23.999999999999915</v>
      </c>
      <c r="H941" s="9" t="s">
        <v>2501</v>
      </c>
      <c r="I941" s="9" t="s">
        <v>616</v>
      </c>
      <c r="J941" s="44">
        <v>4.51</v>
      </c>
      <c r="K941" s="60">
        <v>5.94</v>
      </c>
      <c r="L941" s="56">
        <v>4.87</v>
      </c>
      <c r="M941" s="14">
        <f>K941-L941</f>
        <v>1.0700000000000003</v>
      </c>
      <c r="N941" s="15">
        <f>IFERROR(M941/K941,0)</f>
        <v>0.18013468013468018</v>
      </c>
      <c r="O941" s="14">
        <f>IFERROR(L941/J941,0)</f>
        <v>1.0798226164079823</v>
      </c>
      <c r="P941" s="14">
        <f>IFERROR(L941/G941,0)</f>
        <v>0.20291666666666738</v>
      </c>
    </row>
    <row r="942" spans="1:19" x14ac:dyDescent="0.3">
      <c r="A942" s="9" t="s">
        <v>2302</v>
      </c>
      <c r="B942" s="9" t="s">
        <v>538</v>
      </c>
      <c r="C942" s="9" t="s">
        <v>184</v>
      </c>
      <c r="D942" s="52">
        <v>46156</v>
      </c>
      <c r="E942" s="48">
        <v>0.7319444444444444</v>
      </c>
      <c r="F942" s="48">
        <v>0.74722222222222223</v>
      </c>
      <c r="G942" s="43">
        <f>(F942-E942)*1440</f>
        <v>22.000000000000082</v>
      </c>
      <c r="H942" s="9" t="s">
        <v>2498</v>
      </c>
      <c r="I942" s="9" t="s">
        <v>1326</v>
      </c>
      <c r="J942" s="44">
        <v>7.06</v>
      </c>
      <c r="K942" s="60">
        <v>9.9499999999999993</v>
      </c>
      <c r="L942" s="56">
        <v>8.06</v>
      </c>
      <c r="M942" s="14">
        <f>K942-L942</f>
        <v>1.8899999999999988</v>
      </c>
      <c r="N942" s="15">
        <f>IFERROR(M942/K942,0)</f>
        <v>0.18994974874371848</v>
      </c>
      <c r="O942" s="14">
        <f>IFERROR(L942/J942,0)</f>
        <v>1.141643059490085</v>
      </c>
      <c r="P942" s="14">
        <f>IFERROR(L942/G942,0)</f>
        <v>0.366363636363635</v>
      </c>
    </row>
    <row r="943" spans="1:19" x14ac:dyDescent="0.3">
      <c r="A943" s="9" t="s">
        <v>2303</v>
      </c>
      <c r="B943" s="9" t="s">
        <v>538</v>
      </c>
      <c r="C943" s="9" t="s">
        <v>184</v>
      </c>
      <c r="D943" s="52">
        <v>46156</v>
      </c>
      <c r="E943" s="48">
        <v>0.75555555555555554</v>
      </c>
      <c r="F943" s="48">
        <v>0.76458333333333339</v>
      </c>
      <c r="G943" s="43">
        <f>(F943-E943)*1440</f>
        <v>13.000000000000114</v>
      </c>
      <c r="H943" s="9" t="s">
        <v>1875</v>
      </c>
      <c r="I943" s="9" t="s">
        <v>1985</v>
      </c>
      <c r="J943" s="44">
        <v>2.8</v>
      </c>
      <c r="K943" s="60">
        <v>5.09</v>
      </c>
      <c r="L943" s="56">
        <v>4.9400000000000004</v>
      </c>
      <c r="M943" s="14">
        <f>K943-L943</f>
        <v>0.14999999999999947</v>
      </c>
      <c r="N943" s="15">
        <f>IFERROR(M943/K943,0)</f>
        <v>2.9469548133595182E-2</v>
      </c>
      <c r="O943" s="14">
        <f>IFERROR(L943/J943,0)</f>
        <v>1.7642857142857145</v>
      </c>
      <c r="P943" s="14">
        <f>IFERROR(L943/G943,0)</f>
        <v>0.37999999999999673</v>
      </c>
    </row>
    <row r="944" spans="1:19" x14ac:dyDescent="0.3">
      <c r="A944" s="9" t="s">
        <v>2304</v>
      </c>
      <c r="B944" s="9" t="s">
        <v>538</v>
      </c>
      <c r="C944" s="9" t="s">
        <v>184</v>
      </c>
      <c r="D944" s="52">
        <v>46156</v>
      </c>
      <c r="E944" s="48">
        <v>0.7729166666666667</v>
      </c>
      <c r="F944" s="48">
        <v>0.79791666666666661</v>
      </c>
      <c r="G944" s="43">
        <f>(F944-E944)*1440</f>
        <v>35.999999999999872</v>
      </c>
      <c r="H944" s="9" t="s">
        <v>2499</v>
      </c>
      <c r="I944" s="9" t="s">
        <v>2500</v>
      </c>
      <c r="J944" s="44">
        <v>6.39</v>
      </c>
      <c r="K944" s="60">
        <v>13.93</v>
      </c>
      <c r="L944" s="56">
        <v>11.47</v>
      </c>
      <c r="M944" s="14">
        <f>K944-L944</f>
        <v>2.4599999999999991</v>
      </c>
      <c r="N944" s="15">
        <f>IFERROR(M944/K944,0)</f>
        <v>0.17659727207465895</v>
      </c>
      <c r="O944" s="14">
        <f>IFERROR(L944/J944,0)</f>
        <v>1.7949921752738656</v>
      </c>
      <c r="P944" s="14">
        <f>IFERROR(L944/G944,0)</f>
        <v>0.31861111111111229</v>
      </c>
    </row>
    <row r="945" spans="1:19" x14ac:dyDescent="0.3">
      <c r="A945" s="9" t="s">
        <v>2310</v>
      </c>
      <c r="B945" s="9" t="s">
        <v>538</v>
      </c>
      <c r="C945" s="9" t="s">
        <v>184</v>
      </c>
      <c r="D945" s="52">
        <v>46157</v>
      </c>
      <c r="E945" s="48">
        <v>0.61736111111111114</v>
      </c>
      <c r="F945" s="48">
        <v>0.64861111111111114</v>
      </c>
      <c r="G945" s="43">
        <f>(F945-E945)*1440</f>
        <v>45</v>
      </c>
      <c r="H945" s="9" t="s">
        <v>1118</v>
      </c>
      <c r="I945" s="9" t="s">
        <v>2507</v>
      </c>
      <c r="J945" s="44">
        <v>25.45</v>
      </c>
      <c r="K945" s="60">
        <v>11.1</v>
      </c>
      <c r="L945" s="56">
        <v>9.8000000000000007</v>
      </c>
      <c r="M945" s="14">
        <f>K945-L945</f>
        <v>1.2999999999999989</v>
      </c>
      <c r="N945" s="15">
        <f>IFERROR(M945/K945,0)</f>
        <v>0.11711711711711703</v>
      </c>
      <c r="O945" s="14">
        <f>IFERROR(L945/J945,0)</f>
        <v>0.3850687622789784</v>
      </c>
      <c r="P945" s="14">
        <f>IFERROR(L945/G945,0)</f>
        <v>0.21777777777777779</v>
      </c>
      <c r="Q945" s="64">
        <v>1</v>
      </c>
    </row>
    <row r="946" spans="1:19" x14ac:dyDescent="0.3">
      <c r="A946" s="9" t="s">
        <v>2313</v>
      </c>
      <c r="B946" s="9" t="s">
        <v>538</v>
      </c>
      <c r="C946" s="9" t="s">
        <v>184</v>
      </c>
      <c r="D946" s="52">
        <v>46157</v>
      </c>
      <c r="E946" s="48">
        <v>0.875</v>
      </c>
      <c r="F946" s="48">
        <v>0.88611111111111107</v>
      </c>
      <c r="G946" s="43">
        <f>(F946-E946)*1440</f>
        <v>15.999999999999943</v>
      </c>
      <c r="H946" s="9" t="s">
        <v>2191</v>
      </c>
      <c r="I946" s="9" t="s">
        <v>2509</v>
      </c>
      <c r="J946" s="44">
        <v>12.85</v>
      </c>
      <c r="K946" s="60">
        <v>8.9600000000000009</v>
      </c>
      <c r="L946" s="56">
        <v>5.82</v>
      </c>
      <c r="M946" s="14">
        <f>K946-L946</f>
        <v>3.1400000000000006</v>
      </c>
      <c r="N946" s="15">
        <f>IFERROR(M946/K946,0)</f>
        <v>0.3504464285714286</v>
      </c>
      <c r="O946" s="14">
        <f>IFERROR(L946/J946,0)</f>
        <v>0.45291828793774325</v>
      </c>
      <c r="P946" s="14">
        <f>IFERROR(L946/G946,0)</f>
        <v>0.36375000000000129</v>
      </c>
    </row>
    <row r="947" spans="1:19" x14ac:dyDescent="0.3">
      <c r="A947" s="9" t="s">
        <v>2315</v>
      </c>
      <c r="B947" s="9" t="s">
        <v>26</v>
      </c>
      <c r="C947" s="9" t="s">
        <v>27</v>
      </c>
      <c r="D947" s="52">
        <v>46157</v>
      </c>
      <c r="E947" s="48">
        <v>0.57847222222222217</v>
      </c>
      <c r="F947" s="48">
        <v>0.59444444444444444</v>
      </c>
      <c r="G947" s="43">
        <f>(F947-E947)*1440</f>
        <v>23.000000000000078</v>
      </c>
      <c r="H947" s="9" t="s">
        <v>2512</v>
      </c>
      <c r="I947" s="9" t="s">
        <v>2513</v>
      </c>
      <c r="J947" s="44">
        <v>19</v>
      </c>
      <c r="K947" s="60">
        <v>12.14</v>
      </c>
      <c r="L947" s="56">
        <v>9.1</v>
      </c>
      <c r="M947" s="14">
        <f>K947-L947</f>
        <v>3.0400000000000009</v>
      </c>
      <c r="N947" s="15">
        <f>IFERROR(M947/K947,0)</f>
        <v>0.25041186161449758</v>
      </c>
      <c r="O947" s="14">
        <f>IFERROR(L947/J947,0)</f>
        <v>0.47894736842105262</v>
      </c>
      <c r="P947" s="14">
        <f>IFERROR(L947/G947,0)</f>
        <v>0.39565217391304214</v>
      </c>
    </row>
    <row r="948" spans="1:19" x14ac:dyDescent="0.3">
      <c r="A948" s="9" t="s">
        <v>2307</v>
      </c>
      <c r="B948" s="9" t="s">
        <v>18</v>
      </c>
      <c r="C948" s="9" t="s">
        <v>184</v>
      </c>
      <c r="D948" s="52">
        <v>46157</v>
      </c>
      <c r="E948" s="48">
        <v>0.62222222222222223</v>
      </c>
      <c r="F948" s="48">
        <v>0.64513888888888882</v>
      </c>
      <c r="G948" s="43">
        <f>(F948-E948)*1440</f>
        <v>32.999999999999886</v>
      </c>
      <c r="H948" s="9" t="s">
        <v>2504</v>
      </c>
      <c r="I948" s="9" t="s">
        <v>2505</v>
      </c>
      <c r="J948" s="44">
        <v>28.01</v>
      </c>
      <c r="K948" s="60">
        <v>18.95</v>
      </c>
      <c r="L948" s="56">
        <v>13.57</v>
      </c>
      <c r="M948" s="14">
        <f>K948-L948</f>
        <v>5.379999999999999</v>
      </c>
      <c r="N948" s="15">
        <f>IFERROR(M948/K948,0)</f>
        <v>0.28390501319261208</v>
      </c>
      <c r="O948" s="14">
        <f>IFERROR(L948/J948,0)</f>
        <v>0.48446983220278472</v>
      </c>
      <c r="P948" s="14">
        <f>IFERROR(L948/G948,0)</f>
        <v>0.41121212121212264</v>
      </c>
    </row>
    <row r="949" spans="1:19" x14ac:dyDescent="0.3">
      <c r="A949" s="9" t="s">
        <v>2320</v>
      </c>
      <c r="B949" s="9" t="s">
        <v>26</v>
      </c>
      <c r="C949" s="9" t="s">
        <v>26</v>
      </c>
      <c r="D949" s="52">
        <v>46157</v>
      </c>
      <c r="E949" s="48">
        <v>0.84583333333333333</v>
      </c>
      <c r="F949" s="48">
        <v>0.85902777777777783</v>
      </c>
      <c r="G949" s="43">
        <f>(F949-E949)*1440</f>
        <v>19.000000000000092</v>
      </c>
      <c r="H949" s="9" t="s">
        <v>2519</v>
      </c>
      <c r="I949" s="9" t="s">
        <v>2520</v>
      </c>
      <c r="J949" s="44">
        <v>12.3</v>
      </c>
      <c r="K949" s="60">
        <v>6.69</v>
      </c>
      <c r="L949" s="56">
        <v>6.27</v>
      </c>
      <c r="M949" s="14">
        <f>K949-L949</f>
        <v>0.42000000000000082</v>
      </c>
      <c r="N949" s="15">
        <f>IFERROR(M949/K949,0)</f>
        <v>6.2780269058296076E-2</v>
      </c>
      <c r="O949" s="14">
        <f>IFERROR(L949/J949,0)</f>
        <v>0.50975609756097551</v>
      </c>
      <c r="P949" s="14">
        <f>IFERROR(L949/G949,0)</f>
        <v>0.32999999999999835</v>
      </c>
    </row>
    <row r="950" spans="1:19" x14ac:dyDescent="0.3">
      <c r="A950" s="9" t="s">
        <v>2319</v>
      </c>
      <c r="B950" s="9" t="s">
        <v>26</v>
      </c>
      <c r="C950" s="9" t="s">
        <v>26</v>
      </c>
      <c r="D950" s="52">
        <v>46157</v>
      </c>
      <c r="E950" s="48">
        <v>0.82986111111111116</v>
      </c>
      <c r="F950" s="48">
        <v>0.84305555555555556</v>
      </c>
      <c r="G950" s="43">
        <f>(F950-E950)*1440</f>
        <v>18.999999999999932</v>
      </c>
      <c r="H950" s="9" t="s">
        <v>2517</v>
      </c>
      <c r="I950" s="9" t="s">
        <v>2518</v>
      </c>
      <c r="J950" s="44">
        <v>9.1999999999999993</v>
      </c>
      <c r="K950" s="60">
        <v>7.47</v>
      </c>
      <c r="L950" s="56">
        <v>6.16</v>
      </c>
      <c r="M950" s="14">
        <f>K950-L950</f>
        <v>1.3099999999999996</v>
      </c>
      <c r="N950" s="15">
        <f>IFERROR(M950/K950,0)</f>
        <v>0.17536813922356087</v>
      </c>
      <c r="O950" s="14">
        <f>IFERROR(L950/J950,0)</f>
        <v>0.66956521739130437</v>
      </c>
      <c r="P950" s="14">
        <f>IFERROR(L950/G950,0)</f>
        <v>0.32421052631579061</v>
      </c>
    </row>
    <row r="951" spans="1:19" x14ac:dyDescent="0.3">
      <c r="A951" s="9" t="s">
        <v>2306</v>
      </c>
      <c r="B951" s="9" t="s">
        <v>538</v>
      </c>
      <c r="C951" s="9" t="s">
        <v>184</v>
      </c>
      <c r="D951" s="52">
        <v>46157</v>
      </c>
      <c r="E951" s="48">
        <v>0.59444444444444444</v>
      </c>
      <c r="F951" s="48">
        <v>0.60763888888888895</v>
      </c>
      <c r="G951" s="43">
        <f>(F951-E951)*1440</f>
        <v>19.000000000000092</v>
      </c>
      <c r="H951" s="9" t="s">
        <v>2502</v>
      </c>
      <c r="I951" s="9" t="s">
        <v>2503</v>
      </c>
      <c r="J951" s="44">
        <v>6.47</v>
      </c>
      <c r="K951" s="60">
        <v>5.95</v>
      </c>
      <c r="L951" s="56">
        <v>4.5</v>
      </c>
      <c r="M951" s="14">
        <f>K951-L951</f>
        <v>1.4500000000000002</v>
      </c>
      <c r="N951" s="15">
        <f>IFERROR(M951/K951,0)</f>
        <v>0.24369747899159666</v>
      </c>
      <c r="O951" s="14">
        <f>IFERROR(L951/J951,0)</f>
        <v>0.69551777434312212</v>
      </c>
      <c r="P951" s="14">
        <f>IFERROR(L951/G951,0)</f>
        <v>0.23684210526315674</v>
      </c>
    </row>
    <row r="952" spans="1:19" x14ac:dyDescent="0.3">
      <c r="A952" s="9" t="s">
        <v>2317</v>
      </c>
      <c r="B952" s="9" t="s">
        <v>26</v>
      </c>
      <c r="C952" s="9" t="s">
        <v>26</v>
      </c>
      <c r="D952" s="52">
        <v>46157</v>
      </c>
      <c r="E952" s="48">
        <v>0.67291666666666661</v>
      </c>
      <c r="F952" s="48">
        <v>0.69444444444444453</v>
      </c>
      <c r="G952" s="43">
        <f>(F952-E952)*1440</f>
        <v>31.00000000000021</v>
      </c>
      <c r="H952" s="9" t="s">
        <v>2516</v>
      </c>
      <c r="I952" s="9" t="s">
        <v>242</v>
      </c>
      <c r="J952" s="44">
        <v>27.4</v>
      </c>
      <c r="K952" s="60">
        <v>25.8</v>
      </c>
      <c r="L952" s="56">
        <v>19.84</v>
      </c>
      <c r="M952" s="14">
        <f>K952-L952</f>
        <v>5.9600000000000009</v>
      </c>
      <c r="N952" s="15">
        <f>IFERROR(M952/K952,0)</f>
        <v>0.23100775193798453</v>
      </c>
      <c r="O952" s="14">
        <f>IFERROR(L952/J952,0)</f>
        <v>0.72408759124087596</v>
      </c>
      <c r="P952" s="14">
        <f>IFERROR(L952/G952,0)</f>
        <v>0.63999999999999568</v>
      </c>
      <c r="Q952" s="64">
        <v>1.95</v>
      </c>
      <c r="R952" s="57">
        <v>5.6</v>
      </c>
    </row>
    <row r="953" spans="1:19" x14ac:dyDescent="0.3">
      <c r="A953" s="9" t="s">
        <v>2308</v>
      </c>
      <c r="B953" s="9" t="s">
        <v>18</v>
      </c>
      <c r="C953" s="9" t="s">
        <v>184</v>
      </c>
      <c r="D953" s="52">
        <v>46157</v>
      </c>
      <c r="E953" s="48">
        <v>0.7090277777777777</v>
      </c>
      <c r="F953" s="48">
        <v>0.72152777777777777</v>
      </c>
      <c r="G953" s="43">
        <f>(F953-E953)*1440</f>
        <v>18.000000000000096</v>
      </c>
      <c r="H953" s="9" t="s">
        <v>2506</v>
      </c>
      <c r="I953" s="9" t="s">
        <v>754</v>
      </c>
      <c r="J953" s="44">
        <v>8.2799999999999994</v>
      </c>
      <c r="K953" s="60">
        <v>6.94</v>
      </c>
      <c r="L953" s="56">
        <v>6.01</v>
      </c>
      <c r="M953" s="14">
        <f>K953-L953</f>
        <v>0.9300000000000006</v>
      </c>
      <c r="N953" s="15">
        <f>IFERROR(M953/K953,0)</f>
        <v>0.13400576368876088</v>
      </c>
      <c r="O953" s="14">
        <f>IFERROR(L953/J953,0)</f>
        <v>0.72584541062801933</v>
      </c>
      <c r="P953" s="14">
        <f>IFERROR(L953/G953,0)</f>
        <v>0.33388888888888713</v>
      </c>
      <c r="S953" s="61">
        <v>1</v>
      </c>
    </row>
    <row r="954" spans="1:19" x14ac:dyDescent="0.3">
      <c r="A954" s="9" t="s">
        <v>2312</v>
      </c>
      <c r="B954" s="9" t="s">
        <v>538</v>
      </c>
      <c r="C954" s="9" t="s">
        <v>196</v>
      </c>
      <c r="D954" s="52">
        <v>46157</v>
      </c>
      <c r="E954" s="48">
        <v>0.79652777777777783</v>
      </c>
      <c r="F954" s="48">
        <v>0.80486111111111114</v>
      </c>
      <c r="G954" s="43">
        <f>(F954-E954)*1440</f>
        <v>11.999999999999957</v>
      </c>
      <c r="H954" s="9" t="s">
        <v>860</v>
      </c>
      <c r="I954" s="9" t="s">
        <v>204</v>
      </c>
      <c r="J954" s="44">
        <v>8.2100000000000009</v>
      </c>
      <c r="K954" s="60">
        <v>6.18</v>
      </c>
      <c r="L954" s="56">
        <v>6</v>
      </c>
      <c r="M954" s="14">
        <f>K954-L954</f>
        <v>0.17999999999999972</v>
      </c>
      <c r="N954" s="15">
        <f>IFERROR(M954/K954,0)</f>
        <v>2.9126213592232966E-2</v>
      </c>
      <c r="O954" s="14">
        <f>IFERROR(L954/J954,0)</f>
        <v>0.73081607795371495</v>
      </c>
      <c r="P954" s="14">
        <f>IFERROR(L954/G954,0)</f>
        <v>0.50000000000000178</v>
      </c>
    </row>
    <row r="955" spans="1:19" x14ac:dyDescent="0.3">
      <c r="A955" s="9" t="s">
        <v>2309</v>
      </c>
      <c r="B955" s="9" t="s">
        <v>538</v>
      </c>
      <c r="C955" s="9" t="s">
        <v>184</v>
      </c>
      <c r="D955" s="52">
        <v>46157</v>
      </c>
      <c r="E955" s="48">
        <v>0.72152777777777777</v>
      </c>
      <c r="F955" s="48">
        <v>0.73402777777777783</v>
      </c>
      <c r="G955" s="43">
        <f>(F955-E955)*1440</f>
        <v>18.000000000000096</v>
      </c>
      <c r="H955" s="9" t="s">
        <v>754</v>
      </c>
      <c r="I955" s="9" t="s">
        <v>1728</v>
      </c>
      <c r="J955" s="44">
        <v>7.12</v>
      </c>
      <c r="K955" s="60">
        <v>8.9700000000000006</v>
      </c>
      <c r="L955" s="56">
        <v>5.85</v>
      </c>
      <c r="M955" s="14">
        <f>K955-L955</f>
        <v>3.120000000000001</v>
      </c>
      <c r="N955" s="15">
        <f>IFERROR(M955/K955,0)</f>
        <v>0.34782608695652184</v>
      </c>
      <c r="O955" s="14">
        <f>IFERROR(L955/J955,0)</f>
        <v>0.82162921348314599</v>
      </c>
      <c r="P955" s="14">
        <f>IFERROR(L955/G955,0)</f>
        <v>0.32499999999999823</v>
      </c>
      <c r="S955" s="61">
        <v>3.13</v>
      </c>
    </row>
    <row r="956" spans="1:19" x14ac:dyDescent="0.3">
      <c r="A956" s="9" t="s">
        <v>2311</v>
      </c>
      <c r="B956" s="9" t="s">
        <v>18</v>
      </c>
      <c r="C956" s="9" t="s">
        <v>196</v>
      </c>
      <c r="D956" s="52">
        <v>46157</v>
      </c>
      <c r="E956" s="48">
        <v>0.78541666666666676</v>
      </c>
      <c r="F956" s="48">
        <v>0.7944444444444444</v>
      </c>
      <c r="G956" s="43">
        <f>(F956-E956)*1440</f>
        <v>12.999999999999794</v>
      </c>
      <c r="H956" s="9" t="s">
        <v>2508</v>
      </c>
      <c r="I956" s="9" t="s">
        <v>233</v>
      </c>
      <c r="J956" s="44">
        <v>8.18</v>
      </c>
      <c r="K956" s="60">
        <v>8.9700000000000006</v>
      </c>
      <c r="L956" s="56">
        <v>6.84</v>
      </c>
      <c r="M956" s="14">
        <f>K956-L956</f>
        <v>2.1300000000000008</v>
      </c>
      <c r="N956" s="15">
        <f>IFERROR(M956/K956,0)</f>
        <v>0.23745819397993317</v>
      </c>
      <c r="O956" s="14">
        <f>IFERROR(L956/J956,0)</f>
        <v>0.83618581907090461</v>
      </c>
      <c r="P956" s="14">
        <f>IFERROR(L956/G956,0)</f>
        <v>0.52615384615385452</v>
      </c>
    </row>
    <row r="957" spans="1:19" x14ac:dyDescent="0.3">
      <c r="A957" s="9" t="s">
        <v>2321</v>
      </c>
      <c r="B957" s="9" t="s">
        <v>26</v>
      </c>
      <c r="C957" s="9" t="s">
        <v>27</v>
      </c>
      <c r="D957" s="52">
        <v>46157</v>
      </c>
      <c r="E957" s="48">
        <v>0.86736111111111114</v>
      </c>
      <c r="F957" s="48">
        <v>0.87291666666666667</v>
      </c>
      <c r="G957" s="43">
        <f>(F957-E957)*1440</f>
        <v>7.9999999999999716</v>
      </c>
      <c r="H957" s="9" t="s">
        <v>738</v>
      </c>
      <c r="I957" s="9" t="s">
        <v>2521</v>
      </c>
      <c r="J957" s="44">
        <v>4.7</v>
      </c>
      <c r="K957" s="60">
        <v>4.84</v>
      </c>
      <c r="L957" s="56">
        <v>3.99</v>
      </c>
      <c r="M957" s="14">
        <f>K957-L957</f>
        <v>0.84999999999999964</v>
      </c>
      <c r="N957" s="15">
        <f>IFERROR(M957/K957,0)</f>
        <v>0.17561983471074374</v>
      </c>
      <c r="O957" s="14">
        <f>IFERROR(L957/J957,0)</f>
        <v>0.84893617021276602</v>
      </c>
      <c r="P957" s="14">
        <f>IFERROR(L957/G957,0)</f>
        <v>0.4987500000000018</v>
      </c>
    </row>
    <row r="958" spans="1:19" x14ac:dyDescent="0.3">
      <c r="A958" s="9" t="s">
        <v>2318</v>
      </c>
      <c r="B958" s="9" t="s">
        <v>26</v>
      </c>
      <c r="C958" s="9" t="s">
        <v>26</v>
      </c>
      <c r="D958" s="52">
        <v>46157</v>
      </c>
      <c r="E958" s="48">
        <v>0.6972222222222223</v>
      </c>
      <c r="F958" s="48">
        <v>0.70624999999999993</v>
      </c>
      <c r="G958" s="43">
        <f>(F958-E958)*1440</f>
        <v>12.999999999999794</v>
      </c>
      <c r="H958" s="9" t="s">
        <v>242</v>
      </c>
      <c r="I958" s="9" t="s">
        <v>1252</v>
      </c>
      <c r="J958" s="44">
        <v>8.5</v>
      </c>
      <c r="K958" s="60">
        <v>6.47</v>
      </c>
      <c r="L958" s="56">
        <v>8.09</v>
      </c>
      <c r="M958" s="14">
        <f>K958-L958</f>
        <v>-1.62</v>
      </c>
      <c r="N958" s="15">
        <f>IFERROR(M958/K958,0)</f>
        <v>-0.25038639876352398</v>
      </c>
      <c r="O958" s="14">
        <f>IFERROR(L958/J958,0)</f>
        <v>0.95176470588235296</v>
      </c>
      <c r="P958" s="14">
        <f>IFERROR(L958/G958,0)</f>
        <v>0.62230769230770211</v>
      </c>
      <c r="R958" s="57">
        <v>2.4900000000000002</v>
      </c>
    </row>
    <row r="959" spans="1:19" x14ac:dyDescent="0.3">
      <c r="A959" s="9" t="s">
        <v>2314</v>
      </c>
      <c r="B959" s="9" t="s">
        <v>26</v>
      </c>
      <c r="C959" s="9" t="s">
        <v>27</v>
      </c>
      <c r="D959" s="52">
        <v>46157</v>
      </c>
      <c r="E959" s="48">
        <v>0.57013888888888886</v>
      </c>
      <c r="F959" s="48">
        <v>0.57777777777777783</v>
      </c>
      <c r="G959" s="43">
        <f>(F959-E959)*1440</f>
        <v>11.000000000000121</v>
      </c>
      <c r="H959" s="9" t="s">
        <v>2510</v>
      </c>
      <c r="I959" s="9" t="s">
        <v>2511</v>
      </c>
      <c r="J959" s="44">
        <v>3.6</v>
      </c>
      <c r="K959" s="60">
        <v>5.01</v>
      </c>
      <c r="L959" s="56">
        <v>3.76</v>
      </c>
      <c r="M959" s="14">
        <f>K959-L959</f>
        <v>1.25</v>
      </c>
      <c r="N959" s="15">
        <f>IFERROR(M959/K959,0)</f>
        <v>0.24950099800399203</v>
      </c>
      <c r="O959" s="14">
        <f>IFERROR(L959/J959,0)</f>
        <v>1.0444444444444443</v>
      </c>
      <c r="P959" s="14">
        <f>IFERROR(L959/G959,0)</f>
        <v>0.34181818181817802</v>
      </c>
      <c r="R959" s="57">
        <v>1.1599999999999999</v>
      </c>
    </row>
    <row r="960" spans="1:19" x14ac:dyDescent="0.3">
      <c r="A960" s="9" t="s">
        <v>2316</v>
      </c>
      <c r="B960" s="9" t="s">
        <v>26</v>
      </c>
      <c r="C960" s="9" t="s">
        <v>26</v>
      </c>
      <c r="D960" s="52">
        <v>46157</v>
      </c>
      <c r="E960" s="48">
        <v>0.61527777777777781</v>
      </c>
      <c r="F960" s="48">
        <v>0.62361111111111112</v>
      </c>
      <c r="G960" s="43">
        <f>(F960-E960)*1440</f>
        <v>11.999999999999957</v>
      </c>
      <c r="H960" s="9" t="s">
        <v>2514</v>
      </c>
      <c r="I960" s="9" t="s">
        <v>2515</v>
      </c>
      <c r="J960" s="44">
        <v>1.9</v>
      </c>
      <c r="K960" s="60">
        <v>7.04</v>
      </c>
      <c r="L960" s="56">
        <v>5.28</v>
      </c>
      <c r="M960" s="14">
        <f>K960-L960</f>
        <v>1.7599999999999998</v>
      </c>
      <c r="N960" s="15">
        <f>IFERROR(M960/K960,0)</f>
        <v>0.24999999999999997</v>
      </c>
      <c r="O960" s="14">
        <f>IFERROR(L960/J960,0)</f>
        <v>2.7789473684210528</v>
      </c>
      <c r="P960" s="14">
        <f>IFERROR(L960/G960,0)</f>
        <v>0.44000000000000156</v>
      </c>
      <c r="R960" s="57">
        <v>2.64</v>
      </c>
    </row>
    <row r="961" spans="1:19" x14ac:dyDescent="0.3">
      <c r="A961" s="9" t="s">
        <v>2323</v>
      </c>
      <c r="B961" s="9" t="s">
        <v>18</v>
      </c>
      <c r="C961" s="9" t="s">
        <v>184</v>
      </c>
      <c r="D961" s="52">
        <v>46158</v>
      </c>
      <c r="E961" s="48">
        <v>0.56111111111111112</v>
      </c>
      <c r="F961" s="48">
        <v>0.56944444444444442</v>
      </c>
      <c r="G961" s="43">
        <f>(F961-E961)*1440</f>
        <v>11.999999999999957</v>
      </c>
      <c r="H961" s="9" t="s">
        <v>2522</v>
      </c>
      <c r="I961" s="9" t="s">
        <v>604</v>
      </c>
      <c r="J961" s="44">
        <v>9.44</v>
      </c>
      <c r="K961" s="60">
        <v>5.43</v>
      </c>
      <c r="L961" s="56">
        <v>3.88</v>
      </c>
      <c r="M961" s="14">
        <f>K961-L961</f>
        <v>1.5499999999999998</v>
      </c>
      <c r="N961" s="15">
        <f>IFERROR(M961/K961,0)</f>
        <v>0.28545119705340699</v>
      </c>
      <c r="O961" s="14">
        <f>IFERROR(L961/J961,0)</f>
        <v>0.41101694915254239</v>
      </c>
      <c r="P961" s="14">
        <f>IFERROR(L961/G961,0)</f>
        <v>0.32333333333333447</v>
      </c>
    </row>
    <row r="962" spans="1:19" x14ac:dyDescent="0.3">
      <c r="A962" s="9" t="s">
        <v>2329</v>
      </c>
      <c r="B962" s="9" t="s">
        <v>18</v>
      </c>
      <c r="C962" s="9" t="s">
        <v>184</v>
      </c>
      <c r="D962" s="52">
        <v>46158</v>
      </c>
      <c r="E962" s="48">
        <v>0.82916666666666661</v>
      </c>
      <c r="F962" s="48">
        <v>0.83750000000000002</v>
      </c>
      <c r="G962" s="43">
        <f>(F962-E962)*1440</f>
        <v>12.000000000000117</v>
      </c>
      <c r="H962" s="9" t="s">
        <v>2527</v>
      </c>
      <c r="I962" s="9" t="s">
        <v>2528</v>
      </c>
      <c r="J962" s="44">
        <v>7.21</v>
      </c>
      <c r="K962" s="60">
        <v>5.95</v>
      </c>
      <c r="L962" s="56">
        <v>3.87</v>
      </c>
      <c r="M962" s="14">
        <f>K962-L962</f>
        <v>2.08</v>
      </c>
      <c r="N962" s="15">
        <f>IFERROR(M962/K962,0)</f>
        <v>0.34957983193277309</v>
      </c>
      <c r="O962" s="14">
        <f>IFERROR(L962/J962,0)</f>
        <v>0.53675450762829402</v>
      </c>
      <c r="P962" s="14">
        <f>IFERROR(L962/G962,0)</f>
        <v>0.32249999999999684</v>
      </c>
    </row>
    <row r="963" spans="1:19" x14ac:dyDescent="0.3">
      <c r="A963" s="9" t="s">
        <v>2332</v>
      </c>
      <c r="B963" s="9" t="s">
        <v>18</v>
      </c>
      <c r="C963" s="9" t="s">
        <v>184</v>
      </c>
      <c r="D963" s="52">
        <v>46158</v>
      </c>
      <c r="E963" s="48">
        <v>0.88958333333333339</v>
      </c>
      <c r="F963" s="48">
        <v>0.90069444444444446</v>
      </c>
      <c r="G963" s="43">
        <f>(F963-E963)*1440</f>
        <v>15.999999999999943</v>
      </c>
      <c r="H963" s="9" t="s">
        <v>584</v>
      </c>
      <c r="I963" s="9" t="s">
        <v>1895</v>
      </c>
      <c r="J963" s="44">
        <v>17.68</v>
      </c>
      <c r="K963" s="60">
        <v>10.95</v>
      </c>
      <c r="L963" s="56">
        <v>9.8000000000000007</v>
      </c>
      <c r="M963" s="14">
        <f>K963-L963</f>
        <v>1.1499999999999986</v>
      </c>
      <c r="N963" s="15">
        <f>IFERROR(M963/K963,0)</f>
        <v>0.10502283105022819</v>
      </c>
      <c r="O963" s="14">
        <f>IFERROR(L963/J963,0)</f>
        <v>0.55429864253393668</v>
      </c>
      <c r="P963" s="14">
        <f>IFERROR(L963/G963,0)</f>
        <v>0.61250000000000226</v>
      </c>
    </row>
    <row r="964" spans="1:19" x14ac:dyDescent="0.3">
      <c r="A964" s="9" t="s">
        <v>2330</v>
      </c>
      <c r="B964" s="9" t="s">
        <v>538</v>
      </c>
      <c r="C964" s="9" t="s">
        <v>184</v>
      </c>
      <c r="D964" s="52">
        <v>46158</v>
      </c>
      <c r="E964" s="48">
        <v>0.83819444444444446</v>
      </c>
      <c r="F964" s="48">
        <v>0.84791666666666676</v>
      </c>
      <c r="G964" s="43">
        <f>(F964-E964)*1440</f>
        <v>14.00000000000011</v>
      </c>
      <c r="H964" s="9" t="s">
        <v>2529</v>
      </c>
      <c r="I964" s="9" t="s">
        <v>1903</v>
      </c>
      <c r="J964" s="44">
        <v>9.61</v>
      </c>
      <c r="K964" s="60">
        <v>7.95</v>
      </c>
      <c r="L964" s="56">
        <v>5.73</v>
      </c>
      <c r="M964" s="14">
        <f>K964-L964</f>
        <v>2.2199999999999998</v>
      </c>
      <c r="N964" s="15">
        <f>IFERROR(M964/K964,0)</f>
        <v>0.27924528301886786</v>
      </c>
      <c r="O964" s="14">
        <f>IFERROR(L964/J964,0)</f>
        <v>0.59625390218522378</v>
      </c>
      <c r="P964" s="14">
        <f>IFERROR(L964/G964,0)</f>
        <v>0.40928571428571109</v>
      </c>
    </row>
    <row r="965" spans="1:19" x14ac:dyDescent="0.3">
      <c r="A965" s="9" t="s">
        <v>2322</v>
      </c>
      <c r="B965" s="9" t="s">
        <v>26</v>
      </c>
      <c r="C965" s="9" t="s">
        <v>27</v>
      </c>
      <c r="D965" s="52">
        <v>46158</v>
      </c>
      <c r="E965" s="48">
        <v>0.55347222222222225</v>
      </c>
      <c r="F965" s="48">
        <v>0.56111111111111112</v>
      </c>
      <c r="G965" s="43">
        <f>(F965-E965)*1440</f>
        <v>10.999999999999961</v>
      </c>
      <c r="H965" s="9" t="s">
        <v>2202</v>
      </c>
      <c r="I965" s="9" t="s">
        <v>867</v>
      </c>
      <c r="J965" s="44">
        <v>5.5</v>
      </c>
      <c r="K965" s="60">
        <v>4.8099999999999996</v>
      </c>
      <c r="L965" s="56">
        <v>3.61</v>
      </c>
      <c r="M965" s="14">
        <f>K965-L965</f>
        <v>1.1999999999999997</v>
      </c>
      <c r="N965" s="15">
        <f>IFERROR(M965/K965,0)</f>
        <v>0.24948024948024944</v>
      </c>
      <c r="O965" s="14">
        <f>IFERROR(L965/J965,0)</f>
        <v>0.65636363636363637</v>
      </c>
      <c r="P965" s="14">
        <f>IFERROR(L965/G965,0)</f>
        <v>0.32818181818181935</v>
      </c>
    </row>
    <row r="966" spans="1:19" x14ac:dyDescent="0.3">
      <c r="A966" s="9" t="s">
        <v>2328</v>
      </c>
      <c r="B966" s="9" t="s">
        <v>538</v>
      </c>
      <c r="C966" s="9" t="s">
        <v>824</v>
      </c>
      <c r="D966" s="52">
        <v>46158</v>
      </c>
      <c r="E966" s="48">
        <v>0.78819444444444453</v>
      </c>
      <c r="F966" s="48">
        <v>0.79791666666666661</v>
      </c>
      <c r="G966" s="43">
        <f>(F966-E966)*1440</f>
        <v>13.99999999999979</v>
      </c>
      <c r="H966" s="9" t="s">
        <v>2526</v>
      </c>
      <c r="I966" s="9" t="s">
        <v>1120</v>
      </c>
      <c r="J966" s="44">
        <v>6.83</v>
      </c>
      <c r="K966" s="60">
        <v>6.95</v>
      </c>
      <c r="L966" s="56">
        <v>4.5199999999999996</v>
      </c>
      <c r="M966" s="14">
        <f>K966-L966</f>
        <v>2.4300000000000006</v>
      </c>
      <c r="N966" s="15">
        <f>IFERROR(M966/K966,0)</f>
        <v>0.34964028776978423</v>
      </c>
      <c r="O966" s="14">
        <f>IFERROR(L966/J966,0)</f>
        <v>0.66178623718887253</v>
      </c>
      <c r="P966" s="14">
        <f>IFERROR(L966/G966,0)</f>
        <v>0.32285714285714767</v>
      </c>
    </row>
    <row r="967" spans="1:19" x14ac:dyDescent="0.3">
      <c r="A967" s="9" t="s">
        <v>2331</v>
      </c>
      <c r="B967" s="9" t="s">
        <v>538</v>
      </c>
      <c r="C967" s="9" t="s">
        <v>184</v>
      </c>
      <c r="D967" s="52">
        <v>46158</v>
      </c>
      <c r="E967" s="48">
        <v>0.86041666666666661</v>
      </c>
      <c r="F967" s="48">
        <v>0.86597222222222225</v>
      </c>
      <c r="G967" s="43">
        <f>(F967-E967)*1440</f>
        <v>8.0000000000001315</v>
      </c>
      <c r="H967" s="9" t="s">
        <v>2530</v>
      </c>
      <c r="I967" s="9" t="s">
        <v>2531</v>
      </c>
      <c r="J967" s="44">
        <v>5.28</v>
      </c>
      <c r="K967" s="60">
        <v>4.95</v>
      </c>
      <c r="L967" s="56">
        <v>3.96</v>
      </c>
      <c r="M967" s="14">
        <f>K967-L967</f>
        <v>0.99000000000000021</v>
      </c>
      <c r="N967" s="15">
        <f>IFERROR(M967/K967,0)</f>
        <v>0.20000000000000004</v>
      </c>
      <c r="O967" s="14">
        <f>IFERROR(L967/J967,0)</f>
        <v>0.75</v>
      </c>
      <c r="P967" s="14">
        <f>IFERROR(L967/G967,0)</f>
        <v>0.49499999999999184</v>
      </c>
    </row>
    <row r="968" spans="1:19" x14ac:dyDescent="0.3">
      <c r="A968" s="9" t="s">
        <v>2326</v>
      </c>
      <c r="B968" s="9" t="s">
        <v>538</v>
      </c>
      <c r="C968" s="9" t="s">
        <v>184</v>
      </c>
      <c r="D968" s="52">
        <v>46158</v>
      </c>
      <c r="E968" s="48">
        <v>0.67361111111111116</v>
      </c>
      <c r="F968" s="48">
        <v>0.68611111111111101</v>
      </c>
      <c r="G968" s="43">
        <f>(F968-E968)*1440</f>
        <v>17.999999999999776</v>
      </c>
      <c r="H968" s="9" t="s">
        <v>648</v>
      </c>
      <c r="I968" s="9" t="s">
        <v>1120</v>
      </c>
      <c r="J968" s="44">
        <v>5.76</v>
      </c>
      <c r="K968" s="60">
        <v>6.4</v>
      </c>
      <c r="L968" s="56">
        <v>5</v>
      </c>
      <c r="M968" s="14">
        <f>K968-L968</f>
        <v>1.4000000000000004</v>
      </c>
      <c r="N968" s="15">
        <f>IFERROR(M968/K968,0)</f>
        <v>0.21875000000000006</v>
      </c>
      <c r="O968" s="14">
        <f>IFERROR(L968/J968,0)</f>
        <v>0.86805555555555558</v>
      </c>
      <c r="P968" s="14">
        <f>IFERROR(L968/G968,0)</f>
        <v>0.27777777777778123</v>
      </c>
    </row>
    <row r="969" spans="1:19" x14ac:dyDescent="0.3">
      <c r="A969" s="9" t="s">
        <v>2324</v>
      </c>
      <c r="B969" s="9" t="s">
        <v>18</v>
      </c>
      <c r="C969" s="9" t="s">
        <v>184</v>
      </c>
      <c r="D969" s="52">
        <v>46158</v>
      </c>
      <c r="E969" s="48">
        <v>0.5756944444444444</v>
      </c>
      <c r="F969" s="48">
        <v>0.58263888888888882</v>
      </c>
      <c r="G969" s="43">
        <f>(F969-E969)*1440</f>
        <v>9.9999999999999645</v>
      </c>
      <c r="H969" s="9" t="s">
        <v>604</v>
      </c>
      <c r="I969" s="9" t="s">
        <v>1805</v>
      </c>
      <c r="J969" s="44">
        <v>3.42</v>
      </c>
      <c r="K969" s="60">
        <v>4.95</v>
      </c>
      <c r="L969" s="56">
        <v>3.38</v>
      </c>
      <c r="M969" s="14">
        <f>K969-L969</f>
        <v>1.5700000000000003</v>
      </c>
      <c r="N969" s="15">
        <f>IFERROR(M969/K969,0)</f>
        <v>0.31717171717171722</v>
      </c>
      <c r="O969" s="14">
        <f>IFERROR(L969/J969,0)</f>
        <v>0.98830409356725146</v>
      </c>
      <c r="P969" s="14">
        <f>IFERROR(L969/G969,0)</f>
        <v>0.33800000000000119</v>
      </c>
    </row>
    <row r="970" spans="1:19" x14ac:dyDescent="0.3">
      <c r="A970" s="9" t="s">
        <v>2327</v>
      </c>
      <c r="B970" s="9" t="s">
        <v>538</v>
      </c>
      <c r="C970" s="9" t="s">
        <v>184</v>
      </c>
      <c r="D970" s="52">
        <v>46158</v>
      </c>
      <c r="E970" s="48">
        <v>0.77222222222222225</v>
      </c>
      <c r="F970" s="48">
        <v>0.78263888888888899</v>
      </c>
      <c r="G970" s="43">
        <f>(F970-E970)*1440</f>
        <v>15.000000000000107</v>
      </c>
      <c r="H970" s="9" t="s">
        <v>2525</v>
      </c>
      <c r="I970" s="9" t="s">
        <v>256</v>
      </c>
      <c r="J970" s="44">
        <v>3.76</v>
      </c>
      <c r="K970" s="60">
        <v>4.93</v>
      </c>
      <c r="L970" s="56">
        <v>4.18</v>
      </c>
      <c r="M970" s="14">
        <f>K970-L970</f>
        <v>0.75</v>
      </c>
      <c r="N970" s="15">
        <f>IFERROR(M970/K970,0)</f>
        <v>0.15212981744421908</v>
      </c>
      <c r="O970" s="14">
        <f>IFERROR(L970/J970,0)</f>
        <v>1.1117021276595744</v>
      </c>
      <c r="P970" s="14">
        <f>IFERROR(L970/G970,0)</f>
        <v>0.27866666666666468</v>
      </c>
    </row>
    <row r="971" spans="1:19" x14ac:dyDescent="0.3">
      <c r="A971" s="9" t="s">
        <v>2325</v>
      </c>
      <c r="B971" s="9" t="s">
        <v>18</v>
      </c>
      <c r="C971" s="9" t="s">
        <v>196</v>
      </c>
      <c r="D971" s="52">
        <v>46158</v>
      </c>
      <c r="E971" s="48">
        <v>0.65</v>
      </c>
      <c r="F971" s="48">
        <v>0.66736111111111107</v>
      </c>
      <c r="G971" s="43">
        <f>(F971-E971)*1440</f>
        <v>24.999999999999911</v>
      </c>
      <c r="H971" s="9" t="s">
        <v>2523</v>
      </c>
      <c r="I971" s="9" t="s">
        <v>2524</v>
      </c>
      <c r="J971" s="44">
        <v>3.04</v>
      </c>
      <c r="K971" s="60">
        <v>10.99</v>
      </c>
      <c r="L971" s="56">
        <v>7.9</v>
      </c>
      <c r="M971" s="14">
        <f>K971-L971</f>
        <v>3.09</v>
      </c>
      <c r="N971" s="15">
        <f>IFERROR(M971/K971,0)</f>
        <v>0.28116469517743403</v>
      </c>
      <c r="O971" s="14">
        <f>IFERROR(L971/J971,0)</f>
        <v>2.5986842105263159</v>
      </c>
      <c r="P971" s="14">
        <f>IFERROR(L971/G971,0)</f>
        <v>0.31600000000000111</v>
      </c>
      <c r="S971" s="61">
        <v>1</v>
      </c>
    </row>
    <row r="972" spans="1:19" x14ac:dyDescent="0.3">
      <c r="A972" s="9" t="s">
        <v>2336</v>
      </c>
      <c r="B972" s="9" t="s">
        <v>26</v>
      </c>
      <c r="C972" s="9" t="s">
        <v>26</v>
      </c>
      <c r="D972" s="52">
        <v>46159</v>
      </c>
      <c r="E972" s="48">
        <v>0.37152777777777773</v>
      </c>
      <c r="F972" s="48">
        <v>0.38472222222222219</v>
      </c>
      <c r="G972" s="43">
        <f>(F972-E972)*1440</f>
        <v>19.000000000000014</v>
      </c>
      <c r="H972" s="9" t="s">
        <v>240</v>
      </c>
      <c r="I972" s="9" t="s">
        <v>2536</v>
      </c>
      <c r="J972" s="44">
        <v>13.3</v>
      </c>
      <c r="K972" s="60">
        <v>5.64</v>
      </c>
      <c r="L972" s="56">
        <v>6.04</v>
      </c>
      <c r="M972" s="14">
        <f>K972-L972</f>
        <v>-0.40000000000000036</v>
      </c>
      <c r="N972" s="15">
        <f>IFERROR(M972/K972,0)</f>
        <v>-7.0921985815602898E-2</v>
      </c>
      <c r="O972" s="14">
        <f>IFERROR(L972/J972,0)</f>
        <v>0.45413533834586461</v>
      </c>
      <c r="P972" s="14">
        <f>IFERROR(L972/G972,0)</f>
        <v>0.31789473684210501</v>
      </c>
    </row>
    <row r="973" spans="1:19" x14ac:dyDescent="0.3">
      <c r="A973" s="9" t="s">
        <v>2346</v>
      </c>
      <c r="B973" s="9" t="s">
        <v>26</v>
      </c>
      <c r="C973" s="9" t="s">
        <v>27</v>
      </c>
      <c r="D973" s="52">
        <v>46159</v>
      </c>
      <c r="E973" s="48">
        <v>0.82361111111111107</v>
      </c>
      <c r="F973" s="48">
        <v>0.8340277777777777</v>
      </c>
      <c r="G973" s="43">
        <f>(F973-E973)*1440</f>
        <v>14.999999999999947</v>
      </c>
      <c r="H973" s="9" t="s">
        <v>242</v>
      </c>
      <c r="I973" s="9" t="s">
        <v>2550</v>
      </c>
      <c r="J973" s="44">
        <v>12</v>
      </c>
      <c r="K973" s="60">
        <v>7.78</v>
      </c>
      <c r="L973" s="56">
        <v>5.83</v>
      </c>
      <c r="M973" s="14">
        <f>K973-L973</f>
        <v>1.9500000000000002</v>
      </c>
      <c r="N973" s="15">
        <f>IFERROR(M973/K973,0)</f>
        <v>0.25064267352185093</v>
      </c>
      <c r="O973" s="14">
        <f>IFERROR(L973/J973,0)</f>
        <v>0.48583333333333334</v>
      </c>
      <c r="P973" s="14">
        <f>IFERROR(L973/G973,0)</f>
        <v>0.38866666666666805</v>
      </c>
    </row>
    <row r="974" spans="1:19" x14ac:dyDescent="0.3">
      <c r="A974" s="9" t="s">
        <v>2339</v>
      </c>
      <c r="B974" s="9" t="s">
        <v>26</v>
      </c>
      <c r="C974" s="9" t="s">
        <v>27</v>
      </c>
      <c r="D974" s="52">
        <v>46159</v>
      </c>
      <c r="E974" s="48">
        <v>0.41180555555555554</v>
      </c>
      <c r="F974" s="48">
        <v>0.42430555555555555</v>
      </c>
      <c r="G974" s="43">
        <f>(F974-E974)*1440</f>
        <v>18.000000000000014</v>
      </c>
      <c r="H974" s="9" t="s">
        <v>2541</v>
      </c>
      <c r="I974" s="9" t="s">
        <v>2542</v>
      </c>
      <c r="J974" s="44">
        <v>10</v>
      </c>
      <c r="K974" s="60">
        <v>6.79</v>
      </c>
      <c r="L974" s="56">
        <v>5.09</v>
      </c>
      <c r="M974" s="14">
        <f>K974-L974</f>
        <v>1.7000000000000002</v>
      </c>
      <c r="N974" s="15">
        <f>IFERROR(M974/K974,0)</f>
        <v>0.25036818851251841</v>
      </c>
      <c r="O974" s="14">
        <f>IFERROR(L974/J974,0)</f>
        <v>0.50900000000000001</v>
      </c>
      <c r="P974" s="14">
        <f>IFERROR(L974/G974,0)</f>
        <v>0.28277777777777757</v>
      </c>
    </row>
    <row r="975" spans="1:19" x14ac:dyDescent="0.3">
      <c r="A975" s="9" t="s">
        <v>2337</v>
      </c>
      <c r="B975" s="9" t="s">
        <v>26</v>
      </c>
      <c r="C975" s="9" t="s">
        <v>27</v>
      </c>
      <c r="D975" s="52">
        <v>46159</v>
      </c>
      <c r="E975" s="48">
        <v>0.38750000000000001</v>
      </c>
      <c r="F975" s="48">
        <v>0.39444444444444443</v>
      </c>
      <c r="G975" s="43">
        <f>(F975-E975)*1440</f>
        <v>9.9999999999999645</v>
      </c>
      <c r="H975" s="9" t="s">
        <v>2537</v>
      </c>
      <c r="I975" s="9" t="s">
        <v>2538</v>
      </c>
      <c r="J975" s="44">
        <v>8.9</v>
      </c>
      <c r="K975" s="60">
        <v>3.18</v>
      </c>
      <c r="L975" s="56">
        <v>4.76</v>
      </c>
      <c r="M975" s="14">
        <f>K975-L975</f>
        <v>-1.5799999999999996</v>
      </c>
      <c r="N975" s="15">
        <f>IFERROR(M975/K975,0)</f>
        <v>-0.49685534591194952</v>
      </c>
      <c r="O975" s="14">
        <f>IFERROR(L975/J975,0)</f>
        <v>0.53483146067415721</v>
      </c>
      <c r="P975" s="14">
        <f>IFERROR(L975/G975,0)</f>
        <v>0.47600000000000164</v>
      </c>
    </row>
    <row r="976" spans="1:19" x14ac:dyDescent="0.3">
      <c r="A976" s="9" t="s">
        <v>2333</v>
      </c>
      <c r="B976" s="9" t="s">
        <v>18</v>
      </c>
      <c r="C976" s="9" t="s">
        <v>196</v>
      </c>
      <c r="D976" s="52">
        <v>46159</v>
      </c>
      <c r="E976" s="48">
        <v>0.55972222222222223</v>
      </c>
      <c r="F976" s="48">
        <v>0.57013888888888886</v>
      </c>
      <c r="G976" s="43">
        <f>(F976-E976)*1440</f>
        <v>14.999999999999947</v>
      </c>
      <c r="H976" s="9" t="s">
        <v>2532</v>
      </c>
      <c r="I976" s="9" t="s">
        <v>2533</v>
      </c>
      <c r="J976" s="44">
        <v>10.26</v>
      </c>
      <c r="K976" s="60">
        <v>8.99</v>
      </c>
      <c r="L976" s="56">
        <v>5.84</v>
      </c>
      <c r="M976" s="14">
        <f>K976-L976</f>
        <v>3.1500000000000004</v>
      </c>
      <c r="N976" s="15">
        <f>IFERROR(M976/K976,0)</f>
        <v>0.35038932146829815</v>
      </c>
      <c r="O976" s="14">
        <f>IFERROR(L976/J976,0)</f>
        <v>0.56920077972709548</v>
      </c>
      <c r="P976" s="14">
        <f>IFERROR(L976/G976,0)</f>
        <v>0.3893333333333347</v>
      </c>
    </row>
    <row r="977" spans="1:18" x14ac:dyDescent="0.3">
      <c r="A977" s="9" t="s">
        <v>2345</v>
      </c>
      <c r="B977" s="9" t="s">
        <v>26</v>
      </c>
      <c r="C977" s="9" t="s">
        <v>26</v>
      </c>
      <c r="D977" s="52">
        <v>46159</v>
      </c>
      <c r="E977" s="48">
        <v>0.80972222222222223</v>
      </c>
      <c r="F977" s="48">
        <v>0.81874999999999998</v>
      </c>
      <c r="G977" s="43">
        <f>(F977-E977)*1440</f>
        <v>12.999999999999954</v>
      </c>
      <c r="H977" s="9" t="s">
        <v>605</v>
      </c>
      <c r="I977" s="9" t="s">
        <v>2549</v>
      </c>
      <c r="J977" s="44">
        <v>7.4</v>
      </c>
      <c r="K977" s="60">
        <v>5.64</v>
      </c>
      <c r="L977" s="56">
        <v>4.2300000000000004</v>
      </c>
      <c r="M977" s="14">
        <f>K977-L977</f>
        <v>1.4099999999999993</v>
      </c>
      <c r="N977" s="15">
        <f>IFERROR(M977/K977,0)</f>
        <v>0.24999999999999989</v>
      </c>
      <c r="O977" s="14">
        <f>IFERROR(L977/J977,0)</f>
        <v>0.57162162162162167</v>
      </c>
      <c r="P977" s="14">
        <f>IFERROR(L977/G977,0)</f>
        <v>0.32538461538461655</v>
      </c>
    </row>
    <row r="978" spans="1:18" x14ac:dyDescent="0.3">
      <c r="A978" s="9" t="s">
        <v>2348</v>
      </c>
      <c r="B978" s="9" t="s">
        <v>26</v>
      </c>
      <c r="C978" s="9" t="s">
        <v>26</v>
      </c>
      <c r="D978" s="52">
        <v>46159</v>
      </c>
      <c r="E978" s="48">
        <v>0.87847222222222221</v>
      </c>
      <c r="F978" s="48">
        <v>0.88888888888888884</v>
      </c>
      <c r="G978" s="43">
        <f>(F978-E978)*1440</f>
        <v>14.999999999999947</v>
      </c>
      <c r="H978" s="9" t="s">
        <v>531</v>
      </c>
      <c r="I978" s="9" t="s">
        <v>2552</v>
      </c>
      <c r="J978" s="44">
        <v>12.7</v>
      </c>
      <c r="K978" s="60">
        <v>9.75</v>
      </c>
      <c r="L978" s="56">
        <v>7.31</v>
      </c>
      <c r="M978" s="14">
        <f>K978-L978</f>
        <v>2.4400000000000004</v>
      </c>
      <c r="N978" s="15">
        <f>IFERROR(M978/K978,0)</f>
        <v>0.25025641025641032</v>
      </c>
      <c r="O978" s="14">
        <f>IFERROR(L978/J978,0)</f>
        <v>0.57559055118110236</v>
      </c>
      <c r="P978" s="14">
        <f>IFERROR(L978/G978,0)</f>
        <v>0.48733333333333506</v>
      </c>
    </row>
    <row r="979" spans="1:18" x14ac:dyDescent="0.3">
      <c r="A979" s="9" t="s">
        <v>2347</v>
      </c>
      <c r="B979" s="9" t="s">
        <v>26</v>
      </c>
      <c r="C979" s="9" t="s">
        <v>26</v>
      </c>
      <c r="D979" s="52">
        <v>46159</v>
      </c>
      <c r="E979" s="48">
        <v>0.85</v>
      </c>
      <c r="F979" s="48">
        <v>0.86736111111111114</v>
      </c>
      <c r="G979" s="43">
        <f>(F979-E979)*1440</f>
        <v>25.000000000000071</v>
      </c>
      <c r="H979" s="9" t="s">
        <v>2551</v>
      </c>
      <c r="I979" s="9" t="s">
        <v>572</v>
      </c>
      <c r="J979" s="44">
        <v>10.8</v>
      </c>
      <c r="K979" s="60">
        <v>8.43</v>
      </c>
      <c r="L979" s="56">
        <v>6.32</v>
      </c>
      <c r="M979" s="14">
        <f>K979-L979</f>
        <v>2.1099999999999994</v>
      </c>
      <c r="N979" s="15">
        <f>IFERROR(M979/K979,0)</f>
        <v>0.25029655990510075</v>
      </c>
      <c r="O979" s="14">
        <f>IFERROR(L979/J979,0)</f>
        <v>0.58518518518518514</v>
      </c>
      <c r="P979" s="14">
        <f>IFERROR(L979/G979,0)</f>
        <v>0.2527999999999993</v>
      </c>
    </row>
    <row r="980" spans="1:18" x14ac:dyDescent="0.3">
      <c r="A980" s="9" t="s">
        <v>2338</v>
      </c>
      <c r="B980" s="9" t="s">
        <v>26</v>
      </c>
      <c r="C980" s="9" t="s">
        <v>27</v>
      </c>
      <c r="D980" s="52">
        <v>46159</v>
      </c>
      <c r="E980" s="48">
        <v>0.39999999999999997</v>
      </c>
      <c r="F980" s="48">
        <v>0.40902777777777777</v>
      </c>
      <c r="G980" s="43">
        <f>(F980-E980)*1440</f>
        <v>13.000000000000034</v>
      </c>
      <c r="H980" s="9" t="s">
        <v>2539</v>
      </c>
      <c r="I980" s="9" t="s">
        <v>2540</v>
      </c>
      <c r="J980" s="44">
        <v>9.6999999999999993</v>
      </c>
      <c r="K980" s="60">
        <v>8.26</v>
      </c>
      <c r="L980" s="56">
        <v>6.19</v>
      </c>
      <c r="M980" s="14">
        <f>K980-L980</f>
        <v>2.0699999999999994</v>
      </c>
      <c r="N980" s="15">
        <f>IFERROR(M980/K980,0)</f>
        <v>0.25060532687651327</v>
      </c>
      <c r="O980" s="14">
        <f>IFERROR(L980/J980,0)</f>
        <v>0.63814432989690728</v>
      </c>
      <c r="P980" s="14">
        <f>IFERROR(L980/G980,0)</f>
        <v>0.47615384615384493</v>
      </c>
      <c r="R980" s="57">
        <v>1.91</v>
      </c>
    </row>
    <row r="981" spans="1:18" x14ac:dyDescent="0.3">
      <c r="A981" s="9" t="s">
        <v>2334</v>
      </c>
      <c r="B981" s="9" t="s">
        <v>18</v>
      </c>
      <c r="C981" s="9" t="s">
        <v>184</v>
      </c>
      <c r="D981" s="52">
        <v>46159</v>
      </c>
      <c r="E981" s="48">
        <v>0.57777777777777783</v>
      </c>
      <c r="F981" s="48">
        <v>0.59236111111111112</v>
      </c>
      <c r="G981" s="43">
        <f>(F981-E981)*1440</f>
        <v>20.999999999999925</v>
      </c>
      <c r="H981" s="9" t="s">
        <v>2534</v>
      </c>
      <c r="I981" s="9" t="s">
        <v>1120</v>
      </c>
      <c r="J981" s="44">
        <v>8.26</v>
      </c>
      <c r="K981" s="60">
        <v>7.95</v>
      </c>
      <c r="L981" s="56">
        <v>5.5</v>
      </c>
      <c r="M981" s="14">
        <f>K981-L981</f>
        <v>2.4500000000000002</v>
      </c>
      <c r="N981" s="15">
        <f>IFERROR(M981/K981,0)</f>
        <v>0.30817610062893086</v>
      </c>
      <c r="O981" s="14">
        <f>IFERROR(L981/J981,0)</f>
        <v>0.66585956416464898</v>
      </c>
      <c r="P981" s="14">
        <f>IFERROR(L981/G981,0)</f>
        <v>0.26190476190476286</v>
      </c>
    </row>
    <row r="982" spans="1:18" x14ac:dyDescent="0.3">
      <c r="A982" s="9" t="s">
        <v>2341</v>
      </c>
      <c r="B982" s="9" t="s">
        <v>26</v>
      </c>
      <c r="C982" s="9" t="s">
        <v>26</v>
      </c>
      <c r="D982" s="52">
        <v>46159</v>
      </c>
      <c r="E982" s="48">
        <v>0.49374999999999997</v>
      </c>
      <c r="F982" s="48">
        <v>0.50972222222222219</v>
      </c>
      <c r="G982" s="43">
        <f>(F982-E982)*1440</f>
        <v>23</v>
      </c>
      <c r="H982" s="9" t="s">
        <v>1724</v>
      </c>
      <c r="I982" s="9" t="s">
        <v>1120</v>
      </c>
      <c r="J982" s="44">
        <v>8.6999999999999993</v>
      </c>
      <c r="K982" s="60">
        <v>8.83</v>
      </c>
      <c r="L982" s="56">
        <v>6.62</v>
      </c>
      <c r="M982" s="14">
        <f>K982-L982</f>
        <v>2.21</v>
      </c>
      <c r="N982" s="15">
        <f>IFERROR(M982/K982,0)</f>
        <v>0.25028312570781425</v>
      </c>
      <c r="O982" s="14">
        <f>IFERROR(L982/J982,0)</f>
        <v>0.76091954022988517</v>
      </c>
      <c r="P982" s="14">
        <f>IFERROR(L982/G982,0)</f>
        <v>0.28782608695652173</v>
      </c>
    </row>
    <row r="983" spans="1:18" x14ac:dyDescent="0.3">
      <c r="A983" s="9" t="s">
        <v>2342</v>
      </c>
      <c r="B983" s="9" t="s">
        <v>26</v>
      </c>
      <c r="C983" s="9" t="s">
        <v>27</v>
      </c>
      <c r="D983" s="52">
        <v>46159</v>
      </c>
      <c r="E983" s="48">
        <v>0.57708333333333328</v>
      </c>
      <c r="F983" s="48">
        <v>0.58263888888888882</v>
      </c>
      <c r="G983" s="43">
        <f>(F983-E983)*1440</f>
        <v>7.9999999999999716</v>
      </c>
      <c r="H983" s="9" t="s">
        <v>2544</v>
      </c>
      <c r="I983" s="9" t="s">
        <v>2545</v>
      </c>
      <c r="J983" s="44">
        <v>5.2</v>
      </c>
      <c r="K983" s="60">
        <v>5.78</v>
      </c>
      <c r="L983" s="56">
        <v>4.33</v>
      </c>
      <c r="M983" s="14">
        <f>K983-L983</f>
        <v>1.4500000000000002</v>
      </c>
      <c r="N983" s="15">
        <f>IFERROR(M983/K983,0)</f>
        <v>0.2508650519031142</v>
      </c>
      <c r="O983" s="14">
        <f>IFERROR(L983/J983,0)</f>
        <v>0.83269230769230773</v>
      </c>
      <c r="P983" s="14">
        <f>IFERROR(L983/G983,0)</f>
        <v>0.5412500000000019</v>
      </c>
      <c r="R983" s="57">
        <v>0.96</v>
      </c>
    </row>
    <row r="984" spans="1:18" x14ac:dyDescent="0.3">
      <c r="A984" s="9" t="s">
        <v>2343</v>
      </c>
      <c r="B984" s="9" t="s">
        <v>26</v>
      </c>
      <c r="C984" s="9" t="s">
        <v>26</v>
      </c>
      <c r="D984" s="52">
        <v>46159</v>
      </c>
      <c r="E984" s="48">
        <v>0.65</v>
      </c>
      <c r="F984" s="48">
        <v>0.66736111111111107</v>
      </c>
      <c r="G984" s="43">
        <f>(F984-E984)*1440</f>
        <v>24.999999999999911</v>
      </c>
      <c r="H984" s="9" t="s">
        <v>2546</v>
      </c>
      <c r="I984" s="9" t="s">
        <v>2547</v>
      </c>
      <c r="J984" s="44">
        <v>8</v>
      </c>
      <c r="K984" s="60">
        <v>9.85</v>
      </c>
      <c r="L984" s="56">
        <v>7.39</v>
      </c>
      <c r="M984" s="14">
        <f>K984-L984</f>
        <v>2.46</v>
      </c>
      <c r="N984" s="15">
        <f>IFERROR(M984/K984,0)</f>
        <v>0.24974619289340103</v>
      </c>
      <c r="O984" s="14">
        <f>IFERROR(L984/J984,0)</f>
        <v>0.92374999999999996</v>
      </c>
      <c r="P984" s="14">
        <f>IFERROR(L984/G984,0)</f>
        <v>0.29560000000000103</v>
      </c>
    </row>
    <row r="985" spans="1:18" x14ac:dyDescent="0.3">
      <c r="A985" s="9" t="s">
        <v>2335</v>
      </c>
      <c r="B985" s="9" t="s">
        <v>18</v>
      </c>
      <c r="C985" s="9" t="s">
        <v>184</v>
      </c>
      <c r="D985" s="52">
        <v>46159</v>
      </c>
      <c r="E985" s="48">
        <v>0.8354166666666667</v>
      </c>
      <c r="F985" s="48">
        <v>0.84027777777777779</v>
      </c>
      <c r="G985" s="43">
        <f>(F985-E985)*1440</f>
        <v>6.9999999999999751</v>
      </c>
      <c r="H985" s="9" t="s">
        <v>834</v>
      </c>
      <c r="I985" s="9" t="s">
        <v>2535</v>
      </c>
      <c r="J985" s="44">
        <v>3.51</v>
      </c>
      <c r="K985" s="60">
        <v>3.96</v>
      </c>
      <c r="L985" s="56">
        <v>3.3</v>
      </c>
      <c r="M985" s="14">
        <f>K985-L985</f>
        <v>0.66000000000000014</v>
      </c>
      <c r="N985" s="15">
        <f>IFERROR(M985/K985,0)</f>
        <v>0.16666666666666671</v>
      </c>
      <c r="O985" s="14">
        <f>IFERROR(L985/J985,0)</f>
        <v>0.94017094017094016</v>
      </c>
      <c r="P985" s="14">
        <f>IFERROR(L985/G985,0)</f>
        <v>0.47142857142857308</v>
      </c>
    </row>
    <row r="986" spans="1:18" x14ac:dyDescent="0.3">
      <c r="A986" s="9" t="s">
        <v>2340</v>
      </c>
      <c r="B986" s="9" t="s">
        <v>26</v>
      </c>
      <c r="C986" s="9" t="s">
        <v>27</v>
      </c>
      <c r="D986" s="52">
        <v>46159</v>
      </c>
      <c r="E986" s="48">
        <v>0.45763888888888887</v>
      </c>
      <c r="F986" s="48">
        <v>0.47222222222222227</v>
      </c>
      <c r="G986" s="43">
        <f>(F986-E986)*1440</f>
        <v>21.000000000000085</v>
      </c>
      <c r="H986" s="9" t="s">
        <v>2543</v>
      </c>
      <c r="I986" s="9" t="s">
        <v>1120</v>
      </c>
      <c r="J986" s="44">
        <v>9.1</v>
      </c>
      <c r="K986" s="60">
        <v>11.66</v>
      </c>
      <c r="L986" s="56">
        <v>9.61</v>
      </c>
      <c r="M986" s="14">
        <f>K986-L986</f>
        <v>2.0500000000000007</v>
      </c>
      <c r="N986" s="15">
        <f>IFERROR(M986/K986,0)</f>
        <v>0.17581475128644947</v>
      </c>
      <c r="O986" s="14">
        <f>IFERROR(L986/J986,0)</f>
        <v>1.0560439560439561</v>
      </c>
      <c r="P986" s="14">
        <f>IFERROR(L986/G986,0)</f>
        <v>0.45761904761904576</v>
      </c>
    </row>
    <row r="987" spans="1:18" x14ac:dyDescent="0.3">
      <c r="A987" s="9" t="s">
        <v>2344</v>
      </c>
      <c r="B987" s="9" t="s">
        <v>26</v>
      </c>
      <c r="C987" s="9" t="s">
        <v>26</v>
      </c>
      <c r="D987" s="52">
        <v>46159</v>
      </c>
      <c r="E987" s="48">
        <v>0.7319444444444444</v>
      </c>
      <c r="F987" s="48">
        <v>0.74861111111111101</v>
      </c>
      <c r="G987" s="43">
        <f>(F987-E987)*1440</f>
        <v>23.999999999999915</v>
      </c>
      <c r="H987" s="9" t="s">
        <v>2548</v>
      </c>
      <c r="I987" s="9" t="s">
        <v>1120</v>
      </c>
      <c r="J987" s="44">
        <v>6</v>
      </c>
      <c r="K987" s="60">
        <v>4.84</v>
      </c>
      <c r="L987" s="56">
        <v>6.64</v>
      </c>
      <c r="M987" s="14">
        <f>K987-L987</f>
        <v>-1.7999999999999998</v>
      </c>
      <c r="N987" s="15">
        <f>IFERROR(M987/K987,0)</f>
        <v>-0.37190082644628097</v>
      </c>
      <c r="O987" s="14">
        <f>IFERROR(L987/J987,0)</f>
        <v>1.1066666666666667</v>
      </c>
      <c r="P987" s="14">
        <f>IFERROR(L987/G987,0)</f>
        <v>0.27666666666666762</v>
      </c>
    </row>
    <row r="988" spans="1:18" x14ac:dyDescent="0.3">
      <c r="A988" s="9" t="s">
        <v>2357</v>
      </c>
      <c r="B988" s="9" t="s">
        <v>26</v>
      </c>
      <c r="C988" s="9" t="s">
        <v>27</v>
      </c>
      <c r="D988" s="52">
        <v>46160</v>
      </c>
      <c r="E988" s="48">
        <v>0.69374999999999998</v>
      </c>
      <c r="F988" s="48">
        <v>0.7090277777777777</v>
      </c>
      <c r="G988" s="43">
        <f>(F988-E988)*1440</f>
        <v>21.999999999999922</v>
      </c>
      <c r="H988" s="9" t="s">
        <v>2564</v>
      </c>
      <c r="I988" s="9" t="s">
        <v>910</v>
      </c>
      <c r="J988" s="44">
        <v>14.9</v>
      </c>
      <c r="K988" s="60">
        <v>8.3000000000000007</v>
      </c>
      <c r="L988" s="56">
        <v>6.22</v>
      </c>
      <c r="M988" s="14">
        <f>K988-L988</f>
        <v>2.080000000000001</v>
      </c>
      <c r="N988" s="15">
        <f>IFERROR(M988/K988,0)</f>
        <v>0.25060240963855429</v>
      </c>
      <c r="O988" s="14">
        <f>IFERROR(L988/J988,0)</f>
        <v>0.41744966442953019</v>
      </c>
      <c r="P988" s="14">
        <f>IFERROR(L988/G988,0)</f>
        <v>0.28272727272727372</v>
      </c>
    </row>
    <row r="989" spans="1:18" x14ac:dyDescent="0.3">
      <c r="A989" s="9" t="s">
        <v>2365</v>
      </c>
      <c r="B989" s="9" t="s">
        <v>18</v>
      </c>
      <c r="C989" s="9" t="s">
        <v>2570</v>
      </c>
      <c r="D989" s="52">
        <v>46160</v>
      </c>
      <c r="E989" s="48">
        <v>0.56180555555555556</v>
      </c>
      <c r="F989" s="48">
        <v>0.57986111111111105</v>
      </c>
      <c r="G989" s="43">
        <f>(F989-E989)*1440</f>
        <v>25.999999999999908</v>
      </c>
      <c r="H989" s="9" t="s">
        <v>1765</v>
      </c>
      <c r="I989" s="9" t="s">
        <v>2571</v>
      </c>
      <c r="J989" s="44">
        <v>28.26</v>
      </c>
      <c r="K989" s="60">
        <v>17.32</v>
      </c>
      <c r="L989" s="56">
        <v>13</v>
      </c>
      <c r="M989" s="14">
        <f>K989-L989</f>
        <v>4.32</v>
      </c>
      <c r="N989" s="15">
        <f>IFERROR(M989/K989,0)</f>
        <v>0.24942263279445728</v>
      </c>
      <c r="O989" s="14">
        <f>IFERROR(L989/J989,0)</f>
        <v>0.4600141542816702</v>
      </c>
      <c r="P989" s="14">
        <f>IFERROR(L989/G989,0)</f>
        <v>0.50000000000000178</v>
      </c>
    </row>
    <row r="990" spans="1:18" x14ac:dyDescent="0.3">
      <c r="A990" s="9" t="s">
        <v>2368</v>
      </c>
      <c r="B990" s="9" t="s">
        <v>18</v>
      </c>
      <c r="C990" s="9" t="s">
        <v>184</v>
      </c>
      <c r="D990" s="52">
        <v>46160</v>
      </c>
      <c r="E990" s="48">
        <v>0.8222222222222223</v>
      </c>
      <c r="F990" s="48">
        <v>0.82986111111111116</v>
      </c>
      <c r="G990" s="43">
        <f>(F990-E990)*1440</f>
        <v>10.999999999999961</v>
      </c>
      <c r="H990" s="9" t="s">
        <v>2152</v>
      </c>
      <c r="I990" s="9" t="s">
        <v>2572</v>
      </c>
      <c r="J990" s="44">
        <v>8.9499999999999993</v>
      </c>
      <c r="K990" s="60">
        <v>5.94</v>
      </c>
      <c r="L990" s="56">
        <v>4.25</v>
      </c>
      <c r="M990" s="14">
        <f>K990-L990</f>
        <v>1.6900000000000004</v>
      </c>
      <c r="N990" s="15">
        <f>IFERROR(M990/K990,0)</f>
        <v>0.28451178451178455</v>
      </c>
      <c r="O990" s="14">
        <f>IFERROR(L990/J990,0)</f>
        <v>0.47486033519553078</v>
      </c>
      <c r="P990" s="14">
        <f>IFERROR(L990/G990,0)</f>
        <v>0.38636363636363774</v>
      </c>
    </row>
    <row r="991" spans="1:18" x14ac:dyDescent="0.3">
      <c r="A991" s="9" t="s">
        <v>2354</v>
      </c>
      <c r="B991" s="9" t="s">
        <v>26</v>
      </c>
      <c r="C991" s="9" t="s">
        <v>27</v>
      </c>
      <c r="D991" s="52">
        <v>46160</v>
      </c>
      <c r="E991" s="48">
        <v>0.66319444444444442</v>
      </c>
      <c r="F991" s="48">
        <v>0.6743055555555556</v>
      </c>
      <c r="G991" s="43">
        <f>(F991-E991)*1440</f>
        <v>16.000000000000103</v>
      </c>
      <c r="H991" s="9" t="s">
        <v>2560</v>
      </c>
      <c r="I991" s="9" t="s">
        <v>2219</v>
      </c>
      <c r="J991" s="44">
        <v>9</v>
      </c>
      <c r="K991" s="60">
        <v>6.41</v>
      </c>
      <c r="L991" s="56">
        <v>4.8099999999999996</v>
      </c>
      <c r="M991" s="14">
        <f>K991-L991</f>
        <v>1.6000000000000005</v>
      </c>
      <c r="N991" s="15">
        <f>IFERROR(M991/K991,0)</f>
        <v>0.24960998439937604</v>
      </c>
      <c r="O991" s="14">
        <f>IFERROR(L991/J991,0)</f>
        <v>0.53444444444444439</v>
      </c>
      <c r="P991" s="14">
        <f>IFERROR(L991/G991,0)</f>
        <v>0.30062499999999803</v>
      </c>
    </row>
    <row r="992" spans="1:18" x14ac:dyDescent="0.3">
      <c r="A992" s="9" t="s">
        <v>2364</v>
      </c>
      <c r="B992" s="9" t="s">
        <v>26</v>
      </c>
      <c r="C992" s="9" t="s">
        <v>27</v>
      </c>
      <c r="D992" s="52">
        <v>46160</v>
      </c>
      <c r="E992" s="48">
        <v>0.88611111111111107</v>
      </c>
      <c r="F992" s="48">
        <v>0.89374999999999993</v>
      </c>
      <c r="G992" s="43">
        <f>(F992-E992)*1440</f>
        <v>10.999999999999961</v>
      </c>
      <c r="H992" s="9" t="s">
        <v>1995</v>
      </c>
      <c r="I992" s="9" t="s">
        <v>2569</v>
      </c>
      <c r="J992" s="44">
        <v>9.4</v>
      </c>
      <c r="K992" s="60">
        <v>6.39</v>
      </c>
      <c r="L992" s="56">
        <v>5.27</v>
      </c>
      <c r="M992" s="14">
        <f>K992-L992</f>
        <v>1.1200000000000001</v>
      </c>
      <c r="N992" s="15">
        <f>IFERROR(M992/K992,0)</f>
        <v>0.17527386541471052</v>
      </c>
      <c r="O992" s="14">
        <f>IFERROR(L992/J992,0)</f>
        <v>0.56063829787234032</v>
      </c>
      <c r="P992" s="14">
        <f>IFERROR(L992/G992,0)</f>
        <v>0.47909090909091073</v>
      </c>
    </row>
    <row r="993" spans="1:19" x14ac:dyDescent="0.3">
      <c r="A993" s="9" t="s">
        <v>2369</v>
      </c>
      <c r="B993" s="9" t="s">
        <v>18</v>
      </c>
      <c r="C993" s="9" t="s">
        <v>184</v>
      </c>
      <c r="D993" s="52">
        <v>46160</v>
      </c>
      <c r="E993" s="48">
        <v>0.83263888888888893</v>
      </c>
      <c r="F993" s="48">
        <v>0.83958333333333324</v>
      </c>
      <c r="G993" s="43">
        <f>(F993-E993)*1440</f>
        <v>9.9999999999998046</v>
      </c>
      <c r="H993" s="9" t="s">
        <v>2573</v>
      </c>
      <c r="I993" s="9" t="s">
        <v>1298</v>
      </c>
      <c r="J993" s="44">
        <v>6.76</v>
      </c>
      <c r="K993" s="60">
        <v>4.95</v>
      </c>
      <c r="L993" s="56">
        <v>3.87</v>
      </c>
      <c r="M993" s="14">
        <f>K993-L993</f>
        <v>1.08</v>
      </c>
      <c r="N993" s="15">
        <f>IFERROR(M993/K993,0)</f>
        <v>0.2181818181818182</v>
      </c>
      <c r="O993" s="14">
        <f>IFERROR(L993/J993,0)</f>
        <v>0.5724852071005917</v>
      </c>
      <c r="P993" s="14">
        <f>IFERROR(L993/G993,0)</f>
        <v>0.38700000000000756</v>
      </c>
    </row>
    <row r="994" spans="1:19" x14ac:dyDescent="0.3">
      <c r="A994" s="9" t="s">
        <v>2367</v>
      </c>
      <c r="B994" s="9" t="s">
        <v>18</v>
      </c>
      <c r="C994" s="9" t="s">
        <v>184</v>
      </c>
      <c r="D994" s="52">
        <v>46160</v>
      </c>
      <c r="E994" s="48">
        <v>0.81041666666666667</v>
      </c>
      <c r="F994" s="48">
        <v>0.81874999999999998</v>
      </c>
      <c r="G994" s="43">
        <f>(F994-E994)*1440</f>
        <v>11.999999999999957</v>
      </c>
      <c r="H994" s="9" t="s">
        <v>2039</v>
      </c>
      <c r="I994" s="9" t="s">
        <v>2040</v>
      </c>
      <c r="J994" s="44">
        <v>8.43</v>
      </c>
      <c r="K994" s="60">
        <v>6.94</v>
      </c>
      <c r="L994" s="56">
        <v>5.28</v>
      </c>
      <c r="M994" s="14">
        <f>K994-L994</f>
        <v>1.6600000000000001</v>
      </c>
      <c r="N994" s="15">
        <f>IFERROR(M994/K994,0)</f>
        <v>0.23919308357348704</v>
      </c>
      <c r="O994" s="14">
        <f>IFERROR(L994/J994,0)</f>
        <v>0.62633451957295383</v>
      </c>
      <c r="P994" s="14">
        <f>IFERROR(L994/G994,0)</f>
        <v>0.44000000000000156</v>
      </c>
    </row>
    <row r="995" spans="1:19" x14ac:dyDescent="0.3">
      <c r="A995" s="9" t="s">
        <v>2352</v>
      </c>
      <c r="B995" s="9" t="s">
        <v>26</v>
      </c>
      <c r="C995" s="9" t="s">
        <v>27</v>
      </c>
      <c r="D995" s="52">
        <v>46160</v>
      </c>
      <c r="E995" s="48">
        <v>0.62430555555555556</v>
      </c>
      <c r="F995" s="48">
        <v>0.6333333333333333</v>
      </c>
      <c r="G995" s="43">
        <f>(F995-E995)*1440</f>
        <v>12.999999999999954</v>
      </c>
      <c r="H995" s="9" t="s">
        <v>2557</v>
      </c>
      <c r="I995" s="9" t="s">
        <v>2558</v>
      </c>
      <c r="J995" s="44">
        <v>6</v>
      </c>
      <c r="K995" s="60">
        <v>4.05</v>
      </c>
      <c r="L995" s="56">
        <v>3.79</v>
      </c>
      <c r="M995" s="14">
        <f>K995-L995</f>
        <v>0.25999999999999979</v>
      </c>
      <c r="N995" s="15">
        <f>IFERROR(M995/K995,0)</f>
        <v>6.419753086419748E-2</v>
      </c>
      <c r="O995" s="14">
        <f>IFERROR(L995/J995,0)</f>
        <v>0.63166666666666671</v>
      </c>
      <c r="P995" s="14">
        <f>IFERROR(L995/G995,0)</f>
        <v>0.29153846153846258</v>
      </c>
    </row>
    <row r="996" spans="1:19" x14ac:dyDescent="0.3">
      <c r="A996" s="9" t="s">
        <v>2358</v>
      </c>
      <c r="B996" s="9" t="s">
        <v>26</v>
      </c>
      <c r="C996" s="9" t="s">
        <v>27</v>
      </c>
      <c r="D996" s="52">
        <v>46160</v>
      </c>
      <c r="E996" s="48">
        <v>0.71319444444444446</v>
      </c>
      <c r="F996" s="48">
        <v>0.7270833333333333</v>
      </c>
      <c r="G996" s="43">
        <f>(F996-E996)*1440</f>
        <v>19.999999999999929</v>
      </c>
      <c r="H996" s="9" t="s">
        <v>608</v>
      </c>
      <c r="I996" s="9" t="s">
        <v>2565</v>
      </c>
      <c r="J996" s="44">
        <v>10.4</v>
      </c>
      <c r="K996" s="60">
        <v>8.91</v>
      </c>
      <c r="L996" s="56">
        <v>6.68</v>
      </c>
      <c r="M996" s="14">
        <f>K996-L996</f>
        <v>2.2300000000000004</v>
      </c>
      <c r="N996" s="15">
        <f>IFERROR(M996/K996,0)</f>
        <v>0.25028058361391697</v>
      </c>
      <c r="O996" s="14">
        <f>IFERROR(L996/J996,0)</f>
        <v>0.64230769230769225</v>
      </c>
      <c r="P996" s="14">
        <f>IFERROR(L996/G996,0)</f>
        <v>0.33400000000000118</v>
      </c>
    </row>
    <row r="997" spans="1:19" x14ac:dyDescent="0.3">
      <c r="A997" s="9" t="s">
        <v>2350</v>
      </c>
      <c r="B997" s="9" t="s">
        <v>26</v>
      </c>
      <c r="C997" s="9" t="s">
        <v>26</v>
      </c>
      <c r="D997" s="52">
        <v>46160</v>
      </c>
      <c r="E997" s="48">
        <v>0.59375</v>
      </c>
      <c r="F997" s="48">
        <v>0.6069444444444444</v>
      </c>
      <c r="G997" s="43">
        <f>(F997-E997)*1440</f>
        <v>18.999999999999932</v>
      </c>
      <c r="H997" s="9" t="s">
        <v>2495</v>
      </c>
      <c r="I997" s="9" t="s">
        <v>2554</v>
      </c>
      <c r="J997" s="44">
        <v>15.1</v>
      </c>
      <c r="K997" s="60">
        <v>10.37</v>
      </c>
      <c r="L997" s="56">
        <v>9.7200000000000006</v>
      </c>
      <c r="M997" s="14">
        <f>K997-L997</f>
        <v>0.64999999999999858</v>
      </c>
      <c r="N997" s="15">
        <f>IFERROR(M997/K997,0)</f>
        <v>6.2680810028929473E-2</v>
      </c>
      <c r="O997" s="14">
        <f>IFERROR(L997/J997,0)</f>
        <v>0.64370860927152329</v>
      </c>
      <c r="P997" s="14">
        <f>IFERROR(L997/G997,0)</f>
        <v>0.51157894736842291</v>
      </c>
    </row>
    <row r="998" spans="1:19" x14ac:dyDescent="0.3">
      <c r="A998" s="9" t="s">
        <v>2361</v>
      </c>
      <c r="B998" s="9" t="s">
        <v>26</v>
      </c>
      <c r="C998" s="9" t="s">
        <v>27</v>
      </c>
      <c r="D998" s="52">
        <v>46160</v>
      </c>
      <c r="E998" s="48">
        <v>0.75694444444444453</v>
      </c>
      <c r="F998" s="48">
        <v>0.77083333333333337</v>
      </c>
      <c r="G998" s="43">
        <f>(F998-E998)*1440</f>
        <v>19.999999999999929</v>
      </c>
      <c r="H998" s="9" t="s">
        <v>2567</v>
      </c>
      <c r="I998" s="9" t="s">
        <v>1212</v>
      </c>
      <c r="J998" s="44">
        <v>7.6</v>
      </c>
      <c r="K998" s="60">
        <v>7.09</v>
      </c>
      <c r="L998" s="56">
        <v>5.32</v>
      </c>
      <c r="M998" s="14">
        <f>K998-L998</f>
        <v>1.7699999999999996</v>
      </c>
      <c r="N998" s="15">
        <f>IFERROR(M998/K998,0)</f>
        <v>0.24964739069111419</v>
      </c>
      <c r="O998" s="14">
        <f>IFERROR(L998/J998,0)</f>
        <v>0.70000000000000007</v>
      </c>
      <c r="P998" s="14">
        <f>IFERROR(L998/G998,0)</f>
        <v>0.26600000000000096</v>
      </c>
    </row>
    <row r="999" spans="1:19" x14ac:dyDescent="0.3">
      <c r="A999" s="9" t="s">
        <v>2355</v>
      </c>
      <c r="B999" s="9" t="s">
        <v>26</v>
      </c>
      <c r="C999" s="9" t="s">
        <v>26</v>
      </c>
      <c r="D999" s="52">
        <v>46160</v>
      </c>
      <c r="E999" s="48">
        <v>0.67569444444444438</v>
      </c>
      <c r="F999" s="48">
        <v>0.68263888888888891</v>
      </c>
      <c r="G999" s="43">
        <f>(F999-E999)*1440</f>
        <v>10.000000000000124</v>
      </c>
      <c r="H999" s="9" t="s">
        <v>2219</v>
      </c>
      <c r="I999" s="9" t="s">
        <v>2561</v>
      </c>
      <c r="J999" s="44">
        <v>4.7</v>
      </c>
      <c r="K999" s="60">
        <v>4.67</v>
      </c>
      <c r="L999" s="56">
        <v>3.5</v>
      </c>
      <c r="M999" s="14">
        <f>K999-L999</f>
        <v>1.17</v>
      </c>
      <c r="N999" s="15">
        <f>IFERROR(M999/K999,0)</f>
        <v>0.25053533190578159</v>
      </c>
      <c r="O999" s="14">
        <f>IFERROR(L999/J999,0)</f>
        <v>0.74468085106382975</v>
      </c>
      <c r="P999" s="14">
        <f>IFERROR(L999/G999,0)</f>
        <v>0.34999999999999565</v>
      </c>
    </row>
    <row r="1000" spans="1:19" x14ac:dyDescent="0.3">
      <c r="A1000" s="9" t="s">
        <v>2362</v>
      </c>
      <c r="B1000" s="9" t="s">
        <v>26</v>
      </c>
      <c r="C1000" s="9" t="s">
        <v>27</v>
      </c>
      <c r="D1000" s="52">
        <v>46160</v>
      </c>
      <c r="E1000" s="48">
        <v>0.77361111111111114</v>
      </c>
      <c r="F1000" s="48">
        <v>0.78055555555555556</v>
      </c>
      <c r="G1000" s="43">
        <f>(F1000-E1000)*1440</f>
        <v>9.9999999999999645</v>
      </c>
      <c r="H1000" s="9" t="s">
        <v>2215</v>
      </c>
      <c r="I1000" s="9" t="s">
        <v>243</v>
      </c>
      <c r="J1000" s="44">
        <v>4.2</v>
      </c>
      <c r="K1000" s="60">
        <v>4.59</v>
      </c>
      <c r="L1000" s="56">
        <v>3.44</v>
      </c>
      <c r="M1000" s="14">
        <f>K1000-L1000</f>
        <v>1.1499999999999999</v>
      </c>
      <c r="N1000" s="15">
        <f>IFERROR(M1000/K1000,0)</f>
        <v>0.25054466230936817</v>
      </c>
      <c r="O1000" s="14">
        <f>IFERROR(L1000/J1000,0)</f>
        <v>0.81904761904761902</v>
      </c>
      <c r="P1000" s="14">
        <f>IFERROR(L1000/G1000,0)</f>
        <v>0.34400000000000119</v>
      </c>
    </row>
    <row r="1001" spans="1:19" x14ac:dyDescent="0.3">
      <c r="A1001" s="9" t="s">
        <v>2360</v>
      </c>
      <c r="B1001" s="9" t="s">
        <v>26</v>
      </c>
      <c r="C1001" s="9" t="s">
        <v>26</v>
      </c>
      <c r="D1001" s="52">
        <v>46160</v>
      </c>
      <c r="E1001" s="48">
        <v>0.7402777777777777</v>
      </c>
      <c r="F1001" s="48">
        <v>0.75208333333333333</v>
      </c>
      <c r="G1001" s="43">
        <f>(F1001-E1001)*1440</f>
        <v>17.000000000000099</v>
      </c>
      <c r="H1001" s="9" t="s">
        <v>2566</v>
      </c>
      <c r="I1001" s="9" t="s">
        <v>182</v>
      </c>
      <c r="J1001" s="44">
        <v>9.4</v>
      </c>
      <c r="K1001" s="60">
        <v>8.4499999999999993</v>
      </c>
      <c r="L1001" s="56">
        <v>7.92</v>
      </c>
      <c r="M1001" s="14">
        <f>K1001-L1001</f>
        <v>0.52999999999999936</v>
      </c>
      <c r="N1001" s="15">
        <f>IFERROR(M1001/K1001,0)</f>
        <v>6.2721893491124184E-2</v>
      </c>
      <c r="O1001" s="14">
        <f>IFERROR(L1001/J1001,0)</f>
        <v>0.8425531914893617</v>
      </c>
      <c r="P1001" s="14">
        <f>IFERROR(L1001/G1001,0)</f>
        <v>0.46588235294117375</v>
      </c>
      <c r="R1001" s="57">
        <v>1.77</v>
      </c>
    </row>
    <row r="1002" spans="1:19" x14ac:dyDescent="0.3">
      <c r="A1002" s="9" t="s">
        <v>2351</v>
      </c>
      <c r="B1002" s="9" t="s">
        <v>26</v>
      </c>
      <c r="C1002" s="9" t="s">
        <v>27</v>
      </c>
      <c r="D1002" s="52">
        <v>46160</v>
      </c>
      <c r="E1002" s="48">
        <v>0.61041666666666672</v>
      </c>
      <c r="F1002" s="48">
        <v>0.62291666666666667</v>
      </c>
      <c r="G1002" s="43">
        <f>(F1002-E1002)*1440</f>
        <v>17.999999999999936</v>
      </c>
      <c r="H1002" s="9" t="s">
        <v>2555</v>
      </c>
      <c r="I1002" s="9" t="s">
        <v>2556</v>
      </c>
      <c r="J1002" s="44">
        <v>5.2</v>
      </c>
      <c r="K1002" s="60">
        <v>6.47</v>
      </c>
      <c r="L1002" s="56">
        <v>4.8499999999999996</v>
      </c>
      <c r="M1002" s="14">
        <f>K1002-L1002</f>
        <v>1.62</v>
      </c>
      <c r="N1002" s="15">
        <f>IFERROR(M1002/K1002,0)</f>
        <v>0.25038639876352398</v>
      </c>
      <c r="O1002" s="14">
        <f>IFERROR(L1002/J1002,0)</f>
        <v>0.9326923076923076</v>
      </c>
      <c r="P1002" s="14">
        <f>IFERROR(L1002/G1002,0)</f>
        <v>0.26944444444444537</v>
      </c>
    </row>
    <row r="1003" spans="1:19" x14ac:dyDescent="0.3">
      <c r="A1003" s="9" t="s">
        <v>2353</v>
      </c>
      <c r="B1003" s="9" t="s">
        <v>26</v>
      </c>
      <c r="C1003" s="9" t="s">
        <v>26</v>
      </c>
      <c r="D1003" s="52">
        <v>46160</v>
      </c>
      <c r="E1003" s="48">
        <v>0.63680555555555551</v>
      </c>
      <c r="F1003" s="48">
        <v>0.6430555555555556</v>
      </c>
      <c r="G1003" s="43">
        <f>(F1003-E1003)*1440</f>
        <v>9.0000000000001279</v>
      </c>
      <c r="H1003" s="9" t="s">
        <v>2558</v>
      </c>
      <c r="I1003" s="9" t="s">
        <v>2559</v>
      </c>
      <c r="J1003" s="44">
        <v>3.1</v>
      </c>
      <c r="K1003" s="60">
        <v>3.6</v>
      </c>
      <c r="L1003" s="56">
        <v>3.37</v>
      </c>
      <c r="M1003" s="14">
        <f>K1003-L1003</f>
        <v>0.22999999999999998</v>
      </c>
      <c r="N1003" s="15">
        <f>IFERROR(M1003/K1003,0)</f>
        <v>6.3888888888888884E-2</v>
      </c>
      <c r="O1003" s="14">
        <f>IFERROR(L1003/J1003,0)</f>
        <v>1.0870967741935484</v>
      </c>
      <c r="P1003" s="14">
        <f>IFERROR(L1003/G1003,0)</f>
        <v>0.37444444444443914</v>
      </c>
    </row>
    <row r="1004" spans="1:19" x14ac:dyDescent="0.3">
      <c r="A1004" s="9" t="s">
        <v>2356</v>
      </c>
      <c r="B1004" s="9" t="s">
        <v>26</v>
      </c>
      <c r="C1004" s="9" t="s">
        <v>26</v>
      </c>
      <c r="D1004" s="52">
        <v>46160</v>
      </c>
      <c r="E1004" s="48">
        <v>0.68402777777777779</v>
      </c>
      <c r="F1004" s="48">
        <v>0.69166666666666676</v>
      </c>
      <c r="G1004" s="43">
        <f>(F1004-E1004)*1440</f>
        <v>11.000000000000121</v>
      </c>
      <c r="H1004" s="9" t="s">
        <v>2562</v>
      </c>
      <c r="I1004" s="9" t="s">
        <v>2563</v>
      </c>
      <c r="J1004" s="44">
        <v>3.3</v>
      </c>
      <c r="K1004" s="60">
        <v>3.87</v>
      </c>
      <c r="L1004" s="56">
        <v>3.63</v>
      </c>
      <c r="M1004" s="14">
        <f>K1004-L1004</f>
        <v>0.24000000000000021</v>
      </c>
      <c r="N1004" s="15">
        <f>IFERROR(M1004/K1004,0)</f>
        <v>6.2015503875969047E-2</v>
      </c>
      <c r="O1004" s="14">
        <f>IFERROR(L1004/J1004,0)</f>
        <v>1.1000000000000001</v>
      </c>
      <c r="P1004" s="14">
        <f>IFERROR(L1004/G1004,0)</f>
        <v>0.32999999999999635</v>
      </c>
    </row>
    <row r="1005" spans="1:19" x14ac:dyDescent="0.3">
      <c r="A1005" s="9" t="s">
        <v>2349</v>
      </c>
      <c r="B1005" s="9" t="s">
        <v>26</v>
      </c>
      <c r="C1005" s="9" t="s">
        <v>27</v>
      </c>
      <c r="D1005" s="52">
        <v>46160</v>
      </c>
      <c r="E1005" s="48">
        <v>0.5854166666666667</v>
      </c>
      <c r="F1005" s="48">
        <v>0.59166666666666667</v>
      </c>
      <c r="G1005" s="43">
        <f>(F1005-E1005)*1440</f>
        <v>8.999999999999968</v>
      </c>
      <c r="H1005" s="9" t="s">
        <v>2553</v>
      </c>
      <c r="I1005" s="9" t="s">
        <v>2495</v>
      </c>
      <c r="J1005" s="44">
        <v>3.6</v>
      </c>
      <c r="K1005" s="60">
        <v>6.92</v>
      </c>
      <c r="L1005" s="56">
        <v>5.44</v>
      </c>
      <c r="M1005" s="14">
        <f>K1005-L1005</f>
        <v>1.4799999999999995</v>
      </c>
      <c r="N1005" s="15">
        <f>IFERROR(M1005/K1005,0)</f>
        <v>0.21387283236994215</v>
      </c>
      <c r="O1005" s="14">
        <f>IFERROR(L1005/J1005,0)</f>
        <v>1.5111111111111111</v>
      </c>
      <c r="P1005" s="14">
        <f>IFERROR(L1005/G1005,0)</f>
        <v>0.60444444444444667</v>
      </c>
      <c r="R1005" s="57">
        <v>1.98</v>
      </c>
      <c r="S1005" s="61">
        <v>1</v>
      </c>
    </row>
    <row r="1006" spans="1:19" x14ac:dyDescent="0.3">
      <c r="A1006" s="9" t="s">
        <v>2363</v>
      </c>
      <c r="B1006" s="9" t="s">
        <v>26</v>
      </c>
      <c r="C1006" s="9" t="s">
        <v>26</v>
      </c>
      <c r="D1006" s="52">
        <v>46160</v>
      </c>
      <c r="E1006" s="48">
        <v>0.79236111111111107</v>
      </c>
      <c r="F1006" s="48">
        <v>0.79513888888888884</v>
      </c>
      <c r="G1006" s="43">
        <f>(F1006-E1006)*1440</f>
        <v>3.9999999999999858</v>
      </c>
      <c r="H1006" s="9" t="s">
        <v>818</v>
      </c>
      <c r="I1006" s="9" t="s">
        <v>2568</v>
      </c>
      <c r="J1006" s="44">
        <v>2.1</v>
      </c>
      <c r="K1006" s="60">
        <v>3.52</v>
      </c>
      <c r="L1006" s="56">
        <v>3.3</v>
      </c>
      <c r="M1006" s="14">
        <f>K1006-L1006</f>
        <v>0.2200000000000002</v>
      </c>
      <c r="N1006" s="15">
        <f>IFERROR(M1006/K1006,0)</f>
        <v>6.2500000000000056E-2</v>
      </c>
      <c r="O1006" s="14">
        <f>IFERROR(L1006/J1006,0)</f>
        <v>1.5714285714285712</v>
      </c>
      <c r="P1006" s="14">
        <f>IFERROR(L1006/G1006,0)</f>
        <v>0.82500000000000284</v>
      </c>
    </row>
    <row r="1007" spans="1:19" x14ac:dyDescent="0.3">
      <c r="A1007" s="9" t="s">
        <v>2366</v>
      </c>
      <c r="B1007" s="9" t="s">
        <v>18</v>
      </c>
      <c r="C1007" s="9" t="s">
        <v>196</v>
      </c>
      <c r="D1007" s="52">
        <v>46160</v>
      </c>
      <c r="E1007" s="48">
        <v>0.78263888888888899</v>
      </c>
      <c r="F1007" s="48">
        <v>0.78611111111111109</v>
      </c>
      <c r="G1007" s="43">
        <f>(F1007-E1007)*1440</f>
        <v>4.9999999999998224</v>
      </c>
      <c r="H1007" s="9" t="s">
        <v>2568</v>
      </c>
      <c r="I1007" s="9" t="s">
        <v>243</v>
      </c>
      <c r="J1007" s="44">
        <v>2.38</v>
      </c>
      <c r="K1007" s="60">
        <v>4.97</v>
      </c>
      <c r="L1007" s="56">
        <v>3.95</v>
      </c>
      <c r="M1007" s="14">
        <f>K1007-L1007</f>
        <v>1.0199999999999996</v>
      </c>
      <c r="N1007" s="15">
        <f>IFERROR(M1007/K1007,0)</f>
        <v>0.20523138832997981</v>
      </c>
      <c r="O1007" s="14">
        <f>IFERROR(L1007/J1007,0)</f>
        <v>1.6596638655462186</v>
      </c>
      <c r="P1007" s="14">
        <f>IFERROR(L1007/G1007,0)</f>
        <v>0.79000000000002812</v>
      </c>
    </row>
    <row r="1008" spans="1:19" x14ac:dyDescent="0.3">
      <c r="A1008" s="9" t="s">
        <v>2359</v>
      </c>
      <c r="B1008" s="9" t="s">
        <v>26</v>
      </c>
      <c r="C1008" s="9" t="s">
        <v>27</v>
      </c>
      <c r="D1008" s="52">
        <v>46160</v>
      </c>
      <c r="E1008" s="48">
        <v>0.73402777777777783</v>
      </c>
      <c r="F1008" s="48">
        <v>0.7368055555555556</v>
      </c>
      <c r="G1008" s="43">
        <f>(F1008-E1008)*1440</f>
        <v>3.9999999999999858</v>
      </c>
      <c r="H1008" s="9" t="s">
        <v>1890</v>
      </c>
      <c r="I1008" s="9" t="s">
        <v>2559</v>
      </c>
      <c r="J1008" s="44">
        <v>1.7</v>
      </c>
      <c r="K1008" s="60">
        <v>6.55</v>
      </c>
      <c r="L1008" s="56">
        <v>5.4</v>
      </c>
      <c r="M1008" s="14">
        <f>K1008-L1008</f>
        <v>1.1499999999999995</v>
      </c>
      <c r="N1008" s="15">
        <f>IFERROR(M1008/K1008,0)</f>
        <v>0.1755725190839694</v>
      </c>
      <c r="O1008" s="14">
        <f>IFERROR(L1008/J1008,0)</f>
        <v>3.1764705882352944</v>
      </c>
      <c r="P1008" s="14">
        <f>IFERROR(L1008/G1008,0)</f>
        <v>1.350000000000005</v>
      </c>
      <c r="R1008" s="57">
        <v>2.7</v>
      </c>
    </row>
    <row r="1009" spans="1:19" x14ac:dyDescent="0.3">
      <c r="A1009" s="9" t="s">
        <v>2374</v>
      </c>
      <c r="B1009" s="9" t="s">
        <v>18</v>
      </c>
      <c r="C1009" s="9" t="s">
        <v>184</v>
      </c>
      <c r="D1009" s="52">
        <v>46161</v>
      </c>
      <c r="E1009" s="48">
        <v>0.62569444444444444</v>
      </c>
      <c r="F1009" s="48">
        <v>0.63680555555555551</v>
      </c>
      <c r="G1009" s="43">
        <f>(F1009-E1009)*1440</f>
        <v>15.999999999999943</v>
      </c>
      <c r="H1009" s="9" t="s">
        <v>1240</v>
      </c>
      <c r="I1009" s="9" t="s">
        <v>2581</v>
      </c>
      <c r="J1009" s="44">
        <v>17.34</v>
      </c>
      <c r="K1009" s="60">
        <v>11.94</v>
      </c>
      <c r="L1009" s="56">
        <v>6.85</v>
      </c>
      <c r="M1009" s="14">
        <f>K1009-L1009</f>
        <v>5.09</v>
      </c>
      <c r="N1009" s="15">
        <f>IFERROR(M1009/K1009,0)</f>
        <v>0.42629815745393634</v>
      </c>
      <c r="O1009" s="14">
        <f>IFERROR(L1009/J1009,0)</f>
        <v>0.39504036908881196</v>
      </c>
      <c r="P1009" s="14">
        <f>IFERROR(L1009/G1009,0)</f>
        <v>0.42812500000000148</v>
      </c>
      <c r="Q1009" s="64">
        <v>1.6</v>
      </c>
    </row>
    <row r="1010" spans="1:19" x14ac:dyDescent="0.3">
      <c r="A1010" s="9" t="s">
        <v>2370</v>
      </c>
      <c r="B1010" s="9" t="s">
        <v>18</v>
      </c>
      <c r="C1010" s="9" t="s">
        <v>184</v>
      </c>
      <c r="D1010" s="52">
        <v>46161</v>
      </c>
      <c r="E1010" s="48">
        <v>0.56666666666666665</v>
      </c>
      <c r="F1010" s="48">
        <v>0.58263888888888882</v>
      </c>
      <c r="G1010" s="43">
        <f>(F1010-E1010)*1440</f>
        <v>22.999999999999918</v>
      </c>
      <c r="H1010" s="9" t="s">
        <v>2574</v>
      </c>
      <c r="I1010" s="9" t="s">
        <v>2575</v>
      </c>
      <c r="J1010" s="44">
        <v>21.95</v>
      </c>
      <c r="K1010" s="60">
        <v>14.96</v>
      </c>
      <c r="L1010" s="56">
        <v>9.7200000000000006</v>
      </c>
      <c r="M1010" s="14">
        <f>K1010-L1010</f>
        <v>5.24</v>
      </c>
      <c r="N1010" s="15">
        <f>IFERROR(M1010/K1010,0)</f>
        <v>0.3502673796791444</v>
      </c>
      <c r="O1010" s="14">
        <f>IFERROR(L1010/J1010,0)</f>
        <v>0.44282460136674262</v>
      </c>
      <c r="P1010" s="14">
        <f>IFERROR(L1010/G1010,0)</f>
        <v>0.42260869565217546</v>
      </c>
    </row>
    <row r="1011" spans="1:19" x14ac:dyDescent="0.3">
      <c r="A1011" s="9" t="s">
        <v>2382</v>
      </c>
      <c r="B1011" s="9" t="s">
        <v>18</v>
      </c>
      <c r="C1011" s="9" t="s">
        <v>184</v>
      </c>
      <c r="D1011" s="52">
        <v>46161</v>
      </c>
      <c r="E1011" s="48">
        <v>0.87638888888888899</v>
      </c>
      <c r="F1011" s="48">
        <v>0.88958333333333339</v>
      </c>
      <c r="G1011" s="43">
        <f>(F1011-E1011)*1440</f>
        <v>18.999999999999932</v>
      </c>
      <c r="H1011" s="9" t="s">
        <v>2590</v>
      </c>
      <c r="I1011" s="9" t="s">
        <v>1726</v>
      </c>
      <c r="J1011" s="44">
        <v>13.72</v>
      </c>
      <c r="K1011" s="60">
        <v>8.94</v>
      </c>
      <c r="L1011" s="56">
        <v>6.38</v>
      </c>
      <c r="M1011" s="14">
        <f>K1011-L1011</f>
        <v>2.5599999999999996</v>
      </c>
      <c r="N1011" s="15">
        <f>IFERROR(M1011/K1011,0)</f>
        <v>0.28635346756152125</v>
      </c>
      <c r="O1011" s="14">
        <f>IFERROR(L1011/J1011,0)</f>
        <v>0.4650145772594752</v>
      </c>
      <c r="P1011" s="14">
        <f>IFERROR(L1011/G1011,0)</f>
        <v>0.33578947368421169</v>
      </c>
    </row>
    <row r="1012" spans="1:19" x14ac:dyDescent="0.3">
      <c r="A1012" s="9" t="s">
        <v>2371</v>
      </c>
      <c r="B1012" s="9" t="s">
        <v>18</v>
      </c>
      <c r="C1012" s="9" t="s">
        <v>184</v>
      </c>
      <c r="D1012" s="52">
        <v>46161</v>
      </c>
      <c r="E1012" s="48">
        <v>0.59791666666666665</v>
      </c>
      <c r="F1012" s="48">
        <v>0.60902777777777783</v>
      </c>
      <c r="G1012" s="43">
        <f>(F1012-E1012)*1440</f>
        <v>16.000000000000103</v>
      </c>
      <c r="H1012" s="9" t="s">
        <v>2474</v>
      </c>
      <c r="I1012" s="9" t="s">
        <v>2576</v>
      </c>
      <c r="J1012" s="44">
        <v>9.85</v>
      </c>
      <c r="K1012" s="60">
        <v>5.96</v>
      </c>
      <c r="L1012" s="56">
        <v>4.68</v>
      </c>
      <c r="M1012" s="14">
        <f>K1012-L1012</f>
        <v>1.2800000000000002</v>
      </c>
      <c r="N1012" s="15">
        <f>IFERROR(M1012/K1012,0)</f>
        <v>0.21476510067114099</v>
      </c>
      <c r="O1012" s="14">
        <f>IFERROR(L1012/J1012,0)</f>
        <v>0.47512690355329951</v>
      </c>
      <c r="P1012" s="14">
        <f>IFERROR(L1012/G1012,0)</f>
        <v>0.29249999999999809</v>
      </c>
    </row>
    <row r="1013" spans="1:19" x14ac:dyDescent="0.3">
      <c r="A1013" s="9" t="s">
        <v>2375</v>
      </c>
      <c r="B1013" s="9" t="s">
        <v>18</v>
      </c>
      <c r="C1013" s="9" t="s">
        <v>184</v>
      </c>
      <c r="D1013" s="52">
        <v>46161</v>
      </c>
      <c r="E1013" s="48">
        <v>0.65694444444444444</v>
      </c>
      <c r="F1013" s="48">
        <v>0.66736111111111107</v>
      </c>
      <c r="G1013" s="43">
        <f>(F1013-E1013)*1440</f>
        <v>14.999999999999947</v>
      </c>
      <c r="H1013" s="9" t="s">
        <v>2582</v>
      </c>
      <c r="I1013" s="9" t="s">
        <v>1856</v>
      </c>
      <c r="J1013" s="44">
        <v>12.38</v>
      </c>
      <c r="K1013" s="60">
        <v>8.94</v>
      </c>
      <c r="L1013" s="56">
        <v>6.29</v>
      </c>
      <c r="M1013" s="14">
        <f>K1013-L1013</f>
        <v>2.6499999999999995</v>
      </c>
      <c r="N1013" s="15">
        <f>IFERROR(M1013/K1013,0)</f>
        <v>0.29642058165548096</v>
      </c>
      <c r="O1013" s="14">
        <f>IFERROR(L1013/J1013,0)</f>
        <v>0.50807754442649433</v>
      </c>
      <c r="P1013" s="14">
        <f>IFERROR(L1013/G1013,0)</f>
        <v>0.41933333333333483</v>
      </c>
      <c r="Q1013" s="64">
        <v>1.6</v>
      </c>
    </row>
    <row r="1014" spans="1:19" x14ac:dyDescent="0.3">
      <c r="A1014" s="9" t="s">
        <v>2373</v>
      </c>
      <c r="B1014" s="9" t="s">
        <v>18</v>
      </c>
      <c r="C1014" s="9" t="s">
        <v>196</v>
      </c>
      <c r="D1014" s="52">
        <v>46161</v>
      </c>
      <c r="E1014" s="48">
        <v>0.61319444444444449</v>
      </c>
      <c r="F1014" s="48">
        <v>0.62291666666666667</v>
      </c>
      <c r="G1014" s="43">
        <f>(F1014-E1014)*1440</f>
        <v>13.99999999999995</v>
      </c>
      <c r="H1014" s="9" t="s">
        <v>2579</v>
      </c>
      <c r="I1014" s="9" t="s">
        <v>2580</v>
      </c>
      <c r="J1014" s="44">
        <v>6.51</v>
      </c>
      <c r="K1014" s="60">
        <v>4.99</v>
      </c>
      <c r="L1014" s="56">
        <v>3.67</v>
      </c>
      <c r="M1014" s="14">
        <f>K1014-L1014</f>
        <v>1.3200000000000003</v>
      </c>
      <c r="N1014" s="15">
        <f>IFERROR(M1014/K1014,0)</f>
        <v>0.26452905811623251</v>
      </c>
      <c r="O1014" s="14">
        <f>IFERROR(L1014/J1014,0)</f>
        <v>0.56374807987711217</v>
      </c>
      <c r="P1014" s="14">
        <f>IFERROR(L1014/G1014,0)</f>
        <v>0.26214285714285807</v>
      </c>
    </row>
    <row r="1015" spans="1:19" x14ac:dyDescent="0.3">
      <c r="A1015" s="9" t="s">
        <v>2389</v>
      </c>
      <c r="B1015" s="9" t="s">
        <v>26</v>
      </c>
      <c r="C1015" s="9" t="s">
        <v>26</v>
      </c>
      <c r="D1015" s="52">
        <v>46161</v>
      </c>
      <c r="E1015" s="48">
        <v>0.83888888888888891</v>
      </c>
      <c r="F1015" s="48">
        <v>0.84722222222222221</v>
      </c>
      <c r="G1015" s="43">
        <f>(F1015-E1015)*1440</f>
        <v>11.999999999999957</v>
      </c>
      <c r="H1015" s="9" t="s">
        <v>784</v>
      </c>
      <c r="I1015" s="9" t="s">
        <v>2598</v>
      </c>
      <c r="J1015" s="44">
        <v>5.2</v>
      </c>
      <c r="K1015" s="60">
        <v>3.73</v>
      </c>
      <c r="L1015" s="56">
        <v>3.49</v>
      </c>
      <c r="M1015" s="14">
        <f>K1015-L1015</f>
        <v>0.23999999999999977</v>
      </c>
      <c r="N1015" s="15">
        <f>IFERROR(M1015/K1015,0)</f>
        <v>6.4343163538873926E-2</v>
      </c>
      <c r="O1015" s="14">
        <f>IFERROR(L1015/J1015,0)</f>
        <v>0.67115384615384621</v>
      </c>
      <c r="P1015" s="14">
        <f>IFERROR(L1015/G1015,0)</f>
        <v>0.29083333333333439</v>
      </c>
    </row>
    <row r="1016" spans="1:19" x14ac:dyDescent="0.3">
      <c r="A1016" s="9" t="s">
        <v>2381</v>
      </c>
      <c r="B1016" s="9" t="s">
        <v>18</v>
      </c>
      <c r="C1016" s="9" t="s">
        <v>184</v>
      </c>
      <c r="D1016" s="52">
        <v>46161</v>
      </c>
      <c r="E1016" s="48">
        <v>0.86041666666666661</v>
      </c>
      <c r="F1016" s="48">
        <v>0.8666666666666667</v>
      </c>
      <c r="G1016" s="43">
        <f>(F1016-E1016)*1440</f>
        <v>9.0000000000001279</v>
      </c>
      <c r="H1016" s="9" t="s">
        <v>2497</v>
      </c>
      <c r="I1016" s="9" t="s">
        <v>2589</v>
      </c>
      <c r="J1016" s="44">
        <v>5.27</v>
      </c>
      <c r="K1016" s="60">
        <v>4.95</v>
      </c>
      <c r="L1016" s="56">
        <v>3.64</v>
      </c>
      <c r="M1016" s="14">
        <f>K1016-L1016</f>
        <v>1.31</v>
      </c>
      <c r="N1016" s="15">
        <f>IFERROR(M1016/K1016,0)</f>
        <v>0.26464646464646463</v>
      </c>
      <c r="O1016" s="14">
        <f>IFERROR(L1016/J1016,0)</f>
        <v>0.6907020872865276</v>
      </c>
      <c r="P1016" s="14">
        <f>IFERROR(L1016/G1016,0)</f>
        <v>0.40444444444443872</v>
      </c>
    </row>
    <row r="1017" spans="1:19" x14ac:dyDescent="0.3">
      <c r="A1017" s="9" t="s">
        <v>2386</v>
      </c>
      <c r="B1017" s="9" t="s">
        <v>26</v>
      </c>
      <c r="C1017" s="9" t="s">
        <v>26</v>
      </c>
      <c r="D1017" s="52">
        <v>46161</v>
      </c>
      <c r="E1017" s="48">
        <v>0.69097222222222221</v>
      </c>
      <c r="F1017" s="48">
        <v>0.69930555555555562</v>
      </c>
      <c r="G1017" s="43">
        <f>(F1017-E1017)*1440</f>
        <v>12.000000000000117</v>
      </c>
      <c r="H1017" s="9" t="s">
        <v>2595</v>
      </c>
      <c r="I1017" s="9" t="s">
        <v>2596</v>
      </c>
      <c r="J1017" s="44">
        <v>9.5</v>
      </c>
      <c r="K1017" s="60">
        <v>6.31</v>
      </c>
      <c r="L1017" s="56">
        <v>6.76</v>
      </c>
      <c r="M1017" s="14">
        <f>K1017-L1017</f>
        <v>-0.45000000000000018</v>
      </c>
      <c r="N1017" s="15">
        <f>IFERROR(M1017/K1017,0)</f>
        <v>-7.1315372424722689E-2</v>
      </c>
      <c r="O1017" s="14">
        <f>IFERROR(L1017/J1017,0)</f>
        <v>0.71157894736842098</v>
      </c>
      <c r="P1017" s="14">
        <f>IFERROR(L1017/G1017,0)</f>
        <v>0.5633333333333278</v>
      </c>
    </row>
    <row r="1018" spans="1:19" x14ac:dyDescent="0.3">
      <c r="A1018" s="9" t="s">
        <v>2383</v>
      </c>
      <c r="B1018" s="9" t="s">
        <v>26</v>
      </c>
      <c r="C1018" s="9" t="s">
        <v>26</v>
      </c>
      <c r="D1018" s="52">
        <v>46161</v>
      </c>
      <c r="E1018" s="48">
        <v>0.59097222222222223</v>
      </c>
      <c r="F1018" s="48">
        <v>0.59861111111111109</v>
      </c>
      <c r="G1018" s="43">
        <f>(F1018-E1018)*1440</f>
        <v>10.999999999999961</v>
      </c>
      <c r="H1018" s="9" t="s">
        <v>2591</v>
      </c>
      <c r="I1018" s="9" t="s">
        <v>878</v>
      </c>
      <c r="J1018" s="44">
        <v>5.0999999999999996</v>
      </c>
      <c r="K1018" s="60">
        <v>4.21</v>
      </c>
      <c r="L1018" s="56">
        <v>3.94</v>
      </c>
      <c r="M1018" s="14">
        <f>K1018-L1018</f>
        <v>0.27</v>
      </c>
      <c r="N1018" s="15">
        <f>IFERROR(M1018/K1018,0)</f>
        <v>6.413301662707839E-2</v>
      </c>
      <c r="O1018" s="14">
        <f>IFERROR(L1018/J1018,0)</f>
        <v>0.77254901960784317</v>
      </c>
      <c r="P1018" s="14">
        <f>IFERROR(L1018/G1018,0)</f>
        <v>0.35818181818181943</v>
      </c>
    </row>
    <row r="1019" spans="1:19" x14ac:dyDescent="0.3">
      <c r="A1019" s="9" t="s">
        <v>2390</v>
      </c>
      <c r="B1019" s="9" t="s">
        <v>26</v>
      </c>
      <c r="C1019" s="9" t="s">
        <v>26</v>
      </c>
      <c r="D1019" s="52">
        <v>46161</v>
      </c>
      <c r="E1019" s="48">
        <v>0.8520833333333333</v>
      </c>
      <c r="F1019" s="48">
        <v>0.85763888888888884</v>
      </c>
      <c r="G1019" s="43">
        <f>(F1019-E1019)*1440</f>
        <v>7.9999999999999716</v>
      </c>
      <c r="H1019" s="9" t="s">
        <v>1331</v>
      </c>
      <c r="I1019" s="9" t="s">
        <v>214</v>
      </c>
      <c r="J1019" s="44">
        <v>5</v>
      </c>
      <c r="K1019" s="60">
        <v>5.5</v>
      </c>
      <c r="L1019" s="56">
        <v>4.12</v>
      </c>
      <c r="M1019" s="14">
        <f>K1019-L1019</f>
        <v>1.38</v>
      </c>
      <c r="N1019" s="15">
        <f>IFERROR(M1019/K1019,0)</f>
        <v>0.25090909090909091</v>
      </c>
      <c r="O1019" s="14">
        <f>IFERROR(L1019/J1019,0)</f>
        <v>0.82400000000000007</v>
      </c>
      <c r="P1019" s="14">
        <f>IFERROR(L1019/G1019,0)</f>
        <v>0.51500000000000179</v>
      </c>
      <c r="R1019" s="57">
        <v>0.91</v>
      </c>
    </row>
    <row r="1020" spans="1:19" x14ac:dyDescent="0.3">
      <c r="A1020" s="9" t="s">
        <v>2377</v>
      </c>
      <c r="B1020" s="9" t="s">
        <v>538</v>
      </c>
      <c r="C1020" s="9" t="s">
        <v>196</v>
      </c>
      <c r="D1020" s="52">
        <v>46161</v>
      </c>
      <c r="E1020" s="48">
        <v>0.72083333333333333</v>
      </c>
      <c r="F1020" s="48">
        <v>0.72916666666666663</v>
      </c>
      <c r="G1020" s="43">
        <f>(F1020-E1020)*1440</f>
        <v>11.999999999999957</v>
      </c>
      <c r="H1020" s="9" t="s">
        <v>2584</v>
      </c>
      <c r="I1020" s="9" t="s">
        <v>1950</v>
      </c>
      <c r="J1020" s="44">
        <v>6.5</v>
      </c>
      <c r="K1020" s="60">
        <v>5.53</v>
      </c>
      <c r="L1020" s="56">
        <v>5.38</v>
      </c>
      <c r="M1020" s="14">
        <f>K1020-L1020</f>
        <v>0.15000000000000036</v>
      </c>
      <c r="N1020" s="15">
        <f>IFERROR(M1020/K1020,0)</f>
        <v>2.712477396021706E-2</v>
      </c>
      <c r="O1020" s="14">
        <f>IFERROR(L1020/J1020,0)</f>
        <v>0.82769230769230773</v>
      </c>
      <c r="P1020" s="14">
        <f>IFERROR(L1020/G1020,0)</f>
        <v>0.44833333333333492</v>
      </c>
      <c r="S1020" s="61">
        <v>0.5</v>
      </c>
    </row>
    <row r="1021" spans="1:19" x14ac:dyDescent="0.3">
      <c r="A1021" s="9" t="s">
        <v>2376</v>
      </c>
      <c r="B1021" s="9" t="s">
        <v>18</v>
      </c>
      <c r="C1021" s="9" t="s">
        <v>184</v>
      </c>
      <c r="D1021" s="52">
        <v>46161</v>
      </c>
      <c r="E1021" s="48">
        <v>0.70486111111111116</v>
      </c>
      <c r="F1021" s="48">
        <v>0.71388888888888891</v>
      </c>
      <c r="G1021" s="43">
        <f>(F1021-E1021)*1440</f>
        <v>12.999999999999954</v>
      </c>
      <c r="H1021" s="9" t="s">
        <v>2583</v>
      </c>
      <c r="I1021" s="9" t="s">
        <v>1125</v>
      </c>
      <c r="J1021" s="44">
        <v>5.97</v>
      </c>
      <c r="K1021" s="60">
        <v>5.14</v>
      </c>
      <c r="L1021" s="56">
        <v>5.0199999999999996</v>
      </c>
      <c r="M1021" s="14">
        <f>K1021-L1021</f>
        <v>0.12000000000000011</v>
      </c>
      <c r="N1021" s="15">
        <f>IFERROR(M1021/K1021,0)</f>
        <v>2.3346303501945546E-2</v>
      </c>
      <c r="O1021" s="14">
        <f>IFERROR(L1021/J1021,0)</f>
        <v>0.8408710217755444</v>
      </c>
      <c r="P1021" s="14">
        <f>IFERROR(L1021/G1021,0)</f>
        <v>0.38615384615384751</v>
      </c>
    </row>
    <row r="1022" spans="1:19" x14ac:dyDescent="0.3">
      <c r="A1022" s="9" t="s">
        <v>2387</v>
      </c>
      <c r="B1022" s="9" t="s">
        <v>26</v>
      </c>
      <c r="C1022" s="9" t="s">
        <v>26</v>
      </c>
      <c r="D1022" s="52">
        <v>46161</v>
      </c>
      <c r="E1022" s="48">
        <v>0.79583333333333339</v>
      </c>
      <c r="F1022" s="48">
        <v>0.80138888888888893</v>
      </c>
      <c r="G1022" s="43">
        <f>(F1022-E1022)*1440</f>
        <v>7.9999999999999716</v>
      </c>
      <c r="H1022" s="9" t="s">
        <v>1331</v>
      </c>
      <c r="I1022" s="9" t="s">
        <v>1324</v>
      </c>
      <c r="J1022" s="44">
        <v>4.0999999999999996</v>
      </c>
      <c r="K1022" s="60">
        <v>4.63</v>
      </c>
      <c r="L1022" s="56">
        <v>3.47</v>
      </c>
      <c r="M1022" s="14">
        <f>K1022-L1022</f>
        <v>1.1599999999999997</v>
      </c>
      <c r="N1022" s="15">
        <f>IFERROR(M1022/K1022,0)</f>
        <v>0.25053995680345564</v>
      </c>
      <c r="O1022" s="14">
        <f>IFERROR(L1022/J1022,0)</f>
        <v>0.84634146341463423</v>
      </c>
      <c r="P1022" s="14">
        <f>IFERROR(L1022/G1022,0)</f>
        <v>0.43375000000000158</v>
      </c>
    </row>
    <row r="1023" spans="1:19" x14ac:dyDescent="0.3">
      <c r="A1023" s="9" t="s">
        <v>2379</v>
      </c>
      <c r="B1023" s="9" t="s">
        <v>538</v>
      </c>
      <c r="C1023" s="9" t="s">
        <v>196</v>
      </c>
      <c r="D1023" s="52">
        <v>46161</v>
      </c>
      <c r="E1023" s="48">
        <v>0.74722222222222223</v>
      </c>
      <c r="F1023" s="48">
        <v>0.7583333333333333</v>
      </c>
      <c r="G1023" s="43">
        <f>(F1023-E1023)*1440</f>
        <v>15.999999999999943</v>
      </c>
      <c r="H1023" s="9" t="s">
        <v>2586</v>
      </c>
      <c r="I1023" s="9" t="s">
        <v>2587</v>
      </c>
      <c r="J1023" s="44">
        <v>6.62</v>
      </c>
      <c r="K1023" s="60">
        <v>6.99</v>
      </c>
      <c r="L1023" s="56">
        <v>6.27</v>
      </c>
      <c r="M1023" s="14">
        <f>K1023-L1023</f>
        <v>0.72000000000000064</v>
      </c>
      <c r="N1023" s="15">
        <f>IFERROR(M1023/K1023,0)</f>
        <v>0.10300429184549365</v>
      </c>
      <c r="O1023" s="14">
        <f>IFERROR(L1023/J1023,0)</f>
        <v>0.94712990936555885</v>
      </c>
      <c r="P1023" s="14">
        <f>IFERROR(L1023/G1023,0)</f>
        <v>0.39187500000000136</v>
      </c>
    </row>
    <row r="1024" spans="1:19" x14ac:dyDescent="0.3">
      <c r="A1024" s="9" t="s">
        <v>2384</v>
      </c>
      <c r="B1024" s="9" t="s">
        <v>26</v>
      </c>
      <c r="C1024" s="9" t="s">
        <v>26</v>
      </c>
      <c r="D1024" s="52">
        <v>46161</v>
      </c>
      <c r="E1024" s="48">
        <v>0.67291666666666661</v>
      </c>
      <c r="F1024" s="48">
        <v>0.6791666666666667</v>
      </c>
      <c r="G1024" s="43">
        <f>(F1024-E1024)*1440</f>
        <v>9.0000000000001279</v>
      </c>
      <c r="H1024" s="9" t="s">
        <v>2592</v>
      </c>
      <c r="I1024" s="9" t="s">
        <v>1328</v>
      </c>
      <c r="J1024" s="44">
        <v>3.3</v>
      </c>
      <c r="K1024" s="60">
        <v>4.18</v>
      </c>
      <c r="L1024" s="56">
        <v>3.3</v>
      </c>
      <c r="M1024" s="14">
        <f>K1024-L1024</f>
        <v>0.87999999999999989</v>
      </c>
      <c r="N1024" s="15">
        <f>IFERROR(M1024/K1024,0)</f>
        <v>0.21052631578947367</v>
      </c>
      <c r="O1024" s="14">
        <f>IFERROR(L1024/J1024,0)</f>
        <v>1</v>
      </c>
      <c r="P1024" s="14">
        <f>IFERROR(L1024/G1024,0)</f>
        <v>0.36666666666666142</v>
      </c>
    </row>
    <row r="1025" spans="1:19" x14ac:dyDescent="0.3">
      <c r="A1025" s="9" t="s">
        <v>2388</v>
      </c>
      <c r="B1025" s="9" t="s">
        <v>26</v>
      </c>
      <c r="C1025" s="9" t="s">
        <v>26</v>
      </c>
      <c r="D1025" s="52">
        <v>46161</v>
      </c>
      <c r="E1025" s="48">
        <v>0.82777777777777783</v>
      </c>
      <c r="F1025" s="48">
        <v>0.83611111111111114</v>
      </c>
      <c r="G1025" s="43">
        <f>(F1025-E1025)*1440</f>
        <v>11.999999999999957</v>
      </c>
      <c r="H1025" s="9" t="s">
        <v>2597</v>
      </c>
      <c r="I1025" s="9" t="s">
        <v>2257</v>
      </c>
      <c r="J1025" s="44">
        <v>3.4</v>
      </c>
      <c r="K1025" s="60">
        <v>3.87</v>
      </c>
      <c r="L1025" s="56">
        <v>3.63</v>
      </c>
      <c r="M1025" s="14">
        <f>K1025-L1025</f>
        <v>0.24000000000000021</v>
      </c>
      <c r="N1025" s="15">
        <f>IFERROR(M1025/K1025,0)</f>
        <v>6.2015503875969047E-2</v>
      </c>
      <c r="O1025" s="14">
        <f>IFERROR(L1025/J1025,0)</f>
        <v>1.0676470588235294</v>
      </c>
      <c r="P1025" s="14">
        <f>IFERROR(L1025/G1025,0)</f>
        <v>0.30250000000000105</v>
      </c>
    </row>
    <row r="1026" spans="1:19" x14ac:dyDescent="0.3">
      <c r="A1026" s="9" t="s">
        <v>2380</v>
      </c>
      <c r="B1026" s="9" t="s">
        <v>538</v>
      </c>
      <c r="C1026" s="9" t="s">
        <v>184</v>
      </c>
      <c r="D1026" s="52">
        <v>46161</v>
      </c>
      <c r="E1026" s="48">
        <v>0.76527777777777783</v>
      </c>
      <c r="F1026" s="48">
        <v>0.77361111111111114</v>
      </c>
      <c r="G1026" s="43">
        <f>(F1026-E1026)*1440</f>
        <v>11.999999999999957</v>
      </c>
      <c r="H1026" s="9" t="s">
        <v>2588</v>
      </c>
      <c r="I1026" s="9" t="s">
        <v>759</v>
      </c>
      <c r="J1026" s="44">
        <v>5.55</v>
      </c>
      <c r="K1026" s="60">
        <v>8.94</v>
      </c>
      <c r="L1026" s="56">
        <v>7.67</v>
      </c>
      <c r="M1026" s="14">
        <f>K1026-L1026</f>
        <v>1.2699999999999996</v>
      </c>
      <c r="N1026" s="15">
        <f>IFERROR(M1026/K1026,0)</f>
        <v>0.14205816554809839</v>
      </c>
      <c r="O1026" s="14">
        <f>IFERROR(L1026/J1026,0)</f>
        <v>1.3819819819819821</v>
      </c>
      <c r="P1026" s="14">
        <f>IFERROR(L1026/G1026,0)</f>
        <v>0.63916666666666888</v>
      </c>
    </row>
    <row r="1027" spans="1:19" x14ac:dyDescent="0.3">
      <c r="A1027" s="9" t="s">
        <v>2385</v>
      </c>
      <c r="B1027" s="9" t="s">
        <v>26</v>
      </c>
      <c r="C1027" s="9" t="s">
        <v>26</v>
      </c>
      <c r="D1027" s="52">
        <v>46161</v>
      </c>
      <c r="E1027" s="48">
        <v>0.68125000000000002</v>
      </c>
      <c r="F1027" s="48">
        <v>0.68541666666666667</v>
      </c>
      <c r="G1027" s="43">
        <f>(F1027-E1027)*1440</f>
        <v>5.9999999999999787</v>
      </c>
      <c r="H1027" s="9" t="s">
        <v>2593</v>
      </c>
      <c r="I1027" s="9" t="s">
        <v>2594</v>
      </c>
      <c r="J1027" s="44">
        <v>1.8</v>
      </c>
      <c r="K1027" s="60">
        <v>4.18</v>
      </c>
      <c r="L1027" s="56">
        <v>3.3</v>
      </c>
      <c r="M1027" s="14">
        <f>K1027-L1027</f>
        <v>0.87999999999999989</v>
      </c>
      <c r="N1027" s="15">
        <f>IFERROR(M1027/K1027,0)</f>
        <v>0.21052631578947367</v>
      </c>
      <c r="O1027" s="14">
        <f>IFERROR(L1027/J1027,0)</f>
        <v>1.8333333333333333</v>
      </c>
      <c r="P1027" s="14">
        <f>IFERROR(L1027/G1027,0)</f>
        <v>0.55000000000000193</v>
      </c>
    </row>
    <row r="1028" spans="1:19" x14ac:dyDescent="0.3">
      <c r="A1028" s="9" t="s">
        <v>2378</v>
      </c>
      <c r="B1028" s="9" t="s">
        <v>18</v>
      </c>
      <c r="C1028" s="9" t="s">
        <v>196</v>
      </c>
      <c r="D1028" s="52">
        <v>46161</v>
      </c>
      <c r="E1028" s="48">
        <v>0.7368055555555556</v>
      </c>
      <c r="F1028" s="48">
        <v>0.74305555555555547</v>
      </c>
      <c r="G1028" s="43">
        <f>(F1028-E1028)*1440</f>
        <v>8.9999999999998082</v>
      </c>
      <c r="H1028" s="9" t="s">
        <v>1950</v>
      </c>
      <c r="I1028" s="9" t="s">
        <v>2585</v>
      </c>
      <c r="J1028" s="44">
        <v>2.31</v>
      </c>
      <c r="K1028" s="60">
        <v>7.98</v>
      </c>
      <c r="L1028" s="56">
        <v>6.29</v>
      </c>
      <c r="M1028" s="14">
        <f>K1028-L1028</f>
        <v>1.6900000000000004</v>
      </c>
      <c r="N1028" s="15">
        <f>IFERROR(M1028/K1028,0)</f>
        <v>0.21177944862155393</v>
      </c>
      <c r="O1028" s="14">
        <f>IFERROR(L1028/J1028,0)</f>
        <v>2.722943722943723</v>
      </c>
      <c r="P1028" s="14">
        <f>IFERROR(L1028/G1028,0)</f>
        <v>0.69888888888890377</v>
      </c>
    </row>
    <row r="1029" spans="1:19" x14ac:dyDescent="0.3">
      <c r="A1029" s="9" t="s">
        <v>2372</v>
      </c>
      <c r="B1029" s="9" t="s">
        <v>18</v>
      </c>
      <c r="C1029" s="9" t="s">
        <v>196</v>
      </c>
      <c r="D1029" s="52">
        <v>46161</v>
      </c>
      <c r="E1029" s="48">
        <v>0.61041666666666672</v>
      </c>
      <c r="F1029" s="48">
        <v>0.61249999999999993</v>
      </c>
      <c r="G1029" s="43">
        <f>(F1029-E1029)*1440</f>
        <v>2.9999999999998295</v>
      </c>
      <c r="H1029" s="9" t="s">
        <v>2577</v>
      </c>
      <c r="I1029" s="9" t="s">
        <v>2578</v>
      </c>
      <c r="J1029" s="44">
        <v>1.18</v>
      </c>
      <c r="K1029" s="60">
        <v>4.9800000000000004</v>
      </c>
      <c r="L1029" s="56">
        <v>3.67</v>
      </c>
      <c r="M1029" s="14">
        <f>K1029-L1029</f>
        <v>1.3100000000000005</v>
      </c>
      <c r="N1029" s="15">
        <f>IFERROR(M1029/K1029,0)</f>
        <v>0.26305220883534142</v>
      </c>
      <c r="O1029" s="14">
        <f>IFERROR(L1029/J1029,0)</f>
        <v>3.1101694915254239</v>
      </c>
      <c r="P1029" s="14">
        <f>IFERROR(L1029/G1029,0)</f>
        <v>1.2233333333334029</v>
      </c>
    </row>
    <row r="1030" spans="1:19" x14ac:dyDescent="0.3">
      <c r="A1030" s="9" t="s">
        <v>2396</v>
      </c>
      <c r="B1030" s="9" t="s">
        <v>18</v>
      </c>
      <c r="C1030" s="9" t="s">
        <v>184</v>
      </c>
      <c r="D1030" s="52">
        <v>46163</v>
      </c>
      <c r="E1030" s="48">
        <v>0.55902777777777779</v>
      </c>
      <c r="F1030" s="48">
        <v>0.57916666666666672</v>
      </c>
      <c r="G1030" s="43">
        <f>(F1030-E1030)*1440</f>
        <v>29.000000000000057</v>
      </c>
      <c r="H1030" s="9" t="s">
        <v>2604</v>
      </c>
      <c r="I1030" s="9" t="s">
        <v>764</v>
      </c>
      <c r="J1030" s="44">
        <v>25.03</v>
      </c>
      <c r="K1030" s="60">
        <v>12.93</v>
      </c>
      <c r="L1030" s="56">
        <v>10.130000000000001</v>
      </c>
      <c r="M1030" s="14">
        <f>K1030-L1030</f>
        <v>2.7999999999999989</v>
      </c>
      <c r="N1030" s="15">
        <f>IFERROR(M1030/K1030,0)</f>
        <v>0.21655065738592413</v>
      </c>
      <c r="O1030" s="14">
        <f>IFERROR(L1030/J1030,0)</f>
        <v>0.40471434278865365</v>
      </c>
      <c r="P1030" s="14">
        <f>IFERROR(L1030/G1030,0)</f>
        <v>0.34931034482758555</v>
      </c>
    </row>
    <row r="1031" spans="1:19" x14ac:dyDescent="0.3">
      <c r="A1031" s="9" t="s">
        <v>2399</v>
      </c>
      <c r="B1031" s="9" t="s">
        <v>18</v>
      </c>
      <c r="C1031" s="9" t="s">
        <v>184</v>
      </c>
      <c r="D1031" s="52">
        <v>46163</v>
      </c>
      <c r="E1031" s="48">
        <v>0.60763888888888895</v>
      </c>
      <c r="F1031" s="48">
        <v>0.61875000000000002</v>
      </c>
      <c r="G1031" s="43">
        <f>(F1031-E1031)*1440</f>
        <v>15.999999999999943</v>
      </c>
      <c r="H1031" s="9" t="s">
        <v>554</v>
      </c>
      <c r="I1031" s="9" t="s">
        <v>2608</v>
      </c>
      <c r="J1031" s="44">
        <v>16.16</v>
      </c>
      <c r="K1031" s="60">
        <v>10.94</v>
      </c>
      <c r="L1031" s="56">
        <v>6.66</v>
      </c>
      <c r="M1031" s="14">
        <f>K1031-L1031</f>
        <v>4.2799999999999994</v>
      </c>
      <c r="N1031" s="15">
        <f>IFERROR(M1031/K1031,0)</f>
        <v>0.39122486288848257</v>
      </c>
      <c r="O1031" s="14">
        <f>IFERROR(L1031/J1031,0)</f>
        <v>0.41212871287128711</v>
      </c>
      <c r="P1031" s="14">
        <f>IFERROR(L1031/G1031,0)</f>
        <v>0.41625000000000151</v>
      </c>
      <c r="Q1031" s="64">
        <v>0.7</v>
      </c>
    </row>
    <row r="1032" spans="1:19" x14ac:dyDescent="0.3">
      <c r="A1032" s="9" t="s">
        <v>2401</v>
      </c>
      <c r="B1032" s="9" t="s">
        <v>538</v>
      </c>
      <c r="C1032" s="9" t="s">
        <v>184</v>
      </c>
      <c r="D1032" s="52">
        <v>46163</v>
      </c>
      <c r="E1032" s="48">
        <v>0.65069444444444446</v>
      </c>
      <c r="F1032" s="48">
        <v>0.66041666666666665</v>
      </c>
      <c r="G1032" s="43">
        <f>(F1032-E1032)*1440</f>
        <v>13.99999999999995</v>
      </c>
      <c r="H1032" s="9" t="s">
        <v>2611</v>
      </c>
      <c r="I1032" s="9" t="s">
        <v>2612</v>
      </c>
      <c r="J1032" s="44">
        <v>9.11</v>
      </c>
      <c r="K1032" s="60">
        <v>5.93</v>
      </c>
      <c r="L1032" s="56">
        <v>4.0199999999999996</v>
      </c>
      <c r="M1032" s="14">
        <f>K1032-L1032</f>
        <v>1.9100000000000001</v>
      </c>
      <c r="N1032" s="15">
        <f>IFERROR(M1032/K1032,0)</f>
        <v>0.32209106239460372</v>
      </c>
      <c r="O1032" s="14">
        <f>IFERROR(L1032/J1032,0)</f>
        <v>0.44127332601536773</v>
      </c>
      <c r="P1032" s="14">
        <f>IFERROR(L1032/G1032,0)</f>
        <v>0.28714285714285814</v>
      </c>
    </row>
    <row r="1033" spans="1:19" x14ac:dyDescent="0.3">
      <c r="A1033" s="9" t="s">
        <v>2408</v>
      </c>
      <c r="B1033" s="9" t="s">
        <v>538</v>
      </c>
      <c r="C1033" s="9" t="s">
        <v>184</v>
      </c>
      <c r="D1033" s="52">
        <v>46163</v>
      </c>
      <c r="E1033" s="48">
        <v>0.87152777777777779</v>
      </c>
      <c r="F1033" s="48">
        <v>0.88124999999999998</v>
      </c>
      <c r="G1033" s="43">
        <f>(F1033-E1033)*1440</f>
        <v>13.99999999999995</v>
      </c>
      <c r="H1033" s="9" t="s">
        <v>2225</v>
      </c>
      <c r="I1033" s="9" t="s">
        <v>2617</v>
      </c>
      <c r="J1033" s="44">
        <v>12.21</v>
      </c>
      <c r="K1033" s="60">
        <v>7.95</v>
      </c>
      <c r="L1033" s="56">
        <v>5.78</v>
      </c>
      <c r="M1033" s="14">
        <f>K1033-L1033</f>
        <v>2.17</v>
      </c>
      <c r="N1033" s="15">
        <f>IFERROR(M1033/K1033,0)</f>
        <v>0.27295597484276729</v>
      </c>
      <c r="O1033" s="14">
        <f>IFERROR(L1033/J1033,0)</f>
        <v>0.47338247338247336</v>
      </c>
      <c r="P1033" s="14">
        <f>IFERROR(L1033/G1033,0)</f>
        <v>0.41285714285714437</v>
      </c>
    </row>
    <row r="1034" spans="1:19" x14ac:dyDescent="0.3">
      <c r="A1034" s="9" t="s">
        <v>2397</v>
      </c>
      <c r="B1034" s="9" t="s">
        <v>18</v>
      </c>
      <c r="C1034" s="9" t="s">
        <v>184</v>
      </c>
      <c r="D1034" s="52">
        <v>46163</v>
      </c>
      <c r="E1034" s="48">
        <v>0.58333333333333337</v>
      </c>
      <c r="F1034" s="48">
        <v>0.59513888888888888</v>
      </c>
      <c r="G1034" s="43">
        <f>(F1034-E1034)*1440</f>
        <v>16.99999999999994</v>
      </c>
      <c r="H1034" s="9" t="s">
        <v>2605</v>
      </c>
      <c r="I1034" s="9" t="s">
        <v>2606</v>
      </c>
      <c r="J1034" s="44">
        <v>10.73</v>
      </c>
      <c r="K1034" s="60">
        <v>7.95</v>
      </c>
      <c r="L1034" s="56">
        <v>5.17</v>
      </c>
      <c r="M1034" s="14">
        <f>K1034-L1034</f>
        <v>2.7800000000000002</v>
      </c>
      <c r="N1034" s="15">
        <f>IFERROR(M1034/K1034,0)</f>
        <v>0.349685534591195</v>
      </c>
      <c r="O1034" s="14">
        <f>IFERROR(L1034/J1034,0)</f>
        <v>0.48182665424044729</v>
      </c>
      <c r="P1034" s="14">
        <f>IFERROR(L1034/G1034,0)</f>
        <v>0.3041176470588246</v>
      </c>
    </row>
    <row r="1035" spans="1:19" x14ac:dyDescent="0.3">
      <c r="A1035" s="9" t="s">
        <v>2395</v>
      </c>
      <c r="B1035" s="9" t="s">
        <v>26</v>
      </c>
      <c r="C1035" s="9" t="s">
        <v>26</v>
      </c>
      <c r="D1035" s="52">
        <v>46163</v>
      </c>
      <c r="E1035" s="48">
        <v>0.84444444444444444</v>
      </c>
      <c r="F1035" s="48">
        <v>0.85972222222222217</v>
      </c>
      <c r="G1035" s="43">
        <f>(F1035-E1035)*1440</f>
        <v>21.999999999999922</v>
      </c>
      <c r="H1035" s="9" t="s">
        <v>2540</v>
      </c>
      <c r="I1035" s="9" t="s">
        <v>2603</v>
      </c>
      <c r="J1035" s="44">
        <v>15.8</v>
      </c>
      <c r="K1035" s="60">
        <v>9.07</v>
      </c>
      <c r="L1035" s="56">
        <v>8.5</v>
      </c>
      <c r="M1035" s="14">
        <f>K1035-L1035</f>
        <v>0.57000000000000028</v>
      </c>
      <c r="N1035" s="15">
        <f>IFERROR(M1035/K1035,0)</f>
        <v>6.2844542447629576E-2</v>
      </c>
      <c r="O1035" s="14">
        <f>IFERROR(L1035/J1035,0)</f>
        <v>0.53797468354430378</v>
      </c>
      <c r="P1035" s="14">
        <f>IFERROR(L1035/G1035,0)</f>
        <v>0.38636363636363774</v>
      </c>
    </row>
    <row r="1036" spans="1:19" x14ac:dyDescent="0.3">
      <c r="A1036" s="9" t="s">
        <v>2406</v>
      </c>
      <c r="B1036" s="9" t="s">
        <v>538</v>
      </c>
      <c r="C1036" s="9" t="s">
        <v>196</v>
      </c>
      <c r="D1036" s="52">
        <v>46163</v>
      </c>
      <c r="E1036" s="48">
        <v>0.7895833333333333</v>
      </c>
      <c r="F1036" s="48">
        <v>0.80069444444444438</v>
      </c>
      <c r="G1036" s="43">
        <f>(F1036-E1036)*1440</f>
        <v>15.999999999999943</v>
      </c>
      <c r="H1036" s="9" t="s">
        <v>2616</v>
      </c>
      <c r="I1036" s="9" t="s">
        <v>1117</v>
      </c>
      <c r="J1036" s="44">
        <v>11.28</v>
      </c>
      <c r="K1036" s="60">
        <v>9.98</v>
      </c>
      <c r="L1036" s="56">
        <v>6.49</v>
      </c>
      <c r="M1036" s="14">
        <f>K1036-L1036</f>
        <v>3.49</v>
      </c>
      <c r="N1036" s="15">
        <f>IFERROR(M1036/K1036,0)</f>
        <v>0.34969939879759521</v>
      </c>
      <c r="O1036" s="14">
        <f>IFERROR(L1036/J1036,0)</f>
        <v>0.57535460992907805</v>
      </c>
      <c r="P1036" s="14">
        <f>IFERROR(L1036/G1036,0)</f>
        <v>0.40562500000000146</v>
      </c>
    </row>
    <row r="1037" spans="1:19" x14ac:dyDescent="0.3">
      <c r="A1037" s="9" t="s">
        <v>2402</v>
      </c>
      <c r="B1037" s="9" t="s">
        <v>18</v>
      </c>
      <c r="C1037" s="9" t="s">
        <v>184</v>
      </c>
      <c r="D1037" s="52">
        <v>46163</v>
      </c>
      <c r="E1037" s="48">
        <v>0.67361111111111116</v>
      </c>
      <c r="F1037" s="48">
        <v>0.68125000000000002</v>
      </c>
      <c r="G1037" s="43">
        <f>(F1037-E1037)*1440</f>
        <v>10.999999999999961</v>
      </c>
      <c r="H1037" s="9" t="s">
        <v>2583</v>
      </c>
      <c r="I1037" s="9" t="s">
        <v>2613</v>
      </c>
      <c r="J1037" s="44">
        <v>5.78</v>
      </c>
      <c r="K1037" s="60">
        <v>4.96</v>
      </c>
      <c r="L1037" s="56">
        <v>3.33</v>
      </c>
      <c r="M1037" s="14">
        <f>K1037-L1037</f>
        <v>1.63</v>
      </c>
      <c r="N1037" s="15">
        <f>IFERROR(M1037/K1037,0)</f>
        <v>0.3286290322580645</v>
      </c>
      <c r="O1037" s="14">
        <f>IFERROR(L1037/J1037,0)</f>
        <v>0.57612456747404839</v>
      </c>
      <c r="P1037" s="14">
        <f>IFERROR(L1037/G1037,0)</f>
        <v>0.30272727272727379</v>
      </c>
    </row>
    <row r="1038" spans="1:19" x14ac:dyDescent="0.3">
      <c r="A1038" s="9" t="s">
        <v>2407</v>
      </c>
      <c r="B1038" s="9" t="s">
        <v>538</v>
      </c>
      <c r="C1038" s="9" t="s">
        <v>196</v>
      </c>
      <c r="D1038" s="52">
        <v>46163</v>
      </c>
      <c r="E1038" s="48">
        <v>0.81736111111111109</v>
      </c>
      <c r="F1038" s="48">
        <v>0.83124999999999993</v>
      </c>
      <c r="G1038" s="43">
        <f>(F1038-E1038)*1440</f>
        <v>19.999999999999929</v>
      </c>
      <c r="H1038" s="9" t="s">
        <v>1117</v>
      </c>
      <c r="I1038" s="9" t="s">
        <v>233</v>
      </c>
      <c r="J1038" s="44">
        <v>13.26</v>
      </c>
      <c r="K1038" s="60">
        <v>11.98</v>
      </c>
      <c r="L1038" s="56">
        <v>7.79</v>
      </c>
      <c r="M1038" s="14">
        <f>K1038-L1038</f>
        <v>4.1900000000000004</v>
      </c>
      <c r="N1038" s="15">
        <f>IFERROR(M1038/K1038,0)</f>
        <v>0.34974958263772959</v>
      </c>
      <c r="O1038" s="14">
        <f>IFERROR(L1038/J1038,0)</f>
        <v>0.58748114630467574</v>
      </c>
      <c r="P1038" s="14">
        <f>IFERROR(L1038/G1038,0)</f>
        <v>0.3895000000000014</v>
      </c>
      <c r="S1038" s="61">
        <v>4.3099999999999996</v>
      </c>
    </row>
    <row r="1039" spans="1:19" x14ac:dyDescent="0.3">
      <c r="A1039" s="9" t="s">
        <v>2405</v>
      </c>
      <c r="B1039" s="9" t="s">
        <v>18</v>
      </c>
      <c r="C1039" s="9" t="s">
        <v>184</v>
      </c>
      <c r="D1039" s="52">
        <v>46163</v>
      </c>
      <c r="E1039" s="48">
        <v>0.74791666666666667</v>
      </c>
      <c r="F1039" s="48">
        <v>0.77013888888888893</v>
      </c>
      <c r="G1039" s="43">
        <f>(F1039-E1039)*1440</f>
        <v>32.000000000000043</v>
      </c>
      <c r="H1039" s="9" t="s">
        <v>584</v>
      </c>
      <c r="I1039" s="9" t="s">
        <v>233</v>
      </c>
      <c r="J1039" s="44">
        <v>18.510000000000002</v>
      </c>
      <c r="K1039" s="60">
        <v>14.93</v>
      </c>
      <c r="L1039" s="56">
        <v>11.71</v>
      </c>
      <c r="M1039" s="14">
        <f>K1039-L1039</f>
        <v>3.2199999999999989</v>
      </c>
      <c r="N1039" s="15">
        <f>IFERROR(M1039/K1039,0)</f>
        <v>0.21567314132618881</v>
      </c>
      <c r="O1039" s="14">
        <f>IFERROR(L1039/J1039,0)</f>
        <v>0.63263101026472179</v>
      </c>
      <c r="P1039" s="14">
        <f>IFERROR(L1039/G1039,0)</f>
        <v>0.36593749999999953</v>
      </c>
    </row>
    <row r="1040" spans="1:19" x14ac:dyDescent="0.3">
      <c r="A1040" s="9" t="s">
        <v>2392</v>
      </c>
      <c r="B1040" s="9" t="s">
        <v>26</v>
      </c>
      <c r="C1040" s="9" t="s">
        <v>27</v>
      </c>
      <c r="D1040" s="52">
        <v>46163</v>
      </c>
      <c r="E1040" s="48">
        <v>0.66597222222222219</v>
      </c>
      <c r="F1040" s="48">
        <v>0.67291666666666661</v>
      </c>
      <c r="G1040" s="43">
        <f>(F1040-E1040)*1440</f>
        <v>9.9999999999999645</v>
      </c>
      <c r="H1040" s="9" t="s">
        <v>2600</v>
      </c>
      <c r="I1040" s="9" t="s">
        <v>207</v>
      </c>
      <c r="J1040" s="44">
        <v>5.2</v>
      </c>
      <c r="K1040" s="60">
        <v>4.46</v>
      </c>
      <c r="L1040" s="56">
        <v>3.34</v>
      </c>
      <c r="M1040" s="14">
        <f>K1040-L1040</f>
        <v>1.1200000000000001</v>
      </c>
      <c r="N1040" s="15">
        <f>IFERROR(M1040/K1040,0)</f>
        <v>0.25112107623318386</v>
      </c>
      <c r="O1040" s="14">
        <f>IFERROR(L1040/J1040,0)</f>
        <v>0.64230769230769225</v>
      </c>
      <c r="P1040" s="14">
        <f>IFERROR(L1040/G1040,0)</f>
        <v>0.33400000000000118</v>
      </c>
    </row>
    <row r="1041" spans="1:19" x14ac:dyDescent="0.3">
      <c r="A1041" s="9" t="s">
        <v>2400</v>
      </c>
      <c r="B1041" s="9" t="s">
        <v>538</v>
      </c>
      <c r="C1041" s="9" t="s">
        <v>184</v>
      </c>
      <c r="D1041" s="52">
        <v>46163</v>
      </c>
      <c r="E1041" s="48">
        <v>0.62708333333333333</v>
      </c>
      <c r="F1041" s="48">
        <v>0.63402777777777775</v>
      </c>
      <c r="G1041" s="43">
        <f>(F1041-E1041)*1440</f>
        <v>9.9999999999999645</v>
      </c>
      <c r="H1041" s="9" t="s">
        <v>2609</v>
      </c>
      <c r="I1041" s="9" t="s">
        <v>2610</v>
      </c>
      <c r="J1041" s="44">
        <v>5.85</v>
      </c>
      <c r="K1041" s="60">
        <v>3.96</v>
      </c>
      <c r="L1041" s="56">
        <v>3.81</v>
      </c>
      <c r="M1041" s="14">
        <f>K1041-L1041</f>
        <v>0.14999999999999991</v>
      </c>
      <c r="N1041" s="15">
        <f>IFERROR(M1041/K1041,0)</f>
        <v>3.7878787878787859E-2</v>
      </c>
      <c r="O1041" s="14">
        <f>IFERROR(L1041/J1041,0)</f>
        <v>0.6512820512820513</v>
      </c>
      <c r="P1041" s="14">
        <f>IFERROR(L1041/G1041,0)</f>
        <v>0.38100000000000134</v>
      </c>
      <c r="S1041" s="61">
        <v>1</v>
      </c>
    </row>
    <row r="1042" spans="1:19" x14ac:dyDescent="0.3">
      <c r="A1042" s="9" t="s">
        <v>2404</v>
      </c>
      <c r="B1042" s="9" t="s">
        <v>538</v>
      </c>
      <c r="C1042" s="9" t="s">
        <v>196</v>
      </c>
      <c r="D1042" s="52">
        <v>46163</v>
      </c>
      <c r="E1042" s="48">
        <v>0.70624999999999993</v>
      </c>
      <c r="F1042" s="48">
        <v>0.72222222222222221</v>
      </c>
      <c r="G1042" s="43">
        <f>(F1042-E1042)*1440</f>
        <v>23.000000000000078</v>
      </c>
      <c r="H1042" s="9" t="s">
        <v>2615</v>
      </c>
      <c r="I1042" s="9" t="s">
        <v>1120</v>
      </c>
      <c r="J1042" s="44">
        <v>13.25</v>
      </c>
      <c r="K1042" s="60">
        <v>12.99</v>
      </c>
      <c r="L1042" s="56">
        <v>10.06</v>
      </c>
      <c r="M1042" s="14">
        <f>K1042-L1042</f>
        <v>2.9299999999999997</v>
      </c>
      <c r="N1042" s="15">
        <f>IFERROR(M1042/K1042,0)</f>
        <v>0.2255581216320246</v>
      </c>
      <c r="O1042" s="14">
        <f>IFERROR(L1042/J1042,0)</f>
        <v>0.75924528301886796</v>
      </c>
      <c r="P1042" s="14">
        <f>IFERROR(L1042/G1042,0)</f>
        <v>0.43739130434782464</v>
      </c>
    </row>
    <row r="1043" spans="1:19" x14ac:dyDescent="0.3">
      <c r="A1043" s="9" t="s">
        <v>2391</v>
      </c>
      <c r="B1043" s="9" t="s">
        <v>26</v>
      </c>
      <c r="C1043" s="9" t="s">
        <v>27</v>
      </c>
      <c r="D1043" s="52">
        <v>46163</v>
      </c>
      <c r="E1043" s="48">
        <v>0.5493055555555556</v>
      </c>
      <c r="F1043" s="48">
        <v>0.55625000000000002</v>
      </c>
      <c r="G1043" s="43">
        <f>(F1043-E1043)*1440</f>
        <v>9.9999999999999645</v>
      </c>
      <c r="H1043" s="9" t="s">
        <v>1321</v>
      </c>
      <c r="I1043" s="9" t="s">
        <v>2599</v>
      </c>
      <c r="J1043" s="44">
        <v>4.0999999999999996</v>
      </c>
      <c r="K1043" s="60">
        <v>3.86</v>
      </c>
      <c r="L1043" s="56">
        <v>3.18</v>
      </c>
      <c r="M1043" s="14">
        <f>K1043-L1043</f>
        <v>0.67999999999999972</v>
      </c>
      <c r="N1043" s="15">
        <f>IFERROR(M1043/K1043,0)</f>
        <v>0.17616580310880822</v>
      </c>
      <c r="O1043" s="14">
        <f>IFERROR(L1043/J1043,0)</f>
        <v>0.77560975609756111</v>
      </c>
      <c r="P1043" s="14">
        <f>IFERROR(L1043/G1043,0)</f>
        <v>0.31800000000000117</v>
      </c>
    </row>
    <row r="1044" spans="1:19" x14ac:dyDescent="0.3">
      <c r="A1044" s="9" t="s">
        <v>2398</v>
      </c>
      <c r="B1044" s="9" t="s">
        <v>18</v>
      </c>
      <c r="C1044" s="9" t="s">
        <v>184</v>
      </c>
      <c r="D1044" s="52">
        <v>46163</v>
      </c>
      <c r="E1044" s="48">
        <v>0.6</v>
      </c>
      <c r="F1044" s="48">
        <v>0.6069444444444444</v>
      </c>
      <c r="G1044" s="43">
        <f>(F1044-E1044)*1440</f>
        <v>9.9999999999999645</v>
      </c>
      <c r="H1044" s="9" t="s">
        <v>2607</v>
      </c>
      <c r="I1044" s="9" t="s">
        <v>1856</v>
      </c>
      <c r="J1044" s="44">
        <v>3.59</v>
      </c>
      <c r="K1044" s="60">
        <v>3.13</v>
      </c>
      <c r="L1044" s="56">
        <v>3.04</v>
      </c>
      <c r="M1044" s="14">
        <f>K1044-L1044</f>
        <v>8.9999999999999858E-2</v>
      </c>
      <c r="N1044" s="15">
        <f>IFERROR(M1044/K1044,0)</f>
        <v>2.8753993610223599E-2</v>
      </c>
      <c r="O1044" s="14">
        <f>IFERROR(L1044/J1044,0)</f>
        <v>0.84679665738161569</v>
      </c>
      <c r="P1044" s="14">
        <f>IFERROR(L1044/G1044,0)</f>
        <v>0.3040000000000011</v>
      </c>
    </row>
    <row r="1045" spans="1:19" x14ac:dyDescent="0.3">
      <c r="A1045" s="9" t="s">
        <v>2393</v>
      </c>
      <c r="B1045" s="9" t="s">
        <v>26</v>
      </c>
      <c r="C1045" s="9" t="s">
        <v>26</v>
      </c>
      <c r="D1045" s="52">
        <v>46163</v>
      </c>
      <c r="E1045" s="48">
        <v>0.77916666666666667</v>
      </c>
      <c r="F1045" s="48">
        <v>0.78541666666666676</v>
      </c>
      <c r="G1045" s="43">
        <f>(F1045-E1045)*1440</f>
        <v>9.0000000000001279</v>
      </c>
      <c r="H1045" s="9" t="s">
        <v>2170</v>
      </c>
      <c r="I1045" s="9" t="s">
        <v>2601</v>
      </c>
      <c r="J1045" s="44">
        <v>3.6</v>
      </c>
      <c r="K1045" s="60">
        <v>4.22</v>
      </c>
      <c r="L1045" s="56">
        <v>3.96</v>
      </c>
      <c r="M1045" s="14">
        <f>K1045-L1045</f>
        <v>0.25999999999999979</v>
      </c>
      <c r="N1045" s="15">
        <f>IFERROR(M1045/K1045,0)</f>
        <v>6.1611374407582895E-2</v>
      </c>
      <c r="O1045" s="14">
        <f>IFERROR(L1045/J1045,0)</f>
        <v>1.0999999999999999</v>
      </c>
      <c r="P1045" s="14">
        <f>IFERROR(L1045/G1045,0)</f>
        <v>0.43999999999999373</v>
      </c>
    </row>
    <row r="1046" spans="1:19" x14ac:dyDescent="0.3">
      <c r="A1046" s="9" t="s">
        <v>2403</v>
      </c>
      <c r="B1046" s="9" t="s">
        <v>538</v>
      </c>
      <c r="C1046" s="9" t="s">
        <v>184</v>
      </c>
      <c r="D1046" s="52">
        <v>46163</v>
      </c>
      <c r="E1046" s="48">
        <v>0.68541666666666667</v>
      </c>
      <c r="F1046" s="48">
        <v>0.6958333333333333</v>
      </c>
      <c r="G1046" s="43">
        <f>(F1046-E1046)*1440</f>
        <v>14.999999999999947</v>
      </c>
      <c r="H1046" s="9" t="s">
        <v>2614</v>
      </c>
      <c r="I1046" s="9" t="s">
        <v>1167</v>
      </c>
      <c r="J1046" s="44">
        <v>5.23</v>
      </c>
      <c r="K1046" s="60">
        <v>8.9499999999999993</v>
      </c>
      <c r="L1046" s="56">
        <v>6.61</v>
      </c>
      <c r="M1046" s="14">
        <f>K1046-L1046</f>
        <v>2.339999999999999</v>
      </c>
      <c r="N1046" s="15">
        <f>IFERROR(M1046/K1046,0)</f>
        <v>0.26145251396648034</v>
      </c>
      <c r="O1046" s="14">
        <f>IFERROR(L1046/J1046,0)</f>
        <v>1.2638623326959846</v>
      </c>
      <c r="P1046" s="14">
        <f>IFERROR(L1046/G1046,0)</f>
        <v>0.44066666666666826</v>
      </c>
    </row>
    <row r="1047" spans="1:19" x14ac:dyDescent="0.3">
      <c r="A1047" s="9" t="s">
        <v>2394</v>
      </c>
      <c r="B1047" s="9" t="s">
        <v>26</v>
      </c>
      <c r="C1047" s="9" t="s">
        <v>26</v>
      </c>
      <c r="D1047" s="52">
        <v>46163</v>
      </c>
      <c r="E1047" s="48">
        <v>0.8354166666666667</v>
      </c>
      <c r="F1047" s="48">
        <v>0.84166666666666667</v>
      </c>
      <c r="G1047" s="43">
        <f>(F1047-E1047)*1440</f>
        <v>8.999999999999968</v>
      </c>
      <c r="H1047" s="9" t="s">
        <v>2601</v>
      </c>
      <c r="I1047" s="9" t="s">
        <v>2602</v>
      </c>
      <c r="J1047" s="44">
        <v>4</v>
      </c>
      <c r="K1047" s="60">
        <v>6.4</v>
      </c>
      <c r="L1047" s="56">
        <v>5.3</v>
      </c>
      <c r="M1047" s="14">
        <f>K1047-L1047</f>
        <v>1.1000000000000005</v>
      </c>
      <c r="N1047" s="15">
        <f>IFERROR(M1047/K1047,0)</f>
        <v>0.17187500000000008</v>
      </c>
      <c r="O1047" s="14">
        <f>IFERROR(L1047/J1047,0)</f>
        <v>1.325</v>
      </c>
      <c r="P1047" s="14">
        <f>IFERROR(L1047/G1047,0)</f>
        <v>0.58888888888889102</v>
      </c>
      <c r="S1047" s="61">
        <v>2</v>
      </c>
    </row>
    <row r="1048" spans="1:19" x14ac:dyDescent="0.3">
      <c r="A1048" s="9" t="s">
        <v>2418</v>
      </c>
      <c r="B1048" s="9" t="s">
        <v>26</v>
      </c>
      <c r="C1048" s="9" t="s">
        <v>27</v>
      </c>
      <c r="D1048" s="52">
        <v>46164</v>
      </c>
      <c r="E1048" s="48">
        <v>0.65625</v>
      </c>
      <c r="F1048" s="48">
        <v>0.68472222222222223</v>
      </c>
      <c r="G1048" s="43">
        <f>(F1048-E1048)*1440</f>
        <v>41.000000000000014</v>
      </c>
      <c r="H1048" s="9" t="s">
        <v>2631</v>
      </c>
      <c r="I1048" s="9" t="s">
        <v>611</v>
      </c>
      <c r="J1048" s="44">
        <v>47.1</v>
      </c>
      <c r="K1048" s="60">
        <v>21.48</v>
      </c>
      <c r="L1048" s="56">
        <v>18.38</v>
      </c>
      <c r="M1048" s="14">
        <f>K1048-L1048</f>
        <v>3.1000000000000014</v>
      </c>
      <c r="N1048" s="15">
        <f>IFERROR(M1048/K1048,0)</f>
        <v>0.14432029795158294</v>
      </c>
      <c r="O1048" s="14">
        <f>IFERROR(L1048/J1048,0)</f>
        <v>0.39023354564755836</v>
      </c>
      <c r="P1048" s="14">
        <f>IFERROR(L1048/G1048,0)</f>
        <v>0.44829268292682911</v>
      </c>
    </row>
    <row r="1049" spans="1:19" x14ac:dyDescent="0.3">
      <c r="A1049" s="9" t="s">
        <v>2416</v>
      </c>
      <c r="B1049" s="9" t="s">
        <v>18</v>
      </c>
      <c r="C1049" s="9" t="s">
        <v>184</v>
      </c>
      <c r="D1049" s="52">
        <v>46164</v>
      </c>
      <c r="E1049" s="48">
        <v>0.86249999999999993</v>
      </c>
      <c r="F1049" s="48">
        <v>0.875</v>
      </c>
      <c r="G1049" s="43">
        <f>(F1049-E1049)*1440</f>
        <v>18.000000000000096</v>
      </c>
      <c r="H1049" s="9" t="s">
        <v>2248</v>
      </c>
      <c r="I1049" s="9" t="s">
        <v>1221</v>
      </c>
      <c r="J1049" s="44">
        <v>17.809999999999999</v>
      </c>
      <c r="K1049" s="60">
        <v>11.46</v>
      </c>
      <c r="L1049" s="56">
        <v>7.59</v>
      </c>
      <c r="M1049" s="14">
        <f>K1049-L1049</f>
        <v>3.870000000000001</v>
      </c>
      <c r="N1049" s="15">
        <f>IFERROR(M1049/K1049,0)</f>
        <v>0.33769633507853408</v>
      </c>
      <c r="O1049" s="14">
        <f>IFERROR(L1049/J1049,0)</f>
        <v>0.42616507580011231</v>
      </c>
      <c r="P1049" s="14">
        <f>IFERROR(L1049/G1049,0)</f>
        <v>0.42166666666666441</v>
      </c>
    </row>
    <row r="1050" spans="1:19" x14ac:dyDescent="0.3">
      <c r="A1050" s="9" t="s">
        <v>2409</v>
      </c>
      <c r="B1050" s="9" t="s">
        <v>538</v>
      </c>
      <c r="C1050" s="9" t="s">
        <v>184</v>
      </c>
      <c r="D1050" s="52">
        <v>46164</v>
      </c>
      <c r="E1050" s="48">
        <v>0.54166666666666663</v>
      </c>
      <c r="F1050" s="48">
        <v>0.57291666666666663</v>
      </c>
      <c r="G1050" s="43">
        <f>(F1050-E1050)*1440</f>
        <v>45</v>
      </c>
      <c r="H1050" s="9" t="s">
        <v>2618</v>
      </c>
      <c r="I1050" s="9" t="s">
        <v>2619</v>
      </c>
      <c r="J1050" s="44">
        <v>23.82</v>
      </c>
      <c r="K1050" s="60">
        <v>13.95</v>
      </c>
      <c r="L1050" s="56">
        <v>12.16</v>
      </c>
      <c r="M1050" s="14">
        <f>K1050-L1050</f>
        <v>1.7899999999999991</v>
      </c>
      <c r="N1050" s="15">
        <f>IFERROR(M1050/K1050,0)</f>
        <v>0.12831541218637987</v>
      </c>
      <c r="O1050" s="14">
        <f>IFERROR(L1050/J1050,0)</f>
        <v>0.51049538203190592</v>
      </c>
      <c r="P1050" s="14">
        <f>IFERROR(L1050/G1050,0)</f>
        <v>0.27022222222222225</v>
      </c>
    </row>
    <row r="1051" spans="1:19" x14ac:dyDescent="0.3">
      <c r="A1051" s="9" t="s">
        <v>2410</v>
      </c>
      <c r="B1051" s="9" t="s">
        <v>18</v>
      </c>
      <c r="C1051" s="9" t="s">
        <v>196</v>
      </c>
      <c r="D1051" s="52">
        <v>46164</v>
      </c>
      <c r="E1051" s="48">
        <v>0.57500000000000007</v>
      </c>
      <c r="F1051" s="48">
        <v>0.59722222222222221</v>
      </c>
      <c r="G1051" s="43">
        <f>(F1051-E1051)*1440</f>
        <v>31.999999999999886</v>
      </c>
      <c r="H1051" s="9" t="s">
        <v>2620</v>
      </c>
      <c r="I1051" s="9" t="s">
        <v>2621</v>
      </c>
      <c r="J1051" s="44">
        <v>23.54</v>
      </c>
      <c r="K1051" s="60">
        <v>18.989999999999998</v>
      </c>
      <c r="L1051" s="56">
        <v>12.34</v>
      </c>
      <c r="M1051" s="14">
        <f>K1051-L1051</f>
        <v>6.6499999999999986</v>
      </c>
      <c r="N1051" s="15">
        <f>IFERROR(M1051/K1051,0)</f>
        <v>0.35018430753027907</v>
      </c>
      <c r="O1051" s="14">
        <f>IFERROR(L1051/J1051,0)</f>
        <v>0.52421410365335597</v>
      </c>
      <c r="P1051" s="14">
        <f>IFERROR(L1051/G1051,0)</f>
        <v>0.38562500000000138</v>
      </c>
    </row>
    <row r="1052" spans="1:19" x14ac:dyDescent="0.3">
      <c r="A1052" s="9" t="s">
        <v>2413</v>
      </c>
      <c r="B1052" s="9" t="s">
        <v>18</v>
      </c>
      <c r="C1052" s="9" t="s">
        <v>184</v>
      </c>
      <c r="D1052" s="52">
        <v>46164</v>
      </c>
      <c r="E1052" s="48">
        <v>0.79791666666666661</v>
      </c>
      <c r="F1052" s="48">
        <v>0.81388888888888899</v>
      </c>
      <c r="G1052" s="43">
        <f>(F1052-E1052)*1440</f>
        <v>23.000000000000238</v>
      </c>
      <c r="H1052" s="9" t="s">
        <v>2626</v>
      </c>
      <c r="I1052" s="9" t="s">
        <v>2147</v>
      </c>
      <c r="J1052" s="44">
        <v>13.86</v>
      </c>
      <c r="K1052" s="60">
        <v>9.94</v>
      </c>
      <c r="L1052" s="56">
        <v>7.58</v>
      </c>
      <c r="M1052" s="14">
        <f>K1052-L1052</f>
        <v>2.3599999999999994</v>
      </c>
      <c r="N1052" s="15">
        <f>IFERROR(M1052/K1052,0)</f>
        <v>0.23742454728370216</v>
      </c>
      <c r="O1052" s="14">
        <f>IFERROR(L1052/J1052,0)</f>
        <v>0.54689754689754688</v>
      </c>
      <c r="P1052" s="14">
        <f>IFERROR(L1052/G1052,0)</f>
        <v>0.32956521739130096</v>
      </c>
    </row>
    <row r="1053" spans="1:19" x14ac:dyDescent="0.3">
      <c r="A1053" s="9" t="s">
        <v>2417</v>
      </c>
      <c r="B1053" s="9" t="s">
        <v>26</v>
      </c>
      <c r="C1053" s="9" t="s">
        <v>26</v>
      </c>
      <c r="D1053" s="52">
        <v>46164</v>
      </c>
      <c r="E1053" s="48">
        <v>0.60625000000000007</v>
      </c>
      <c r="F1053" s="48">
        <v>0.62083333333333335</v>
      </c>
      <c r="G1053" s="43">
        <f>(F1053-E1053)*1440</f>
        <v>20.999999999999925</v>
      </c>
      <c r="H1053" s="9" t="s">
        <v>2629</v>
      </c>
      <c r="I1053" s="9" t="s">
        <v>2630</v>
      </c>
      <c r="J1053" s="44">
        <v>15.7</v>
      </c>
      <c r="K1053" s="60">
        <v>9.4499999999999993</v>
      </c>
      <c r="L1053" s="56">
        <v>9.9600000000000009</v>
      </c>
      <c r="M1053" s="14">
        <f>K1053-L1053</f>
        <v>-0.51000000000000156</v>
      </c>
      <c r="N1053" s="15">
        <f>IFERROR(M1053/K1053,0)</f>
        <v>-5.3968253968254137E-2</v>
      </c>
      <c r="O1053" s="14">
        <f>IFERROR(L1053/J1053,0)</f>
        <v>0.63439490445859881</v>
      </c>
      <c r="P1053" s="14">
        <f>IFERROR(L1053/G1053,0)</f>
        <v>0.47428571428571603</v>
      </c>
      <c r="Q1053" s="64">
        <v>1.2</v>
      </c>
    </row>
    <row r="1054" spans="1:19" x14ac:dyDescent="0.3">
      <c r="A1054" s="9" t="s">
        <v>2420</v>
      </c>
      <c r="B1054" s="9" t="s">
        <v>26</v>
      </c>
      <c r="C1054" s="9" t="s">
        <v>26</v>
      </c>
      <c r="D1054" s="52">
        <v>46164</v>
      </c>
      <c r="E1054" s="48">
        <v>0.73819444444444438</v>
      </c>
      <c r="F1054" s="48">
        <v>0.75416666666666676</v>
      </c>
      <c r="G1054" s="43">
        <f>(F1054-E1054)*1440</f>
        <v>23.000000000000238</v>
      </c>
      <c r="H1054" s="9" t="s">
        <v>1147</v>
      </c>
      <c r="I1054" s="9" t="s">
        <v>1965</v>
      </c>
      <c r="J1054" s="44">
        <v>9.1999999999999993</v>
      </c>
      <c r="K1054" s="60">
        <v>10.119999999999999</v>
      </c>
      <c r="L1054" s="56">
        <v>7.59</v>
      </c>
      <c r="M1054" s="14">
        <f>K1054-L1054</f>
        <v>2.5299999999999994</v>
      </c>
      <c r="N1054" s="15">
        <f>IFERROR(M1054/K1054,0)</f>
        <v>0.24999999999999994</v>
      </c>
      <c r="O1054" s="14">
        <f>IFERROR(L1054/J1054,0)</f>
        <v>0.82500000000000007</v>
      </c>
      <c r="P1054" s="14">
        <f>IFERROR(L1054/G1054,0)</f>
        <v>0.32999999999999657</v>
      </c>
      <c r="R1054" s="57">
        <v>2.5299999999999998</v>
      </c>
    </row>
    <row r="1055" spans="1:19" x14ac:dyDescent="0.3">
      <c r="A1055" s="9" t="s">
        <v>2411</v>
      </c>
      <c r="B1055" s="9" t="s">
        <v>18</v>
      </c>
      <c r="C1055" s="9" t="s">
        <v>184</v>
      </c>
      <c r="D1055" s="52">
        <v>46164</v>
      </c>
      <c r="E1055" s="48">
        <v>0.69236111111111109</v>
      </c>
      <c r="F1055" s="48">
        <v>0.70486111111111116</v>
      </c>
      <c r="G1055" s="43">
        <f>(F1055-E1055)*1440</f>
        <v>18.000000000000096</v>
      </c>
      <c r="H1055" s="9" t="s">
        <v>2622</v>
      </c>
      <c r="I1055" s="9" t="s">
        <v>2623</v>
      </c>
      <c r="J1055" s="44">
        <v>11.29</v>
      </c>
      <c r="K1055" s="60">
        <v>13.93</v>
      </c>
      <c r="L1055" s="56">
        <v>10.57</v>
      </c>
      <c r="M1055" s="14">
        <f>K1055-L1055</f>
        <v>3.3599999999999994</v>
      </c>
      <c r="N1055" s="15">
        <f>IFERROR(M1055/K1055,0)</f>
        <v>0.24120603015075373</v>
      </c>
      <c r="O1055" s="14">
        <f>IFERROR(L1055/J1055,0)</f>
        <v>0.93622674933569539</v>
      </c>
      <c r="P1055" s="14">
        <f>IFERROR(L1055/G1055,0)</f>
        <v>0.58722222222221909</v>
      </c>
    </row>
    <row r="1056" spans="1:19" x14ac:dyDescent="0.3">
      <c r="A1056" s="9" t="s">
        <v>2412</v>
      </c>
      <c r="B1056" s="9" t="s">
        <v>18</v>
      </c>
      <c r="C1056" s="9" t="s">
        <v>196</v>
      </c>
      <c r="D1056" s="52">
        <v>46164</v>
      </c>
      <c r="E1056" s="48">
        <v>0.78055555555555556</v>
      </c>
      <c r="F1056" s="48">
        <v>0.78888888888888886</v>
      </c>
      <c r="G1056" s="43">
        <f>(F1056-E1056)*1440</f>
        <v>11.999999999999957</v>
      </c>
      <c r="H1056" s="9" t="s">
        <v>2624</v>
      </c>
      <c r="I1056" s="9" t="s">
        <v>2625</v>
      </c>
      <c r="J1056" s="44">
        <v>6.11</v>
      </c>
      <c r="K1056" s="60">
        <v>10.99</v>
      </c>
      <c r="L1056" s="56">
        <v>8.9600000000000009</v>
      </c>
      <c r="M1056" s="14">
        <f>K1056-L1056</f>
        <v>2.0299999999999994</v>
      </c>
      <c r="N1056" s="15">
        <f>IFERROR(M1056/K1056,0)</f>
        <v>0.18471337579617828</v>
      </c>
      <c r="O1056" s="14">
        <f>IFERROR(L1056/J1056,0)</f>
        <v>1.4664484451718496</v>
      </c>
      <c r="P1056" s="14">
        <f>IFERROR(L1056/G1056,0)</f>
        <v>0.74666666666666937</v>
      </c>
    </row>
    <row r="1057" spans="1:19" x14ac:dyDescent="0.3">
      <c r="A1057" s="9" t="s">
        <v>2415</v>
      </c>
      <c r="B1057" s="9" t="s">
        <v>18</v>
      </c>
      <c r="C1057" s="9" t="s">
        <v>184</v>
      </c>
      <c r="D1057" s="52">
        <v>46164</v>
      </c>
      <c r="E1057" s="48">
        <v>0.84583333333333333</v>
      </c>
      <c r="F1057" s="48">
        <v>0.85555555555555562</v>
      </c>
      <c r="G1057" s="43">
        <f>(F1057-E1057)*1440</f>
        <v>14.00000000000011</v>
      </c>
      <c r="H1057" s="9" t="s">
        <v>2628</v>
      </c>
      <c r="I1057" s="9" t="s">
        <v>604</v>
      </c>
      <c r="J1057" s="44">
        <v>6.54</v>
      </c>
      <c r="K1057" s="60">
        <v>13.96</v>
      </c>
      <c r="L1057" s="56">
        <v>9.6</v>
      </c>
      <c r="M1057" s="14">
        <f>K1057-L1057</f>
        <v>4.3600000000000012</v>
      </c>
      <c r="N1057" s="15">
        <f>IFERROR(M1057/K1057,0)</f>
        <v>0.31232091690544417</v>
      </c>
      <c r="O1057" s="14">
        <f>IFERROR(L1057/J1057,0)</f>
        <v>1.4678899082568806</v>
      </c>
      <c r="P1057" s="14">
        <f>IFERROR(L1057/G1057,0)</f>
        <v>0.68571428571428028</v>
      </c>
    </row>
    <row r="1058" spans="1:19" x14ac:dyDescent="0.3">
      <c r="A1058" s="9" t="s">
        <v>2419</v>
      </c>
      <c r="B1058" s="9" t="s">
        <v>26</v>
      </c>
      <c r="C1058" s="9" t="s">
        <v>26</v>
      </c>
      <c r="D1058" s="52">
        <v>46164</v>
      </c>
      <c r="E1058" s="48">
        <v>0.71736111111111101</v>
      </c>
      <c r="F1058" s="48">
        <v>0.72569444444444453</v>
      </c>
      <c r="G1058" s="43">
        <f>(F1058-E1058)*1440</f>
        <v>12.000000000000277</v>
      </c>
      <c r="H1058" s="9" t="s">
        <v>736</v>
      </c>
      <c r="I1058" s="9" t="s">
        <v>243</v>
      </c>
      <c r="J1058" s="44">
        <v>4.9000000000000004</v>
      </c>
      <c r="K1058" s="60">
        <v>8.7799999999999994</v>
      </c>
      <c r="L1058" s="56">
        <v>8.23</v>
      </c>
      <c r="M1058" s="14">
        <f>K1058-L1058</f>
        <v>0.54999999999999893</v>
      </c>
      <c r="N1058" s="15">
        <f>IFERROR(M1058/K1058,0)</f>
        <v>6.2642369020501021E-2</v>
      </c>
      <c r="O1058" s="14">
        <f>IFERROR(L1058/J1058,0)</f>
        <v>1.6795918367346938</v>
      </c>
      <c r="P1058" s="14">
        <f>IFERROR(L1058/G1058,0)</f>
        <v>0.68583333333331753</v>
      </c>
      <c r="R1058" s="57">
        <v>5.2</v>
      </c>
    </row>
    <row r="1059" spans="1:19" x14ac:dyDescent="0.3">
      <c r="A1059" s="9" t="s">
        <v>2421</v>
      </c>
      <c r="B1059" s="9" t="s">
        <v>26</v>
      </c>
      <c r="C1059" s="9" t="s">
        <v>26</v>
      </c>
      <c r="D1059" s="52">
        <v>46164</v>
      </c>
      <c r="E1059" s="48">
        <v>0.75902777777777775</v>
      </c>
      <c r="F1059" s="48">
        <v>0.76944444444444438</v>
      </c>
      <c r="G1059" s="43">
        <f>(F1059-E1059)*1440</f>
        <v>14.999999999999947</v>
      </c>
      <c r="H1059" s="9" t="s">
        <v>1379</v>
      </c>
      <c r="I1059" s="9" t="s">
        <v>2632</v>
      </c>
      <c r="J1059" s="44">
        <v>3.7</v>
      </c>
      <c r="K1059" s="60">
        <v>7.83</v>
      </c>
      <c r="L1059" s="56">
        <v>8.07</v>
      </c>
      <c r="M1059" s="14">
        <f>K1059-L1059</f>
        <v>-0.24000000000000021</v>
      </c>
      <c r="N1059" s="15">
        <f>IFERROR(M1059/K1059,0)</f>
        <v>-3.0651340996168609E-2</v>
      </c>
      <c r="O1059" s="14">
        <f>IFERROR(L1059/J1059,0)</f>
        <v>2.1810810810810812</v>
      </c>
      <c r="P1059" s="14">
        <f>IFERROR(L1059/G1059,0)</f>
        <v>0.53800000000000192</v>
      </c>
      <c r="R1059" s="57">
        <v>4.22</v>
      </c>
    </row>
    <row r="1060" spans="1:19" x14ac:dyDescent="0.3">
      <c r="A1060" s="9" t="s">
        <v>2414</v>
      </c>
      <c r="B1060" s="9" t="s">
        <v>538</v>
      </c>
      <c r="C1060" s="67" t="s">
        <v>196</v>
      </c>
      <c r="D1060" s="52">
        <v>46164</v>
      </c>
      <c r="E1060" s="48">
        <v>0.83263888888888893</v>
      </c>
      <c r="F1060" s="48">
        <v>0.83680555555555547</v>
      </c>
      <c r="G1060" s="43">
        <f>(F1060-E1060)*1440</f>
        <v>5.9999999999998188</v>
      </c>
      <c r="H1060" s="9" t="s">
        <v>1358</v>
      </c>
      <c r="I1060" s="9" t="s">
        <v>2627</v>
      </c>
      <c r="J1060" s="44">
        <v>1.98</v>
      </c>
      <c r="K1060" s="60">
        <v>9.9700000000000006</v>
      </c>
      <c r="L1060" s="56">
        <v>7.34</v>
      </c>
      <c r="M1060" s="14">
        <f>K1060-L1060</f>
        <v>2.6300000000000008</v>
      </c>
      <c r="N1060" s="15">
        <f>IFERROR(M1060/K1060,0)</f>
        <v>0.26379137412236714</v>
      </c>
      <c r="O1060" s="14">
        <f>IFERROR(L1060/J1060,0)</f>
        <v>3.7070707070707072</v>
      </c>
      <c r="P1060" s="14">
        <f>IFERROR(L1060/G1060,0)</f>
        <v>1.2233333333333702</v>
      </c>
    </row>
    <row r="1061" spans="1:19" x14ac:dyDescent="0.3">
      <c r="A1061" s="9" t="s">
        <v>2437</v>
      </c>
      <c r="B1061" s="9" t="s">
        <v>18</v>
      </c>
      <c r="C1061" s="9" t="s">
        <v>184</v>
      </c>
      <c r="D1061" s="52">
        <v>46165</v>
      </c>
      <c r="E1061" s="48">
        <v>0.89583333333333337</v>
      </c>
      <c r="F1061" s="48">
        <v>0.90763888888888899</v>
      </c>
      <c r="G1061" s="43">
        <f>(F1061-E1061)*1440</f>
        <v>17.000000000000099</v>
      </c>
      <c r="H1061" s="9" t="s">
        <v>2653</v>
      </c>
      <c r="I1061" s="9" t="s">
        <v>2654</v>
      </c>
      <c r="J1061" s="44">
        <v>14.25</v>
      </c>
      <c r="K1061" s="60">
        <v>7.95</v>
      </c>
      <c r="L1061" s="56">
        <v>5.9</v>
      </c>
      <c r="M1061" s="14">
        <f>K1061-L1061</f>
        <v>2.0499999999999998</v>
      </c>
      <c r="N1061" s="15">
        <f>IFERROR(M1061/K1061,0)</f>
        <v>0.25786163522012578</v>
      </c>
      <c r="O1061" s="14">
        <f>IFERROR(L1061/J1061,0)</f>
        <v>0.41403508771929826</v>
      </c>
      <c r="P1061" s="14">
        <f>IFERROR(L1061/G1061,0)</f>
        <v>0.34705882352940975</v>
      </c>
      <c r="S1061" s="61">
        <v>2</v>
      </c>
    </row>
    <row r="1062" spans="1:19" x14ac:dyDescent="0.3">
      <c r="A1062" s="9" t="s">
        <v>2422</v>
      </c>
      <c r="B1062" s="9" t="s">
        <v>26</v>
      </c>
      <c r="C1062" s="9" t="s">
        <v>27</v>
      </c>
      <c r="D1062" s="52">
        <v>46165</v>
      </c>
      <c r="E1062" s="48">
        <v>0.54513888888888895</v>
      </c>
      <c r="F1062" s="48">
        <v>0.5756944444444444</v>
      </c>
      <c r="G1062" s="43">
        <f>(F1062-E1062)*1440</f>
        <v>43.999999999999844</v>
      </c>
      <c r="H1062" s="9" t="s">
        <v>761</v>
      </c>
      <c r="I1062" s="9" t="s">
        <v>2633</v>
      </c>
      <c r="J1062" s="44">
        <v>28.9</v>
      </c>
      <c r="K1062" s="60">
        <v>16.8</v>
      </c>
      <c r="L1062" s="56">
        <v>12.6</v>
      </c>
      <c r="M1062" s="14">
        <f>K1062-L1062</f>
        <v>4.2000000000000011</v>
      </c>
      <c r="N1062" s="15">
        <f>IFERROR(M1062/K1062,0)</f>
        <v>0.25000000000000006</v>
      </c>
      <c r="O1062" s="14">
        <f>IFERROR(L1062/J1062,0)</f>
        <v>0.43598615916955019</v>
      </c>
      <c r="P1062" s="14">
        <f>IFERROR(L1062/G1062,0)</f>
        <v>0.28636363636363737</v>
      </c>
    </row>
    <row r="1063" spans="1:19" x14ac:dyDescent="0.3">
      <c r="A1063" s="9" t="s">
        <v>2432</v>
      </c>
      <c r="B1063" s="9" t="s">
        <v>18</v>
      </c>
      <c r="C1063" s="9" t="s">
        <v>184</v>
      </c>
      <c r="D1063" s="52">
        <v>46165</v>
      </c>
      <c r="E1063" s="48">
        <v>0.74097222222222225</v>
      </c>
      <c r="F1063" s="48">
        <v>0.75416666666666676</v>
      </c>
      <c r="G1063" s="43">
        <f>(F1063-E1063)*1440</f>
        <v>19.000000000000092</v>
      </c>
      <c r="H1063" s="9" t="s">
        <v>2645</v>
      </c>
      <c r="I1063" s="9" t="s">
        <v>2646</v>
      </c>
      <c r="J1063" s="44">
        <v>11.33</v>
      </c>
      <c r="K1063" s="60">
        <v>7.93</v>
      </c>
      <c r="L1063" s="56">
        <v>5.18</v>
      </c>
      <c r="M1063" s="14">
        <f>K1063-L1063</f>
        <v>2.75</v>
      </c>
      <c r="N1063" s="15">
        <f>IFERROR(M1063/K1063,0)</f>
        <v>0.34678436317780581</v>
      </c>
      <c r="O1063" s="14">
        <f>IFERROR(L1063/J1063,0)</f>
        <v>0.45719329214474841</v>
      </c>
      <c r="P1063" s="14">
        <f>IFERROR(L1063/G1063,0)</f>
        <v>0.27263157894736706</v>
      </c>
    </row>
    <row r="1064" spans="1:19" x14ac:dyDescent="0.3">
      <c r="A1064" s="9" t="s">
        <v>2431</v>
      </c>
      <c r="B1064" s="9" t="s">
        <v>18</v>
      </c>
      <c r="C1064" s="9" t="s">
        <v>184</v>
      </c>
      <c r="D1064" s="52">
        <v>46165</v>
      </c>
      <c r="E1064" s="48">
        <v>0.64166666666666672</v>
      </c>
      <c r="F1064" s="48">
        <v>0.66736111111111107</v>
      </c>
      <c r="G1064" s="43">
        <f>(F1064-E1064)*1440</f>
        <v>36.999999999999872</v>
      </c>
      <c r="H1064" s="9" t="s">
        <v>2643</v>
      </c>
      <c r="I1064" s="9" t="s">
        <v>2644</v>
      </c>
      <c r="J1064" s="44">
        <v>36.14</v>
      </c>
      <c r="K1064" s="60">
        <v>21.94</v>
      </c>
      <c r="L1064" s="56">
        <v>17.84</v>
      </c>
      <c r="M1064" s="14">
        <f>K1064-L1064</f>
        <v>4.1000000000000014</v>
      </c>
      <c r="N1064" s="15">
        <f>IFERROR(M1064/K1064,0)</f>
        <v>0.18687329079307208</v>
      </c>
      <c r="O1064" s="14">
        <f>IFERROR(L1064/J1064,0)</f>
        <v>0.49363586054233533</v>
      </c>
      <c r="P1064" s="14">
        <f>IFERROR(L1064/G1064,0)</f>
        <v>0.48216216216216384</v>
      </c>
      <c r="Q1064" s="64">
        <v>1.6</v>
      </c>
    </row>
    <row r="1065" spans="1:19" x14ac:dyDescent="0.3">
      <c r="A1065" s="9" t="s">
        <v>2426</v>
      </c>
      <c r="B1065" s="9" t="s">
        <v>26</v>
      </c>
      <c r="C1065" s="9" t="s">
        <v>26</v>
      </c>
      <c r="D1065" s="52">
        <v>46165</v>
      </c>
      <c r="E1065" s="48">
        <v>0.62013888888888891</v>
      </c>
      <c r="F1065" s="48">
        <v>0.64097222222222217</v>
      </c>
      <c r="G1065" s="43">
        <f>(F1065-E1065)*1440</f>
        <v>29.999999999999893</v>
      </c>
      <c r="H1065" s="9" t="s">
        <v>1845</v>
      </c>
      <c r="I1065" s="9" t="s">
        <v>2638</v>
      </c>
      <c r="J1065" s="44">
        <v>27.7</v>
      </c>
      <c r="K1065" s="60">
        <v>18.38</v>
      </c>
      <c r="L1065" s="56">
        <v>14.18</v>
      </c>
      <c r="M1065" s="14">
        <f>K1065-L1065</f>
        <v>4.1999999999999993</v>
      </c>
      <c r="N1065" s="15">
        <f>IFERROR(M1065/K1065,0)</f>
        <v>0.22850924918389551</v>
      </c>
      <c r="O1065" s="14">
        <f>IFERROR(L1065/J1065,0)</f>
        <v>0.51191335740072208</v>
      </c>
      <c r="P1065" s="14">
        <f>IFERROR(L1065/G1065,0)</f>
        <v>0.47266666666666834</v>
      </c>
      <c r="Q1065" s="64">
        <v>1.6</v>
      </c>
    </row>
    <row r="1066" spans="1:19" x14ac:dyDescent="0.3">
      <c r="A1066" s="9" t="s">
        <v>2436</v>
      </c>
      <c r="B1066" s="9" t="s">
        <v>18</v>
      </c>
      <c r="C1066" s="9" t="s">
        <v>184</v>
      </c>
      <c r="D1066" s="52">
        <v>46165</v>
      </c>
      <c r="E1066" s="48">
        <v>0.88055555555555554</v>
      </c>
      <c r="F1066" s="48">
        <v>0.89166666666666661</v>
      </c>
      <c r="G1066" s="43">
        <f>(F1066-E1066)*1440</f>
        <v>15.999999999999943</v>
      </c>
      <c r="H1066" s="9" t="s">
        <v>2651</v>
      </c>
      <c r="I1066" s="9" t="s">
        <v>2652</v>
      </c>
      <c r="J1066" s="44">
        <v>9.86</v>
      </c>
      <c r="K1066" s="60">
        <v>7.94</v>
      </c>
      <c r="L1066" s="56">
        <v>5.16</v>
      </c>
      <c r="M1066" s="14">
        <f>K1066-L1066</f>
        <v>2.7800000000000002</v>
      </c>
      <c r="N1066" s="15">
        <f>IFERROR(M1066/K1066,0)</f>
        <v>0.3501259445843829</v>
      </c>
      <c r="O1066" s="14">
        <f>IFERROR(L1066/J1066,0)</f>
        <v>0.52332657200811361</v>
      </c>
      <c r="P1066" s="14">
        <f>IFERROR(L1066/G1066,0)</f>
        <v>0.32250000000000117</v>
      </c>
    </row>
    <row r="1067" spans="1:19" x14ac:dyDescent="0.3">
      <c r="A1067" s="9" t="s">
        <v>2424</v>
      </c>
      <c r="B1067" s="9" t="s">
        <v>26</v>
      </c>
      <c r="C1067" s="9" t="s">
        <v>27</v>
      </c>
      <c r="D1067" s="52">
        <v>46165</v>
      </c>
      <c r="E1067" s="48">
        <v>0.60138888888888886</v>
      </c>
      <c r="F1067" s="48">
        <v>0.60902777777777783</v>
      </c>
      <c r="G1067" s="43">
        <f>(F1067-E1067)*1440</f>
        <v>11.000000000000121</v>
      </c>
      <c r="H1067" s="9" t="s">
        <v>2636</v>
      </c>
      <c r="I1067" s="9" t="s">
        <v>1998</v>
      </c>
      <c r="J1067" s="44">
        <v>7.9</v>
      </c>
      <c r="K1067" s="60">
        <v>6.24</v>
      </c>
      <c r="L1067" s="56">
        <v>4.68</v>
      </c>
      <c r="M1067" s="14">
        <f>K1067-L1067</f>
        <v>1.5600000000000005</v>
      </c>
      <c r="N1067" s="15">
        <f>IFERROR(M1067/K1067,0)</f>
        <v>0.25000000000000006</v>
      </c>
      <c r="O1067" s="14">
        <f>IFERROR(L1067/J1067,0)</f>
        <v>0.59240506329113918</v>
      </c>
      <c r="P1067" s="14">
        <f>IFERROR(L1067/G1067,0)</f>
        <v>0.42545454545454076</v>
      </c>
      <c r="R1067" s="57">
        <v>1.05</v>
      </c>
    </row>
    <row r="1068" spans="1:19" x14ac:dyDescent="0.3">
      <c r="A1068" s="9" t="s">
        <v>2434</v>
      </c>
      <c r="B1068" s="9" t="s">
        <v>18</v>
      </c>
      <c r="C1068" s="9" t="s">
        <v>184</v>
      </c>
      <c r="D1068" s="52">
        <v>46165</v>
      </c>
      <c r="E1068" s="48">
        <v>0.7729166666666667</v>
      </c>
      <c r="F1068" s="48">
        <v>0.78541666666666676</v>
      </c>
      <c r="G1068" s="43">
        <f>(F1068-E1068)*1440</f>
        <v>18.000000000000096</v>
      </c>
      <c r="H1068" s="9" t="s">
        <v>2648</v>
      </c>
      <c r="I1068" s="9" t="s">
        <v>2649</v>
      </c>
      <c r="J1068" s="44">
        <v>13.01</v>
      </c>
      <c r="K1068" s="60">
        <v>12.94</v>
      </c>
      <c r="L1068" s="56">
        <v>8.7899999999999991</v>
      </c>
      <c r="M1068" s="14">
        <f>K1068-L1068</f>
        <v>4.1500000000000004</v>
      </c>
      <c r="N1068" s="15">
        <f>IFERROR(M1068/K1068,0)</f>
        <v>0.32071097372488411</v>
      </c>
      <c r="O1068" s="14">
        <f>IFERROR(L1068/J1068,0)</f>
        <v>0.67563412759415831</v>
      </c>
      <c r="P1068" s="14">
        <f>IFERROR(L1068/G1068,0)</f>
        <v>0.48833333333333068</v>
      </c>
    </row>
    <row r="1069" spans="1:19" x14ac:dyDescent="0.3">
      <c r="A1069" s="9" t="s">
        <v>2435</v>
      </c>
      <c r="B1069" s="9" t="s">
        <v>538</v>
      </c>
      <c r="C1069" s="9" t="s">
        <v>184</v>
      </c>
      <c r="D1069" s="52">
        <v>46165</v>
      </c>
      <c r="E1069" s="48">
        <v>0.80833333333333324</v>
      </c>
      <c r="F1069" s="48">
        <v>0.81458333333333333</v>
      </c>
      <c r="G1069" s="43">
        <f>(F1069-E1069)*1440</f>
        <v>9.0000000000001279</v>
      </c>
      <c r="H1069" s="9" t="s">
        <v>2650</v>
      </c>
      <c r="I1069" s="9" t="s">
        <v>214</v>
      </c>
      <c r="J1069" s="44">
        <v>8.2899999999999991</v>
      </c>
      <c r="K1069" s="60">
        <v>6.93</v>
      </c>
      <c r="L1069" s="56">
        <v>5.68</v>
      </c>
      <c r="M1069" s="14">
        <f>K1069-L1069</f>
        <v>1.25</v>
      </c>
      <c r="N1069" s="15">
        <f>IFERROR(M1069/K1069,0)</f>
        <v>0.18037518037518038</v>
      </c>
      <c r="O1069" s="14">
        <f>IFERROR(L1069/J1069,0)</f>
        <v>0.68516284680337758</v>
      </c>
      <c r="P1069" s="14">
        <f>IFERROR(L1069/G1069,0)</f>
        <v>0.63111111111110207</v>
      </c>
    </row>
    <row r="1070" spans="1:19" x14ac:dyDescent="0.3">
      <c r="A1070" s="9" t="s">
        <v>2433</v>
      </c>
      <c r="B1070" s="9" t="s">
        <v>18</v>
      </c>
      <c r="C1070" s="9" t="s">
        <v>184</v>
      </c>
      <c r="D1070" s="52">
        <v>46165</v>
      </c>
      <c r="E1070" s="48">
        <v>0.75624999999999998</v>
      </c>
      <c r="F1070" s="48">
        <v>0.76458333333333339</v>
      </c>
      <c r="G1070" s="43">
        <f>(F1070-E1070)*1440</f>
        <v>12.000000000000117</v>
      </c>
      <c r="H1070" s="9" t="s">
        <v>2647</v>
      </c>
      <c r="I1070" s="9" t="s">
        <v>2648</v>
      </c>
      <c r="J1070" s="44">
        <v>6.1</v>
      </c>
      <c r="K1070" s="60">
        <v>4.96</v>
      </c>
      <c r="L1070" s="56">
        <v>4.6500000000000004</v>
      </c>
      <c r="M1070" s="14">
        <f>K1070-L1070</f>
        <v>0.30999999999999961</v>
      </c>
      <c r="N1070" s="15">
        <f>IFERROR(M1070/K1070,0)</f>
        <v>6.2499999999999924E-2</v>
      </c>
      <c r="O1070" s="14">
        <f>IFERROR(L1070/J1070,0)</f>
        <v>0.76229508196721318</v>
      </c>
      <c r="P1070" s="14">
        <f>IFERROR(L1070/G1070,0)</f>
        <v>0.38749999999999624</v>
      </c>
      <c r="S1070" s="61">
        <v>1</v>
      </c>
    </row>
    <row r="1071" spans="1:19" x14ac:dyDescent="0.3">
      <c r="A1071" s="9" t="s">
        <v>2423</v>
      </c>
      <c r="B1071" s="9" t="s">
        <v>26</v>
      </c>
      <c r="C1071" s="9" t="s">
        <v>27</v>
      </c>
      <c r="D1071" s="52">
        <v>46165</v>
      </c>
      <c r="E1071" s="48">
        <v>0.58124999999999993</v>
      </c>
      <c r="F1071" s="48">
        <v>0.59513888888888888</v>
      </c>
      <c r="G1071" s="43">
        <f>(F1071-E1071)*1440</f>
        <v>20.000000000000089</v>
      </c>
      <c r="H1071" s="9" t="s">
        <v>2634</v>
      </c>
      <c r="I1071" s="9" t="s">
        <v>2635</v>
      </c>
      <c r="J1071" s="44">
        <v>10.199999999999999</v>
      </c>
      <c r="K1071" s="60">
        <v>10.02</v>
      </c>
      <c r="L1071" s="56">
        <v>8.26</v>
      </c>
      <c r="M1071" s="14">
        <f>K1071-L1071</f>
        <v>1.7599999999999998</v>
      </c>
      <c r="N1071" s="15">
        <f>IFERROR(M1071/K1071,0)</f>
        <v>0.17564870259481036</v>
      </c>
      <c r="O1071" s="14">
        <f>IFERROR(L1071/J1071,0)</f>
        <v>0.80980392156862746</v>
      </c>
      <c r="P1071" s="14">
        <f>IFERROR(L1071/G1071,0)</f>
        <v>0.41299999999999815</v>
      </c>
    </row>
    <row r="1072" spans="1:19" x14ac:dyDescent="0.3">
      <c r="A1072" s="9" t="s">
        <v>2430</v>
      </c>
      <c r="B1072" s="9" t="s">
        <v>26</v>
      </c>
      <c r="C1072" s="9" t="s">
        <v>26</v>
      </c>
      <c r="D1072" s="52">
        <v>46165</v>
      </c>
      <c r="E1072" s="48">
        <v>0.83958333333333324</v>
      </c>
      <c r="F1072" s="48">
        <v>0.85069444444444453</v>
      </c>
      <c r="G1072" s="43">
        <f>(F1072-E1072)*1440</f>
        <v>16.000000000000263</v>
      </c>
      <c r="H1072" s="9" t="s">
        <v>2544</v>
      </c>
      <c r="I1072" s="9" t="s">
        <v>2642</v>
      </c>
      <c r="J1072" s="44">
        <v>6.9</v>
      </c>
      <c r="K1072" s="60">
        <v>6.42</v>
      </c>
      <c r="L1072" s="56">
        <v>6.02</v>
      </c>
      <c r="M1072" s="14">
        <f>K1072-L1072</f>
        <v>0.40000000000000036</v>
      </c>
      <c r="N1072" s="15">
        <f>IFERROR(M1072/K1072,0)</f>
        <v>6.2305295950155819E-2</v>
      </c>
      <c r="O1072" s="14">
        <f>IFERROR(L1072/J1072,0)</f>
        <v>0.87246376811594195</v>
      </c>
      <c r="P1072" s="14">
        <f>IFERROR(L1072/G1072,0)</f>
        <v>0.37624999999999381</v>
      </c>
      <c r="R1072" s="57">
        <v>1.85</v>
      </c>
    </row>
    <row r="1073" spans="1:19" x14ac:dyDescent="0.3">
      <c r="A1073" s="9" t="s">
        <v>2427</v>
      </c>
      <c r="B1073" s="9" t="s">
        <v>26</v>
      </c>
      <c r="C1073" s="9" t="s">
        <v>26</v>
      </c>
      <c r="D1073" s="52">
        <v>46165</v>
      </c>
      <c r="E1073" s="48">
        <v>0.70208333333333339</v>
      </c>
      <c r="F1073" s="48">
        <v>0.72569444444444453</v>
      </c>
      <c r="G1073" s="43">
        <f>(F1073-E1073)*1440</f>
        <v>34.000000000000043</v>
      </c>
      <c r="H1073" s="9" t="s">
        <v>1120</v>
      </c>
      <c r="I1073" s="9" t="s">
        <v>2639</v>
      </c>
      <c r="J1073" s="44">
        <v>10.5</v>
      </c>
      <c r="K1073" s="60">
        <v>14.2</v>
      </c>
      <c r="L1073" s="56">
        <v>10.91</v>
      </c>
      <c r="M1073" s="14">
        <f>K1073-L1073</f>
        <v>3.2899999999999991</v>
      </c>
      <c r="N1073" s="15">
        <f>IFERROR(M1073/K1073,0)</f>
        <v>0.23169014084507036</v>
      </c>
      <c r="O1073" s="14">
        <f>IFERROR(L1073/J1073,0)</f>
        <v>1.039047619047619</v>
      </c>
      <c r="P1073" s="14">
        <f>IFERROR(L1073/G1073,0)</f>
        <v>0.32088235294117606</v>
      </c>
      <c r="R1073" s="57">
        <v>3.35</v>
      </c>
    </row>
    <row r="1074" spans="1:19" x14ac:dyDescent="0.3">
      <c r="A1074" s="9" t="s">
        <v>2429</v>
      </c>
      <c r="B1074" s="9" t="s">
        <v>26</v>
      </c>
      <c r="C1074" s="9" t="s">
        <v>26</v>
      </c>
      <c r="D1074" s="52">
        <v>46165</v>
      </c>
      <c r="E1074" s="48">
        <v>0.82986111111111116</v>
      </c>
      <c r="F1074" s="48">
        <v>0.83750000000000002</v>
      </c>
      <c r="G1074" s="43">
        <f>(F1074-E1074)*1440</f>
        <v>10.999999999999961</v>
      </c>
      <c r="H1074" s="9" t="s">
        <v>2149</v>
      </c>
      <c r="I1074" s="9" t="s">
        <v>2641</v>
      </c>
      <c r="J1074" s="44">
        <v>5.6</v>
      </c>
      <c r="K1074" s="60">
        <v>10.19</v>
      </c>
      <c r="L1074" s="56">
        <v>8.0500000000000007</v>
      </c>
      <c r="M1074" s="14">
        <f>K1074-L1074</f>
        <v>2.1399999999999988</v>
      </c>
      <c r="N1074" s="15">
        <f>IFERROR(M1074/K1074,0)</f>
        <v>0.2100098135426888</v>
      </c>
      <c r="O1074" s="14">
        <f>IFERROR(L1074/J1074,0)</f>
        <v>1.4375000000000002</v>
      </c>
      <c r="P1074" s="14">
        <f>IFERROR(L1074/G1074,0)</f>
        <v>0.73181818181818448</v>
      </c>
    </row>
    <row r="1075" spans="1:19" x14ac:dyDescent="0.3">
      <c r="A1075" s="9" t="s">
        <v>2425</v>
      </c>
      <c r="B1075" s="9" t="s">
        <v>26</v>
      </c>
      <c r="C1075" s="9" t="s">
        <v>27</v>
      </c>
      <c r="D1075" s="52">
        <v>46165</v>
      </c>
      <c r="E1075" s="48">
        <v>0.6118055555555556</v>
      </c>
      <c r="F1075" s="48">
        <v>0.61736111111111114</v>
      </c>
      <c r="G1075" s="43">
        <f>(F1075-E1075)*1440</f>
        <v>7.9999999999999716</v>
      </c>
      <c r="H1075" s="9" t="s">
        <v>908</v>
      </c>
      <c r="I1075" s="9" t="s">
        <v>2637</v>
      </c>
      <c r="J1075" s="44">
        <v>2.2999999999999998</v>
      </c>
      <c r="K1075" s="60">
        <v>4.62</v>
      </c>
      <c r="L1075" s="56">
        <v>3.46</v>
      </c>
      <c r="M1075" s="14">
        <f>K1075-L1075</f>
        <v>1.1600000000000001</v>
      </c>
      <c r="N1075" s="15">
        <f>IFERROR(M1075/K1075,0)</f>
        <v>0.25108225108225113</v>
      </c>
      <c r="O1075" s="14">
        <f>IFERROR(L1075/J1075,0)</f>
        <v>1.5043478260869567</v>
      </c>
      <c r="P1075" s="14">
        <f>IFERROR(L1075/G1075,0)</f>
        <v>0.43250000000000155</v>
      </c>
    </row>
    <row r="1076" spans="1:19" x14ac:dyDescent="0.3">
      <c r="A1076" s="9" t="s">
        <v>2428</v>
      </c>
      <c r="B1076" s="9" t="s">
        <v>26</v>
      </c>
      <c r="C1076" s="9" t="s">
        <v>26</v>
      </c>
      <c r="D1076" s="52">
        <v>46165</v>
      </c>
      <c r="E1076" s="48">
        <v>0.72916666666666663</v>
      </c>
      <c r="F1076" s="48">
        <v>0.73749999999999993</v>
      </c>
      <c r="G1076" s="43">
        <f>(F1076-E1076)*1440</f>
        <v>11.999999999999957</v>
      </c>
      <c r="H1076" s="9" t="s">
        <v>1205</v>
      </c>
      <c r="I1076" s="68" t="s">
        <v>2640</v>
      </c>
      <c r="J1076" s="44">
        <v>2.2999999999999998</v>
      </c>
      <c r="K1076" s="60">
        <v>5.13</v>
      </c>
      <c r="L1076" s="56">
        <v>4.05</v>
      </c>
      <c r="M1076" s="14">
        <f>K1076-L1076</f>
        <v>1.08</v>
      </c>
      <c r="N1076" s="15">
        <f>IFERROR(M1076/K1076,0)</f>
        <v>0.2105263157894737</v>
      </c>
      <c r="O1076" s="14">
        <f>IFERROR(L1076/J1076,0)</f>
        <v>1.7608695652173914</v>
      </c>
      <c r="P1076" s="14">
        <f>IFERROR(L1076/G1076,0)</f>
        <v>0.33750000000000119</v>
      </c>
    </row>
    <row r="1077" spans="1:19" x14ac:dyDescent="0.3">
      <c r="A1077" s="9" t="s">
        <v>2450</v>
      </c>
      <c r="B1077" s="9" t="s">
        <v>538</v>
      </c>
      <c r="C1077" s="9" t="s">
        <v>184</v>
      </c>
      <c r="D1077" s="52">
        <v>46166</v>
      </c>
      <c r="E1077" s="48">
        <v>0.81458333333333333</v>
      </c>
      <c r="F1077" s="48">
        <v>0.82916666666666661</v>
      </c>
      <c r="G1077" s="43">
        <f>(F1077-E1077)*1440</f>
        <v>20.999999999999925</v>
      </c>
      <c r="H1077" s="9" t="s">
        <v>2210</v>
      </c>
      <c r="I1077" s="9" t="s">
        <v>2669</v>
      </c>
      <c r="J1077" s="44">
        <v>21.16</v>
      </c>
      <c r="K1077" s="60">
        <v>12.95</v>
      </c>
      <c r="L1077" s="56">
        <v>8.42</v>
      </c>
      <c r="M1077" s="14">
        <f>K1077-L1077</f>
        <v>4.5299999999999994</v>
      </c>
      <c r="N1077" s="15">
        <f>IFERROR(M1077/K1077,0)</f>
        <v>0.34980694980694976</v>
      </c>
      <c r="O1077" s="14">
        <f>IFERROR(L1077/J1077,0)</f>
        <v>0.39792060491493381</v>
      </c>
      <c r="P1077" s="14">
        <f>IFERROR(L1077/G1077,0)</f>
        <v>0.40095238095238239</v>
      </c>
    </row>
    <row r="1078" spans="1:19" x14ac:dyDescent="0.3">
      <c r="A1078" s="9" t="s">
        <v>2448</v>
      </c>
      <c r="B1078" s="9" t="s">
        <v>18</v>
      </c>
      <c r="C1078" s="9" t="s">
        <v>184</v>
      </c>
      <c r="D1078" s="52">
        <v>46166</v>
      </c>
      <c r="E1078" s="48">
        <v>0.74791666666666667</v>
      </c>
      <c r="F1078" s="48">
        <v>0.76041666666666663</v>
      </c>
      <c r="G1078" s="43">
        <f>(F1078-E1078)*1440</f>
        <v>17.999999999999936</v>
      </c>
      <c r="H1078" s="9" t="s">
        <v>2665</v>
      </c>
      <c r="I1078" s="9" t="s">
        <v>2666</v>
      </c>
      <c r="J1078" s="44">
        <v>21.15</v>
      </c>
      <c r="K1078" s="60">
        <v>13.93</v>
      </c>
      <c r="L1078" s="56">
        <v>8.6</v>
      </c>
      <c r="M1078" s="14">
        <f>K1078-L1078</f>
        <v>5.33</v>
      </c>
      <c r="N1078" s="15">
        <f>IFERROR(M1078/K1078,0)</f>
        <v>0.38262742282842788</v>
      </c>
      <c r="O1078" s="14">
        <f>IFERROR(L1078/J1078,0)</f>
        <v>0.40661938534278963</v>
      </c>
      <c r="P1078" s="14">
        <f>IFERROR(L1078/G1078,0)</f>
        <v>0.47777777777777947</v>
      </c>
      <c r="Q1078" s="64">
        <v>0.7</v>
      </c>
      <c r="S1078" s="61">
        <v>1</v>
      </c>
    </row>
    <row r="1079" spans="1:19" x14ac:dyDescent="0.3">
      <c r="A1079" s="9" t="s">
        <v>2438</v>
      </c>
      <c r="B1079" s="9" t="s">
        <v>18</v>
      </c>
      <c r="C1079" s="9" t="s">
        <v>184</v>
      </c>
      <c r="D1079" s="52">
        <v>46166</v>
      </c>
      <c r="E1079" s="48">
        <v>0.37916666666666665</v>
      </c>
      <c r="F1079" s="48">
        <v>0.39305555555555555</v>
      </c>
      <c r="G1079" s="43">
        <f>(F1079-E1079)*1440</f>
        <v>20.000000000000007</v>
      </c>
      <c r="H1079" s="9" t="s">
        <v>2655</v>
      </c>
      <c r="I1079" s="9" t="s">
        <v>826</v>
      </c>
      <c r="J1079" s="44">
        <v>20.27</v>
      </c>
      <c r="K1079" s="60">
        <v>13.06</v>
      </c>
      <c r="L1079" s="56">
        <v>8.41</v>
      </c>
      <c r="M1079" s="14">
        <f>K1079-L1079</f>
        <v>4.6500000000000004</v>
      </c>
      <c r="N1079" s="15">
        <f>IFERROR(M1079/K1079,0)</f>
        <v>0.35604900459418071</v>
      </c>
      <c r="O1079" s="14">
        <f>IFERROR(L1079/J1079,0)</f>
        <v>0.41489886531820425</v>
      </c>
      <c r="P1079" s="14">
        <f>IFERROR(L1079/G1079,0)</f>
        <v>0.42049999999999987</v>
      </c>
      <c r="S1079" s="61">
        <v>4</v>
      </c>
    </row>
    <row r="1080" spans="1:19" x14ac:dyDescent="0.3">
      <c r="A1080" s="9" t="s">
        <v>2449</v>
      </c>
      <c r="B1080" s="9" t="s">
        <v>538</v>
      </c>
      <c r="C1080" s="9" t="s">
        <v>184</v>
      </c>
      <c r="D1080" s="52">
        <v>46166</v>
      </c>
      <c r="E1080" s="48">
        <v>0.7631944444444444</v>
      </c>
      <c r="F1080" s="48">
        <v>0.78541666666666676</v>
      </c>
      <c r="G1080" s="43">
        <f>(F1080-E1080)*1440</f>
        <v>32.000000000000206</v>
      </c>
      <c r="H1080" s="9" t="s">
        <v>2667</v>
      </c>
      <c r="I1080" s="9" t="s">
        <v>2668</v>
      </c>
      <c r="J1080" s="44">
        <v>27.82</v>
      </c>
      <c r="K1080" s="60">
        <v>18.940000000000001</v>
      </c>
      <c r="L1080" s="56">
        <v>11.86</v>
      </c>
      <c r="M1080" s="14">
        <f>K1080-L1080</f>
        <v>7.0800000000000018</v>
      </c>
      <c r="N1080" s="15">
        <f>IFERROR(M1080/K1080,0)</f>
        <v>0.37381203801478358</v>
      </c>
      <c r="O1080" s="14">
        <f>IFERROR(L1080/J1080,0)</f>
        <v>0.42631200575125805</v>
      </c>
      <c r="P1080" s="14">
        <f>IFERROR(L1080/G1080,0)</f>
        <v>0.3706249999999976</v>
      </c>
      <c r="Q1080" s="64">
        <v>0.7</v>
      </c>
    </row>
    <row r="1081" spans="1:19" x14ac:dyDescent="0.3">
      <c r="A1081" s="9" t="s">
        <v>2456</v>
      </c>
      <c r="B1081" s="9" t="s">
        <v>26</v>
      </c>
      <c r="C1081" s="9" t="s">
        <v>27</v>
      </c>
      <c r="D1081" s="52">
        <v>46166</v>
      </c>
      <c r="E1081" s="48">
        <v>0.62986111111111109</v>
      </c>
      <c r="F1081" s="48">
        <v>0.64236111111111105</v>
      </c>
      <c r="G1081" s="43">
        <f>(F1081-E1081)*1440</f>
        <v>17.999999999999936</v>
      </c>
      <c r="H1081" s="9" t="s">
        <v>2677</v>
      </c>
      <c r="I1081" s="9" t="s">
        <v>1120</v>
      </c>
      <c r="J1081" s="44">
        <v>11.5</v>
      </c>
      <c r="K1081" s="60">
        <v>7.48</v>
      </c>
      <c r="L1081" s="56">
        <v>5.61</v>
      </c>
      <c r="M1081" s="14">
        <f>K1081-L1081</f>
        <v>1.87</v>
      </c>
      <c r="N1081" s="15">
        <f>IFERROR(M1081/K1081,0)</f>
        <v>0.25</v>
      </c>
      <c r="O1081" s="14">
        <f>IFERROR(L1081/J1081,0)</f>
        <v>0.48782608695652174</v>
      </c>
      <c r="P1081" s="14">
        <f>IFERROR(L1081/G1081,0)</f>
        <v>0.31166666666666781</v>
      </c>
    </row>
    <row r="1082" spans="1:19" x14ac:dyDescent="0.3">
      <c r="A1082" s="9" t="s">
        <v>2458</v>
      </c>
      <c r="B1082" s="9" t="s">
        <v>26</v>
      </c>
      <c r="C1082" s="9" t="s">
        <v>27</v>
      </c>
      <c r="D1082" s="52">
        <v>46166</v>
      </c>
      <c r="E1082" s="48">
        <v>0.71319444444444446</v>
      </c>
      <c r="F1082" s="48">
        <v>0.72499999999999998</v>
      </c>
      <c r="G1082" s="43">
        <f>(F1082-E1082)*1440</f>
        <v>16.99999999999994</v>
      </c>
      <c r="H1082" s="9" t="s">
        <v>2679</v>
      </c>
      <c r="I1082" s="9" t="s">
        <v>853</v>
      </c>
      <c r="J1082" s="44">
        <v>10.6</v>
      </c>
      <c r="K1082" s="60">
        <v>6.92</v>
      </c>
      <c r="L1082" s="56">
        <v>5.19</v>
      </c>
      <c r="M1082" s="14">
        <f>K1082-L1082</f>
        <v>1.7299999999999995</v>
      </c>
      <c r="N1082" s="15">
        <f>IFERROR(M1082/K1082,0)</f>
        <v>0.24999999999999994</v>
      </c>
      <c r="O1082" s="14">
        <f>IFERROR(L1082/J1082,0)</f>
        <v>0.48962264150943402</v>
      </c>
      <c r="P1082" s="14">
        <f>IFERROR(L1082/G1082,0)</f>
        <v>0.30529411764705994</v>
      </c>
    </row>
    <row r="1083" spans="1:19" x14ac:dyDescent="0.3">
      <c r="A1083" s="9" t="s">
        <v>2451</v>
      </c>
      <c r="B1083" s="9" t="s">
        <v>18</v>
      </c>
      <c r="C1083" s="9" t="s">
        <v>184</v>
      </c>
      <c r="D1083" s="52">
        <v>46166</v>
      </c>
      <c r="E1083" s="48">
        <v>0.84444444444444444</v>
      </c>
      <c r="F1083" s="48">
        <v>0.8569444444444444</v>
      </c>
      <c r="G1083" s="43">
        <f>(F1083-E1083)*1440</f>
        <v>17.999999999999936</v>
      </c>
      <c r="H1083" s="9" t="s">
        <v>2670</v>
      </c>
      <c r="I1083" s="9" t="s">
        <v>2671</v>
      </c>
      <c r="J1083" s="44">
        <v>13.12</v>
      </c>
      <c r="K1083" s="60">
        <v>9.9499999999999993</v>
      </c>
      <c r="L1083" s="56">
        <v>6.63</v>
      </c>
      <c r="M1083" s="14">
        <f>K1083-L1083</f>
        <v>3.3199999999999994</v>
      </c>
      <c r="N1083" s="15">
        <f>IFERROR(M1083/K1083,0)</f>
        <v>0.3336683417085427</v>
      </c>
      <c r="O1083" s="14">
        <f>IFERROR(L1083/J1083,0)</f>
        <v>0.50533536585365857</v>
      </c>
      <c r="P1083" s="14">
        <f>IFERROR(L1083/G1083,0)</f>
        <v>0.36833333333333462</v>
      </c>
    </row>
    <row r="1084" spans="1:19" x14ac:dyDescent="0.3">
      <c r="A1084" s="9" t="s">
        <v>2454</v>
      </c>
      <c r="B1084" s="9" t="s">
        <v>26</v>
      </c>
      <c r="C1084" s="9" t="s">
        <v>27</v>
      </c>
      <c r="D1084" s="52">
        <v>46166</v>
      </c>
      <c r="E1084" s="48">
        <v>0.45416666666666666</v>
      </c>
      <c r="F1084" s="48">
        <v>0.46458333333333335</v>
      </c>
      <c r="G1084" s="43">
        <f>(F1084-E1084)*1440</f>
        <v>15.000000000000027</v>
      </c>
      <c r="H1084" s="9" t="s">
        <v>2675</v>
      </c>
      <c r="I1084" s="9" t="s">
        <v>843</v>
      </c>
      <c r="J1084" s="44">
        <v>7.6</v>
      </c>
      <c r="K1084" s="60">
        <v>5.78</v>
      </c>
      <c r="L1084" s="56">
        <v>4.33</v>
      </c>
      <c r="M1084" s="14">
        <f>K1084-L1084</f>
        <v>1.4500000000000002</v>
      </c>
      <c r="N1084" s="15">
        <f>IFERROR(M1084/K1084,0)</f>
        <v>0.2508650519031142</v>
      </c>
      <c r="O1084" s="14">
        <f>IFERROR(L1084/J1084,0)</f>
        <v>0.56973684210526321</v>
      </c>
      <c r="P1084" s="14">
        <f>IFERROR(L1084/G1084,0)</f>
        <v>0.28866666666666618</v>
      </c>
    </row>
    <row r="1085" spans="1:19" x14ac:dyDescent="0.3">
      <c r="A1085" s="9" t="s">
        <v>2444</v>
      </c>
      <c r="B1085" s="9" t="s">
        <v>18</v>
      </c>
      <c r="C1085" s="9" t="s">
        <v>184</v>
      </c>
      <c r="D1085" s="52">
        <v>46166</v>
      </c>
      <c r="E1085" s="48">
        <v>0.58958333333333335</v>
      </c>
      <c r="F1085" s="48">
        <v>0.59861111111111109</v>
      </c>
      <c r="G1085" s="43">
        <f>(F1085-E1085)*1440</f>
        <v>12.999999999999954</v>
      </c>
      <c r="H1085" s="9" t="s">
        <v>1916</v>
      </c>
      <c r="I1085" s="9" t="s">
        <v>2659</v>
      </c>
      <c r="J1085" s="44">
        <v>7.84</v>
      </c>
      <c r="K1085" s="60">
        <v>5.94</v>
      </c>
      <c r="L1085" s="56">
        <v>4.59</v>
      </c>
      <c r="M1085" s="14">
        <f>K1085-L1085</f>
        <v>1.3500000000000005</v>
      </c>
      <c r="N1085" s="15">
        <f>IFERROR(M1085/K1085,0)</f>
        <v>0.22727272727272735</v>
      </c>
      <c r="O1085" s="14">
        <f>IFERROR(L1085/J1085,0)</f>
        <v>0.58545918367346939</v>
      </c>
      <c r="P1085" s="14">
        <f>IFERROR(L1085/G1085,0)</f>
        <v>0.35307692307692434</v>
      </c>
    </row>
    <row r="1086" spans="1:19" x14ac:dyDescent="0.3">
      <c r="A1086" s="9" t="s">
        <v>2453</v>
      </c>
      <c r="B1086" s="9" t="s">
        <v>26</v>
      </c>
      <c r="C1086" s="9" t="s">
        <v>27</v>
      </c>
      <c r="D1086" s="52">
        <v>46166</v>
      </c>
      <c r="E1086" s="48">
        <v>0.4381944444444445</v>
      </c>
      <c r="F1086" s="48">
        <v>0.44513888888888892</v>
      </c>
      <c r="G1086" s="43">
        <f>(F1086-E1086)*1440</f>
        <v>9.9999999999999645</v>
      </c>
      <c r="H1086" s="9" t="s">
        <v>2673</v>
      </c>
      <c r="I1086" s="9" t="s">
        <v>2674</v>
      </c>
      <c r="J1086" s="44">
        <v>4.9000000000000004</v>
      </c>
      <c r="K1086" s="60">
        <v>3.32</v>
      </c>
      <c r="L1086" s="56">
        <v>3.11</v>
      </c>
      <c r="M1086" s="14">
        <f>K1086-L1086</f>
        <v>0.20999999999999996</v>
      </c>
      <c r="N1086" s="15">
        <f>IFERROR(M1086/K1086,0)</f>
        <v>6.3253012048192767E-2</v>
      </c>
      <c r="O1086" s="14">
        <f>IFERROR(L1086/J1086,0)</f>
        <v>0.63469387755102036</v>
      </c>
      <c r="P1086" s="14">
        <f>IFERROR(L1086/G1086,0)</f>
        <v>0.31100000000000111</v>
      </c>
    </row>
    <row r="1087" spans="1:19" x14ac:dyDescent="0.3">
      <c r="A1087" s="9" t="s">
        <v>2446</v>
      </c>
      <c r="B1087" s="9" t="s">
        <v>18</v>
      </c>
      <c r="C1087" s="9" t="s">
        <v>196</v>
      </c>
      <c r="D1087" s="52">
        <v>46166</v>
      </c>
      <c r="E1087" s="48">
        <v>0.66597222222222219</v>
      </c>
      <c r="F1087" s="48">
        <v>0.68402777777777779</v>
      </c>
      <c r="G1087" s="43">
        <f>(F1087-E1087)*1440</f>
        <v>26.000000000000068</v>
      </c>
      <c r="H1087" s="9" t="s">
        <v>584</v>
      </c>
      <c r="I1087" s="9" t="s">
        <v>2662</v>
      </c>
      <c r="J1087" s="44">
        <v>11.15</v>
      </c>
      <c r="K1087" s="60">
        <v>11.99</v>
      </c>
      <c r="L1087" s="56">
        <v>7.79</v>
      </c>
      <c r="M1087" s="14">
        <f>K1087-L1087</f>
        <v>4.2</v>
      </c>
      <c r="N1087" s="15">
        <f>IFERROR(M1087/K1087,0)</f>
        <v>0.35029190992493747</v>
      </c>
      <c r="O1087" s="14">
        <f>IFERROR(L1087/J1087,0)</f>
        <v>0.6986547085201793</v>
      </c>
      <c r="P1087" s="14">
        <f>IFERROR(L1087/G1087,0)</f>
        <v>0.29961538461538384</v>
      </c>
    </row>
    <row r="1088" spans="1:19" x14ac:dyDescent="0.3">
      <c r="A1088" s="9" t="s">
        <v>2460</v>
      </c>
      <c r="B1088" s="9" t="s">
        <v>26</v>
      </c>
      <c r="C1088" s="9" t="s">
        <v>27</v>
      </c>
      <c r="D1088" s="52">
        <v>46166</v>
      </c>
      <c r="E1088" s="48">
        <v>0.86458333333333337</v>
      </c>
      <c r="F1088" s="48">
        <v>0.87222222222222223</v>
      </c>
      <c r="G1088" s="43">
        <f>(F1088-E1088)*1440</f>
        <v>10.999999999999961</v>
      </c>
      <c r="H1088" s="9" t="s">
        <v>604</v>
      </c>
      <c r="I1088" s="9" t="s">
        <v>1764</v>
      </c>
      <c r="J1088" s="44">
        <v>9.3000000000000007</v>
      </c>
      <c r="K1088" s="60">
        <v>8.34</v>
      </c>
      <c r="L1088" s="56">
        <v>6.5</v>
      </c>
      <c r="M1088" s="14">
        <f>K1088-L1088</f>
        <v>1.8399999999999999</v>
      </c>
      <c r="N1088" s="15">
        <f>IFERROR(M1088/K1088,0)</f>
        <v>0.22062350119904076</v>
      </c>
      <c r="O1088" s="14">
        <f>IFERROR(L1088/J1088,0)</f>
        <v>0.69892473118279563</v>
      </c>
      <c r="P1088" s="14">
        <f>IFERROR(L1088/G1088,0)</f>
        <v>0.59090909090909305</v>
      </c>
      <c r="R1088" s="57">
        <v>0.67</v>
      </c>
      <c r="S1088" s="61">
        <v>1</v>
      </c>
    </row>
    <row r="1089" spans="1:19" x14ac:dyDescent="0.3">
      <c r="A1089" s="9" t="s">
        <v>2459</v>
      </c>
      <c r="B1089" s="9" t="s">
        <v>26</v>
      </c>
      <c r="C1089" s="9" t="s">
        <v>26</v>
      </c>
      <c r="D1089" s="52">
        <v>46166</v>
      </c>
      <c r="E1089" s="48">
        <v>0.72777777777777775</v>
      </c>
      <c r="F1089" s="48">
        <v>0.73749999999999993</v>
      </c>
      <c r="G1089" s="43">
        <f>(F1089-E1089)*1440</f>
        <v>13.99999999999995</v>
      </c>
      <c r="H1089" s="9" t="s">
        <v>1265</v>
      </c>
      <c r="I1089" s="9" t="s">
        <v>2680</v>
      </c>
      <c r="J1089" s="44">
        <v>9.6</v>
      </c>
      <c r="K1089" s="60">
        <v>8.67</v>
      </c>
      <c r="L1089" s="56">
        <v>6.85</v>
      </c>
      <c r="M1089" s="14">
        <f>K1089-L1089</f>
        <v>1.8200000000000003</v>
      </c>
      <c r="N1089" s="15">
        <f>IFERROR(M1089/K1089,0)</f>
        <v>0.20991926182237605</v>
      </c>
      <c r="O1089" s="14">
        <f>IFERROR(L1089/J1089,0)</f>
        <v>0.71354166666666663</v>
      </c>
      <c r="P1089" s="14">
        <f>IFERROR(L1089/G1089,0)</f>
        <v>0.48928571428571599</v>
      </c>
      <c r="R1089" s="57">
        <v>2.11</v>
      </c>
    </row>
    <row r="1090" spans="1:19" x14ac:dyDescent="0.3">
      <c r="A1090" s="9" t="s">
        <v>2447</v>
      </c>
      <c r="B1090" s="9" t="s">
        <v>538</v>
      </c>
      <c r="C1090" s="9" t="s">
        <v>824</v>
      </c>
      <c r="D1090" s="52">
        <v>46166</v>
      </c>
      <c r="E1090" s="48">
        <v>0.69027777777777777</v>
      </c>
      <c r="F1090" s="48">
        <v>0.70486111111111116</v>
      </c>
      <c r="G1090" s="43">
        <f>(F1090-E1090)*1440</f>
        <v>21.000000000000085</v>
      </c>
      <c r="H1090" s="9" t="s">
        <v>2663</v>
      </c>
      <c r="I1090" s="9" t="s">
        <v>2664</v>
      </c>
      <c r="J1090" s="44">
        <v>7.17</v>
      </c>
      <c r="K1090" s="60">
        <v>7.93</v>
      </c>
      <c r="L1090" s="56">
        <v>5.15</v>
      </c>
      <c r="M1090" s="14">
        <f>K1090-L1090</f>
        <v>2.7799999999999994</v>
      </c>
      <c r="N1090" s="15">
        <f>IFERROR(M1090/K1090,0)</f>
        <v>0.35056746532156363</v>
      </c>
      <c r="O1090" s="14">
        <f>IFERROR(L1090/J1090,0)</f>
        <v>0.71827057182705722</v>
      </c>
      <c r="P1090" s="14">
        <f>IFERROR(L1090/G1090,0)</f>
        <v>0.24523809523809426</v>
      </c>
    </row>
    <row r="1091" spans="1:19" x14ac:dyDescent="0.3">
      <c r="A1091" s="9" t="s">
        <v>2445</v>
      </c>
      <c r="B1091" s="9" t="s">
        <v>538</v>
      </c>
      <c r="C1091" s="9" t="s">
        <v>184</v>
      </c>
      <c r="D1091" s="52">
        <v>46166</v>
      </c>
      <c r="E1091" s="48">
        <v>0.60138888888888886</v>
      </c>
      <c r="F1091" s="48">
        <v>0.61041666666666672</v>
      </c>
      <c r="G1091" s="43">
        <f>(F1091-E1091)*1440</f>
        <v>13.000000000000114</v>
      </c>
      <c r="H1091" s="9" t="s">
        <v>2660</v>
      </c>
      <c r="I1091" s="9" t="s">
        <v>2661</v>
      </c>
      <c r="J1091" s="44">
        <v>5.95</v>
      </c>
      <c r="K1091" s="60">
        <v>6.94</v>
      </c>
      <c r="L1091" s="56">
        <v>4.51</v>
      </c>
      <c r="M1091" s="14">
        <f>K1091-L1091</f>
        <v>2.4300000000000006</v>
      </c>
      <c r="N1091" s="15">
        <f>IFERROR(M1091/K1091,0)</f>
        <v>0.35014409221902026</v>
      </c>
      <c r="O1091" s="14">
        <f>IFERROR(L1091/J1091,0)</f>
        <v>0.7579831932773109</v>
      </c>
      <c r="P1091" s="14">
        <f>IFERROR(L1091/G1091,0)</f>
        <v>0.34692307692307389</v>
      </c>
      <c r="S1091" s="61">
        <v>1</v>
      </c>
    </row>
    <row r="1092" spans="1:19" x14ac:dyDescent="0.3">
      <c r="A1092" s="9" t="s">
        <v>2455</v>
      </c>
      <c r="B1092" s="9" t="s">
        <v>26</v>
      </c>
      <c r="C1092" s="9" t="s">
        <v>26</v>
      </c>
      <c r="D1092" s="52">
        <v>46166</v>
      </c>
      <c r="E1092" s="48">
        <v>0.61736111111111114</v>
      </c>
      <c r="F1092" s="48">
        <v>0.62708333333333333</v>
      </c>
      <c r="G1092" s="43">
        <f>(F1092-E1092)*1440</f>
        <v>13.99999999999995</v>
      </c>
      <c r="H1092" s="9" t="s">
        <v>2676</v>
      </c>
      <c r="I1092" s="9" t="s">
        <v>551</v>
      </c>
      <c r="J1092" s="44">
        <v>7</v>
      </c>
      <c r="K1092" s="60">
        <v>5.74</v>
      </c>
      <c r="L1092" s="56">
        <v>5.38</v>
      </c>
      <c r="M1092" s="14">
        <f>K1092-L1092</f>
        <v>0.36000000000000032</v>
      </c>
      <c r="N1092" s="15">
        <f>IFERROR(M1092/K1092,0)</f>
        <v>6.2717770034843259E-2</v>
      </c>
      <c r="O1092" s="14">
        <f>IFERROR(L1092/J1092,0)</f>
        <v>0.76857142857142857</v>
      </c>
      <c r="P1092" s="14">
        <f>IFERROR(L1092/G1092,0)</f>
        <v>0.38428571428571562</v>
      </c>
    </row>
    <row r="1093" spans="1:19" x14ac:dyDescent="0.3">
      <c r="A1093" s="9" t="s">
        <v>2441</v>
      </c>
      <c r="B1093" s="9" t="s">
        <v>18</v>
      </c>
      <c r="C1093" s="9" t="s">
        <v>184</v>
      </c>
      <c r="D1093" s="52">
        <v>46166</v>
      </c>
      <c r="E1093" s="48">
        <v>0.54513888888888895</v>
      </c>
      <c r="F1093" s="48">
        <v>0.55555555555555558</v>
      </c>
      <c r="G1093" s="43">
        <f>(F1093-E1093)*1440</f>
        <v>14.999999999999947</v>
      </c>
      <c r="H1093" s="9" t="s">
        <v>2657</v>
      </c>
      <c r="I1093" s="9" t="s">
        <v>2658</v>
      </c>
      <c r="J1093" s="44">
        <v>9.6300000000000008</v>
      </c>
      <c r="K1093" s="60">
        <v>10.95</v>
      </c>
      <c r="L1093" s="56">
        <v>7.45</v>
      </c>
      <c r="M1093" s="14">
        <f>K1093-L1093</f>
        <v>3.4999999999999991</v>
      </c>
      <c r="N1093" s="15">
        <f>IFERROR(M1093/K1093,0)</f>
        <v>0.31963470319634696</v>
      </c>
      <c r="O1093" s="14">
        <f>IFERROR(L1093/J1093,0)</f>
        <v>0.77362409138110066</v>
      </c>
      <c r="P1093" s="14">
        <f>IFERROR(L1093/G1093,0)</f>
        <v>0.49666666666666842</v>
      </c>
    </row>
    <row r="1094" spans="1:19" x14ac:dyDescent="0.3">
      <c r="A1094" s="9" t="s">
        <v>2440</v>
      </c>
      <c r="B1094" s="9" t="s">
        <v>538</v>
      </c>
      <c r="C1094" s="9" t="s">
        <v>184</v>
      </c>
      <c r="D1094" s="52">
        <v>46166</v>
      </c>
      <c r="E1094" s="48">
        <v>0.47291666666666665</v>
      </c>
      <c r="F1094" s="48">
        <v>0.48402777777777778</v>
      </c>
      <c r="G1094" s="43">
        <f>(F1094-E1094)*1440</f>
        <v>16.000000000000021</v>
      </c>
      <c r="H1094" s="9" t="s">
        <v>1733</v>
      </c>
      <c r="I1094" s="9" t="s">
        <v>1120</v>
      </c>
      <c r="J1094" s="44">
        <v>6.63</v>
      </c>
      <c r="K1094" s="60">
        <v>6.93</v>
      </c>
      <c r="L1094" s="56">
        <v>5.7</v>
      </c>
      <c r="M1094" s="14">
        <f>K1094-L1094</f>
        <v>1.2299999999999995</v>
      </c>
      <c r="N1094" s="15">
        <f>IFERROR(M1094/K1094,0)</f>
        <v>0.17748917748917742</v>
      </c>
      <c r="O1094" s="14">
        <f>IFERROR(L1094/J1094,0)</f>
        <v>0.85972850678733037</v>
      </c>
      <c r="P1094" s="14">
        <f>IFERROR(L1094/G1094,0)</f>
        <v>0.35624999999999951</v>
      </c>
    </row>
    <row r="1095" spans="1:19" x14ac:dyDescent="0.3">
      <c r="A1095" s="9" t="s">
        <v>2443</v>
      </c>
      <c r="B1095" s="9" t="s">
        <v>18</v>
      </c>
      <c r="C1095" s="9" t="s">
        <v>184</v>
      </c>
      <c r="D1095" s="52">
        <v>46166</v>
      </c>
      <c r="E1095" s="48">
        <v>0.57708333333333328</v>
      </c>
      <c r="F1095" s="48">
        <v>0.58402777777777781</v>
      </c>
      <c r="G1095" s="43">
        <f>(F1095-E1095)*1440</f>
        <v>10.000000000000124</v>
      </c>
      <c r="H1095" s="9" t="s">
        <v>1361</v>
      </c>
      <c r="I1095" s="9" t="s">
        <v>737</v>
      </c>
      <c r="J1095" s="44">
        <v>3.81</v>
      </c>
      <c r="K1095" s="60">
        <v>4.95</v>
      </c>
      <c r="L1095" s="56">
        <v>3.3</v>
      </c>
      <c r="M1095" s="14">
        <f>K1095-L1095</f>
        <v>1.6500000000000004</v>
      </c>
      <c r="N1095" s="15">
        <f>IFERROR(M1095/K1095,0)</f>
        <v>0.33333333333333337</v>
      </c>
      <c r="O1095" s="14">
        <f>IFERROR(L1095/J1095,0)</f>
        <v>0.86614173228346447</v>
      </c>
      <c r="P1095" s="14">
        <f>IFERROR(L1095/G1095,0)</f>
        <v>0.32999999999999585</v>
      </c>
      <c r="S1095" s="61">
        <v>1</v>
      </c>
    </row>
    <row r="1096" spans="1:19" x14ac:dyDescent="0.3">
      <c r="A1096" s="9" t="s">
        <v>2442</v>
      </c>
      <c r="B1096" s="9" t="s">
        <v>18</v>
      </c>
      <c r="C1096" s="9" t="s">
        <v>184</v>
      </c>
      <c r="D1096" s="52">
        <v>46166</v>
      </c>
      <c r="E1096" s="48">
        <v>0.56597222222222221</v>
      </c>
      <c r="F1096" s="48">
        <v>0.57430555555555551</v>
      </c>
      <c r="G1096" s="43">
        <f>(F1096-E1096)*1440</f>
        <v>11.999999999999957</v>
      </c>
      <c r="H1096" s="9" t="s">
        <v>813</v>
      </c>
      <c r="I1096" s="9" t="s">
        <v>1361</v>
      </c>
      <c r="J1096" s="44">
        <v>9.27</v>
      </c>
      <c r="K1096" s="60">
        <v>10.94</v>
      </c>
      <c r="L1096" s="56">
        <v>8.2200000000000006</v>
      </c>
      <c r="M1096" s="14">
        <f>K1096-L1096</f>
        <v>2.7199999999999989</v>
      </c>
      <c r="N1096" s="15">
        <f>IFERROR(M1096/K1096,0)</f>
        <v>0.24862888482632531</v>
      </c>
      <c r="O1096" s="14">
        <f>IFERROR(L1096/J1096,0)</f>
        <v>0.88673139158576064</v>
      </c>
      <c r="P1096" s="14">
        <f>IFERROR(L1096/G1096,0)</f>
        <v>0.6850000000000025</v>
      </c>
    </row>
    <row r="1097" spans="1:19" x14ac:dyDescent="0.3">
      <c r="A1097" s="9" t="s">
        <v>2457</v>
      </c>
      <c r="B1097" s="9" t="s">
        <v>26</v>
      </c>
      <c r="C1097" s="9" t="s">
        <v>26</v>
      </c>
      <c r="D1097" s="52">
        <v>46166</v>
      </c>
      <c r="E1097" s="48">
        <v>0.66111111111111109</v>
      </c>
      <c r="F1097" s="48">
        <v>0.66736111111111107</v>
      </c>
      <c r="G1097" s="43">
        <f>(F1097-E1097)*1440</f>
        <v>8.999999999999968</v>
      </c>
      <c r="H1097" s="9" t="s">
        <v>2678</v>
      </c>
      <c r="I1097" s="9" t="s">
        <v>530</v>
      </c>
      <c r="J1097" s="44">
        <v>4.3</v>
      </c>
      <c r="K1097" s="60">
        <v>5.56</v>
      </c>
      <c r="L1097" s="56">
        <v>4.17</v>
      </c>
      <c r="M1097" s="14">
        <f>K1097-L1097</f>
        <v>1.3899999999999997</v>
      </c>
      <c r="N1097" s="15">
        <f>IFERROR(M1097/K1097,0)</f>
        <v>0.24999999999999997</v>
      </c>
      <c r="O1097" s="14">
        <f>IFERROR(L1097/J1097,0)</f>
        <v>0.96976744186046515</v>
      </c>
      <c r="P1097" s="14">
        <f>IFERROR(L1097/G1097,0)</f>
        <v>0.46333333333333498</v>
      </c>
      <c r="R1097" s="57">
        <v>0.92</v>
      </c>
    </row>
    <row r="1098" spans="1:19" x14ac:dyDescent="0.3">
      <c r="A1098" s="9" t="s">
        <v>2452</v>
      </c>
      <c r="B1098" s="9" t="s">
        <v>26</v>
      </c>
      <c r="C1098" s="9" t="s">
        <v>26</v>
      </c>
      <c r="D1098" s="52">
        <v>46166</v>
      </c>
      <c r="E1098" s="48">
        <v>0.40833333333333338</v>
      </c>
      <c r="F1098" s="48">
        <v>0.42083333333333334</v>
      </c>
      <c r="G1098" s="43">
        <f>(F1098-E1098)*1440</f>
        <v>17.999999999999936</v>
      </c>
      <c r="H1098" s="9" t="s">
        <v>2672</v>
      </c>
      <c r="I1098" s="9" t="s">
        <v>679</v>
      </c>
      <c r="J1098" s="44">
        <v>13.9</v>
      </c>
      <c r="K1098" s="60">
        <v>14.67</v>
      </c>
      <c r="L1098" s="56">
        <v>15.49</v>
      </c>
      <c r="M1098" s="14">
        <f>K1098-L1098</f>
        <v>-0.82000000000000028</v>
      </c>
      <c r="N1098" s="15">
        <f>IFERROR(M1098/K1098,0)</f>
        <v>-5.5896387184730764E-2</v>
      </c>
      <c r="O1098" s="14">
        <f>IFERROR(L1098/J1098,0)</f>
        <v>1.1143884892086331</v>
      </c>
      <c r="P1098" s="14">
        <f>IFERROR(L1098/G1098,0)</f>
        <v>0.86055555555555863</v>
      </c>
      <c r="R1098" s="57">
        <v>9.7899999999999991</v>
      </c>
    </row>
    <row r="1099" spans="1:19" x14ac:dyDescent="0.3">
      <c r="A1099" s="9" t="s">
        <v>2439</v>
      </c>
      <c r="B1099" s="9" t="s">
        <v>18</v>
      </c>
      <c r="C1099" s="9" t="s">
        <v>196</v>
      </c>
      <c r="D1099" s="52">
        <v>46166</v>
      </c>
      <c r="E1099" s="48">
        <v>0.46249999999999997</v>
      </c>
      <c r="F1099" s="48">
        <v>0.46736111111111112</v>
      </c>
      <c r="G1099" s="43">
        <f>(F1099-E1099)*1440</f>
        <v>7.0000000000000551</v>
      </c>
      <c r="H1099" s="9" t="s">
        <v>835</v>
      </c>
      <c r="I1099" s="9" t="s">
        <v>2656</v>
      </c>
      <c r="J1099" s="44">
        <v>2.1800000000000002</v>
      </c>
      <c r="K1099" s="60">
        <v>7.97</v>
      </c>
      <c r="L1099" s="56">
        <v>5.94</v>
      </c>
      <c r="M1099" s="14">
        <f>K1099-L1099</f>
        <v>2.0299999999999994</v>
      </c>
      <c r="N1099" s="15">
        <f>IFERROR(M1099/K1099,0)</f>
        <v>0.25470514429109153</v>
      </c>
      <c r="O1099" s="14">
        <f>IFERROR(L1099/J1099,0)</f>
        <v>2.7247706422018347</v>
      </c>
      <c r="P1099" s="14">
        <f>IFERROR(L1099/G1099,0)</f>
        <v>0.84857142857142198</v>
      </c>
    </row>
    <row r="1100" spans="1:19" x14ac:dyDescent="0.3">
      <c r="A1100" s="9" t="s">
        <v>2699</v>
      </c>
      <c r="B1100" s="9" t="s">
        <v>538</v>
      </c>
      <c r="C1100" s="9" t="s">
        <v>184</v>
      </c>
      <c r="D1100" s="52">
        <v>46167</v>
      </c>
      <c r="E1100" s="48">
        <v>0.84930555555555554</v>
      </c>
      <c r="F1100" s="48">
        <v>0.8652777777777777</v>
      </c>
      <c r="G1100" s="43">
        <f>(F1100-E1100)*1440</f>
        <v>22.999999999999918</v>
      </c>
      <c r="H1100" s="9" t="s">
        <v>214</v>
      </c>
      <c r="I1100" s="9" t="s">
        <v>2800</v>
      </c>
      <c r="J1100" s="44">
        <v>21.33</v>
      </c>
      <c r="K1100" s="60">
        <v>11.93</v>
      </c>
      <c r="L1100" s="56">
        <v>8.58</v>
      </c>
      <c r="M1100" s="14">
        <f>K1100-L1100</f>
        <v>3.3499999999999996</v>
      </c>
      <c r="N1100" s="15">
        <f>IFERROR(M1100/K1100,0)</f>
        <v>0.28080469404861691</v>
      </c>
      <c r="O1100" s="14">
        <f>IFERROR(L1100/J1100,0)</f>
        <v>0.40225035161744027</v>
      </c>
      <c r="P1100" s="14">
        <f>IFERROR(L1100/G1100,0)</f>
        <v>0.37304347826087092</v>
      </c>
    </row>
    <row r="1101" spans="1:19" x14ac:dyDescent="0.3">
      <c r="A1101" s="9" t="s">
        <v>2692</v>
      </c>
      <c r="B1101" s="9" t="s">
        <v>18</v>
      </c>
      <c r="C1101" s="9" t="s">
        <v>184</v>
      </c>
      <c r="D1101" s="52">
        <v>46167</v>
      </c>
      <c r="E1101" s="48">
        <v>0.5444444444444444</v>
      </c>
      <c r="F1101" s="48">
        <v>0.56944444444444442</v>
      </c>
      <c r="G1101" s="43">
        <f>(F1101-E1101)*1440</f>
        <v>36.000000000000028</v>
      </c>
      <c r="H1101" s="9" t="s">
        <v>2793</v>
      </c>
      <c r="I1101" s="9" t="s">
        <v>2794</v>
      </c>
      <c r="J1101" s="44">
        <v>25.14</v>
      </c>
      <c r="K1101" s="60">
        <v>14.94</v>
      </c>
      <c r="L1101" s="56">
        <v>11.91</v>
      </c>
      <c r="M1101" s="14">
        <f>K1101-L1101</f>
        <v>3.0299999999999994</v>
      </c>
      <c r="N1101" s="15">
        <f>IFERROR(M1101/K1101,0)</f>
        <v>0.20281124497991965</v>
      </c>
      <c r="O1101" s="14">
        <f>IFERROR(L1101/J1101,0)</f>
        <v>0.47374701670644392</v>
      </c>
      <c r="P1101" s="14">
        <f>IFERROR(L1101/G1101,0)</f>
        <v>0.33083333333333309</v>
      </c>
    </row>
    <row r="1102" spans="1:19" x14ac:dyDescent="0.3">
      <c r="A1102" s="9" t="s">
        <v>2694</v>
      </c>
      <c r="B1102" s="9" t="s">
        <v>538</v>
      </c>
      <c r="C1102" s="9" t="s">
        <v>196</v>
      </c>
      <c r="D1102" s="52">
        <v>46167</v>
      </c>
      <c r="E1102" s="48">
        <v>0.61875000000000002</v>
      </c>
      <c r="F1102" s="48">
        <v>0.62777777777777777</v>
      </c>
      <c r="G1102" s="43">
        <f>(F1102-E1102)*1440</f>
        <v>12.999999999999954</v>
      </c>
      <c r="H1102" s="9" t="s">
        <v>2796</v>
      </c>
      <c r="I1102" s="9" t="s">
        <v>1773</v>
      </c>
      <c r="J1102" s="44">
        <v>9.91</v>
      </c>
      <c r="K1102" s="60">
        <v>8.98</v>
      </c>
      <c r="L1102" s="56">
        <v>5.87</v>
      </c>
      <c r="M1102" s="14">
        <f>K1102-L1102</f>
        <v>3.1100000000000003</v>
      </c>
      <c r="N1102" s="15">
        <f>IFERROR(M1102/K1102,0)</f>
        <v>0.34632516703786193</v>
      </c>
      <c r="O1102" s="14">
        <f>IFERROR(L1102/J1102,0)</f>
        <v>0.59233097880928354</v>
      </c>
      <c r="P1102" s="14">
        <f>IFERROR(L1102/G1102,0)</f>
        <v>0.45153846153846317</v>
      </c>
    </row>
    <row r="1103" spans="1:19" x14ac:dyDescent="0.3">
      <c r="A1103" s="9" t="s">
        <v>2698</v>
      </c>
      <c r="B1103" s="9" t="s">
        <v>18</v>
      </c>
      <c r="C1103" s="9" t="s">
        <v>184</v>
      </c>
      <c r="D1103" s="52">
        <v>46167</v>
      </c>
      <c r="E1103" s="48">
        <v>0.8340277777777777</v>
      </c>
      <c r="F1103" s="48">
        <v>0.84097222222222223</v>
      </c>
      <c r="G1103" s="43">
        <f>(F1103-E1103)*1440</f>
        <v>10.000000000000124</v>
      </c>
      <c r="H1103" s="9" t="s">
        <v>657</v>
      </c>
      <c r="I1103" s="9" t="s">
        <v>1903</v>
      </c>
      <c r="J1103" s="44">
        <v>7.1</v>
      </c>
      <c r="K1103" s="60">
        <v>4.9400000000000004</v>
      </c>
      <c r="L1103" s="56">
        <v>4.2300000000000004</v>
      </c>
      <c r="M1103" s="14">
        <f>K1103-L1103</f>
        <v>0.71</v>
      </c>
      <c r="N1103" s="15">
        <f>IFERROR(M1103/K1103,0)</f>
        <v>0.14372469635627527</v>
      </c>
      <c r="O1103" s="14">
        <f>IFERROR(L1103/J1103,0)</f>
        <v>0.59577464788732404</v>
      </c>
      <c r="P1103" s="14">
        <f>IFERROR(L1103/G1103,0)</f>
        <v>0.42299999999999477</v>
      </c>
      <c r="S1103" s="61">
        <v>0.5</v>
      </c>
    </row>
    <row r="1104" spans="1:19" x14ac:dyDescent="0.3">
      <c r="A1104" s="9" t="s">
        <v>2686</v>
      </c>
      <c r="B1104" s="9" t="s">
        <v>26</v>
      </c>
      <c r="C1104" s="9" t="s">
        <v>26</v>
      </c>
      <c r="D1104" s="52">
        <v>46167</v>
      </c>
      <c r="E1104" s="48">
        <v>0.67638888888888893</v>
      </c>
      <c r="F1104" s="48">
        <v>0.68819444444444444</v>
      </c>
      <c r="G1104" s="43">
        <f>(F1104-E1104)*1440</f>
        <v>16.99999999999994</v>
      </c>
      <c r="H1104" s="9" t="s">
        <v>214</v>
      </c>
      <c r="I1104" s="9" t="s">
        <v>2787</v>
      </c>
      <c r="J1104" s="44">
        <v>9.3000000000000007</v>
      </c>
      <c r="K1104" s="60">
        <v>6.02</v>
      </c>
      <c r="L1104" s="56">
        <v>6.2</v>
      </c>
      <c r="M1104" s="14">
        <f>K1104-L1104</f>
        <v>-0.1800000000000006</v>
      </c>
      <c r="N1104" s="15">
        <f>IFERROR(M1104/K1104,0)</f>
        <v>-2.9900332225913723E-2</v>
      </c>
      <c r="O1104" s="14">
        <f>IFERROR(L1104/J1104,0)</f>
        <v>0.66666666666666663</v>
      </c>
      <c r="P1104" s="14">
        <f>IFERROR(L1104/G1104,0)</f>
        <v>0.36470588235294249</v>
      </c>
    </row>
    <row r="1105" spans="1:19" x14ac:dyDescent="0.3">
      <c r="A1105" s="9" t="s">
        <v>2688</v>
      </c>
      <c r="B1105" s="9" t="s">
        <v>26</v>
      </c>
      <c r="C1105" s="9" t="s">
        <v>26</v>
      </c>
      <c r="D1105" s="52">
        <v>46167</v>
      </c>
      <c r="E1105" s="48">
        <v>0.69861111111111107</v>
      </c>
      <c r="F1105" s="48">
        <v>0.70833333333333337</v>
      </c>
      <c r="G1105" s="43">
        <f>(F1105-E1105)*1440</f>
        <v>14.00000000000011</v>
      </c>
      <c r="H1105" s="9" t="s">
        <v>558</v>
      </c>
      <c r="I1105" s="9" t="s">
        <v>2790</v>
      </c>
      <c r="J1105" s="44">
        <v>7.5</v>
      </c>
      <c r="K1105" s="60">
        <v>7.06</v>
      </c>
      <c r="L1105" s="56">
        <v>5.29</v>
      </c>
      <c r="M1105" s="14">
        <f>K1105-L1105</f>
        <v>1.7699999999999996</v>
      </c>
      <c r="N1105" s="15">
        <f>IFERROR(M1105/K1105,0)</f>
        <v>0.25070821529745035</v>
      </c>
      <c r="O1105" s="14">
        <f>IFERROR(L1105/J1105,0)</f>
        <v>0.70533333333333337</v>
      </c>
      <c r="P1105" s="14">
        <f>IFERROR(L1105/G1105,0)</f>
        <v>0.37785714285713989</v>
      </c>
    </row>
    <row r="1106" spans="1:19" x14ac:dyDescent="0.3">
      <c r="A1106" s="9" t="s">
        <v>2462</v>
      </c>
      <c r="B1106" s="9" t="s">
        <v>26</v>
      </c>
      <c r="C1106" s="9" t="s">
        <v>26</v>
      </c>
      <c r="D1106" s="52">
        <v>46167</v>
      </c>
      <c r="E1106" s="48">
        <v>0.6069444444444444</v>
      </c>
      <c r="F1106" s="48">
        <v>0.61527777777777781</v>
      </c>
      <c r="G1106" s="43">
        <f>(F1106-E1106)*1440</f>
        <v>12.000000000000117</v>
      </c>
      <c r="H1106" s="9" t="s">
        <v>2682</v>
      </c>
      <c r="I1106" s="9" t="s">
        <v>2683</v>
      </c>
      <c r="J1106" s="44">
        <v>7.2</v>
      </c>
      <c r="K1106" s="60">
        <v>5.46</v>
      </c>
      <c r="L1106" s="56">
        <v>5.1100000000000003</v>
      </c>
      <c r="M1106" s="14">
        <f>K1106-L1106</f>
        <v>0.34999999999999964</v>
      </c>
      <c r="N1106" s="15">
        <f>IFERROR(M1106/K1106,0)</f>
        <v>6.4102564102564041E-2</v>
      </c>
      <c r="O1106" s="14">
        <f>IFERROR(L1106/J1106,0)</f>
        <v>0.70972222222222225</v>
      </c>
      <c r="P1106" s="14">
        <f>IFERROR(L1106/G1106,0)</f>
        <v>0.42583333333332918</v>
      </c>
      <c r="R1106" s="57">
        <v>0.62</v>
      </c>
    </row>
    <row r="1107" spans="1:19" x14ac:dyDescent="0.3">
      <c r="A1107" s="9" t="s">
        <v>2691</v>
      </c>
      <c r="B1107" s="9" t="s">
        <v>26</v>
      </c>
      <c r="C1107" s="9" t="s">
        <v>26</v>
      </c>
      <c r="D1107" s="52">
        <v>46167</v>
      </c>
      <c r="E1107" s="48">
        <v>0.81736111111111109</v>
      </c>
      <c r="F1107" s="48">
        <v>0.82847222222222217</v>
      </c>
      <c r="G1107" s="43">
        <f>(F1107-E1107)*1440</f>
        <v>15.999999999999943</v>
      </c>
      <c r="H1107" s="9" t="s">
        <v>854</v>
      </c>
      <c r="I1107" s="9" t="s">
        <v>2792</v>
      </c>
      <c r="J1107" s="44">
        <v>6.8</v>
      </c>
      <c r="K1107" s="60">
        <v>5.66</v>
      </c>
      <c r="L1107" s="56">
        <v>5.31</v>
      </c>
      <c r="M1107" s="14">
        <f>K1107-L1107</f>
        <v>0.35000000000000053</v>
      </c>
      <c r="N1107" s="15">
        <f>IFERROR(M1107/K1107,0)</f>
        <v>6.1837455830388785E-2</v>
      </c>
      <c r="O1107" s="14">
        <f>IFERROR(L1107/J1107,0)</f>
        <v>0.78088235294117647</v>
      </c>
      <c r="P1107" s="14">
        <f>IFERROR(L1107/G1107,0)</f>
        <v>0.33187500000000114</v>
      </c>
    </row>
    <row r="1108" spans="1:19" x14ac:dyDescent="0.3">
      <c r="A1108" s="9" t="s">
        <v>2689</v>
      </c>
      <c r="B1108" s="9" t="s">
        <v>26</v>
      </c>
      <c r="C1108" s="9" t="s">
        <v>26</v>
      </c>
      <c r="D1108" s="52">
        <v>46167</v>
      </c>
      <c r="E1108" s="48">
        <v>0.72499999999999998</v>
      </c>
      <c r="F1108" s="48">
        <v>0.74375000000000002</v>
      </c>
      <c r="G1108" s="43">
        <f>(F1108-E1108)*1440</f>
        <v>27.000000000000064</v>
      </c>
      <c r="H1108" s="9" t="s">
        <v>214</v>
      </c>
      <c r="I1108" s="9" t="s">
        <v>2791</v>
      </c>
      <c r="J1108" s="44">
        <v>10.7</v>
      </c>
      <c r="K1108" s="60">
        <v>11.87</v>
      </c>
      <c r="L1108" s="56">
        <v>8.9</v>
      </c>
      <c r="M1108" s="14">
        <f>K1108-L1108</f>
        <v>2.9699999999999989</v>
      </c>
      <c r="N1108" s="15">
        <f>IFERROR(M1108/K1108,0)</f>
        <v>0.25021061499578762</v>
      </c>
      <c r="O1108" s="14">
        <f>IFERROR(L1108/J1108,0)</f>
        <v>0.83177570093457953</v>
      </c>
      <c r="P1108" s="14">
        <f>IFERROR(L1108/G1108,0)</f>
        <v>0.32962962962962888</v>
      </c>
    </row>
    <row r="1109" spans="1:19" x14ac:dyDescent="0.3">
      <c r="A1109" s="9" t="s">
        <v>2690</v>
      </c>
      <c r="B1109" s="9" t="s">
        <v>26</v>
      </c>
      <c r="C1109" s="9" t="s">
        <v>26</v>
      </c>
      <c r="D1109" s="52">
        <v>46167</v>
      </c>
      <c r="E1109" s="48">
        <v>0.79027777777777775</v>
      </c>
      <c r="F1109" s="48">
        <v>0.7993055555555556</v>
      </c>
      <c r="G1109" s="43">
        <f>(F1109-E1109)*1440</f>
        <v>13.000000000000114</v>
      </c>
      <c r="H1109" s="9" t="s">
        <v>2167</v>
      </c>
      <c r="I1109" s="9" t="s">
        <v>775</v>
      </c>
      <c r="J1109" s="44">
        <v>4.5999999999999996</v>
      </c>
      <c r="K1109" s="60">
        <v>5.29</v>
      </c>
      <c r="L1109" s="56">
        <v>3.97</v>
      </c>
      <c r="M1109" s="14">
        <f>K1109-L1109</f>
        <v>1.3199999999999998</v>
      </c>
      <c r="N1109" s="15">
        <f>IFERROR(M1109/K1109,0)</f>
        <v>0.24952741020793948</v>
      </c>
      <c r="O1109" s="14">
        <f>IFERROR(L1109/J1109,0)</f>
        <v>0.86304347826086969</v>
      </c>
      <c r="P1109" s="14">
        <f>IFERROR(L1109/G1109,0)</f>
        <v>0.30538461538461276</v>
      </c>
    </row>
    <row r="1110" spans="1:19" x14ac:dyDescent="0.3">
      <c r="A1110" s="9" t="s">
        <v>2685</v>
      </c>
      <c r="B1110" s="9" t="s">
        <v>26</v>
      </c>
      <c r="C1110" s="9" t="s">
        <v>26</v>
      </c>
      <c r="D1110" s="52">
        <v>46167</v>
      </c>
      <c r="E1110" s="48">
        <v>0.6645833333333333</v>
      </c>
      <c r="F1110" s="48">
        <v>0.67638888888888893</v>
      </c>
      <c r="G1110" s="43">
        <f>(F1110-E1110)*1440</f>
        <v>17.000000000000099</v>
      </c>
      <c r="H1110" s="9" t="s">
        <v>2786</v>
      </c>
      <c r="I1110" s="9" t="s">
        <v>214</v>
      </c>
      <c r="J1110" s="44">
        <v>8.6999999999999993</v>
      </c>
      <c r="K1110" s="60">
        <v>10.01</v>
      </c>
      <c r="L1110" s="56">
        <v>7.51</v>
      </c>
      <c r="M1110" s="14">
        <f>K1110-L1110</f>
        <v>2.5</v>
      </c>
      <c r="N1110" s="15">
        <f>IFERROR(M1110/K1110,0)</f>
        <v>0.24975024975024976</v>
      </c>
      <c r="O1110" s="14">
        <f>IFERROR(L1110/J1110,0)</f>
        <v>0.86321839080459772</v>
      </c>
      <c r="P1110" s="14">
        <f>IFERROR(L1110/G1110,0)</f>
        <v>0.44176470588235034</v>
      </c>
      <c r="R1110" s="57">
        <v>2.77</v>
      </c>
    </row>
    <row r="1111" spans="1:19" x14ac:dyDescent="0.3">
      <c r="A1111" s="9" t="s">
        <v>2696</v>
      </c>
      <c r="B1111" s="9" t="s">
        <v>538</v>
      </c>
      <c r="C1111" s="9" t="s">
        <v>196</v>
      </c>
      <c r="D1111" s="52">
        <v>46167</v>
      </c>
      <c r="E1111" s="48">
        <v>0.74375000000000002</v>
      </c>
      <c r="F1111" s="48">
        <v>0.76736111111111116</v>
      </c>
      <c r="G1111" s="43">
        <f>(F1111-E1111)*1440</f>
        <v>34.000000000000043</v>
      </c>
      <c r="H1111" s="9" t="s">
        <v>837</v>
      </c>
      <c r="I1111" s="9" t="s">
        <v>2798</v>
      </c>
      <c r="J1111" s="44">
        <v>15.18</v>
      </c>
      <c r="K1111" s="60">
        <v>15.97</v>
      </c>
      <c r="L1111" s="56">
        <v>13.17</v>
      </c>
      <c r="M1111" s="14">
        <f>K1111-L1111</f>
        <v>2.8000000000000007</v>
      </c>
      <c r="N1111" s="15">
        <f>IFERROR(M1111/K1111,0)</f>
        <v>0.17532874139010649</v>
      </c>
      <c r="O1111" s="14">
        <f>IFERROR(L1111/J1111,0)</f>
        <v>0.8675889328063241</v>
      </c>
      <c r="P1111" s="14">
        <f>IFERROR(L1111/G1111,0)</f>
        <v>0.38735294117647012</v>
      </c>
      <c r="S1111" s="61">
        <v>1</v>
      </c>
    </row>
    <row r="1112" spans="1:19" x14ac:dyDescent="0.3">
      <c r="A1112" s="9" t="s">
        <v>2697</v>
      </c>
      <c r="B1112" s="9" t="s">
        <v>538</v>
      </c>
      <c r="C1112" s="9" t="s">
        <v>824</v>
      </c>
      <c r="D1112" s="52">
        <v>46167</v>
      </c>
      <c r="E1112" s="48">
        <v>0.77847222222222223</v>
      </c>
      <c r="F1112" s="48">
        <v>0.78541666666666676</v>
      </c>
      <c r="G1112" s="43">
        <f>(F1112-E1112)*1440</f>
        <v>10.000000000000124</v>
      </c>
      <c r="H1112" s="9" t="s">
        <v>2799</v>
      </c>
      <c r="I1112" s="9" t="s">
        <v>860</v>
      </c>
      <c r="J1112" s="44">
        <v>4.21</v>
      </c>
      <c r="K1112" s="60">
        <v>4.9400000000000004</v>
      </c>
      <c r="L1112" s="56">
        <v>3.84</v>
      </c>
      <c r="M1112" s="14">
        <f>K1112-L1112</f>
        <v>1.1000000000000005</v>
      </c>
      <c r="N1112" s="15">
        <f>IFERROR(M1112/K1112,0)</f>
        <v>0.22267206477732804</v>
      </c>
      <c r="O1112" s="14">
        <f>IFERROR(L1112/J1112,0)</f>
        <v>0.9121140142517814</v>
      </c>
      <c r="P1112" s="14">
        <f>IFERROR(L1112/G1112,0)</f>
        <v>0.38399999999999523</v>
      </c>
    </row>
    <row r="1113" spans="1:19" x14ac:dyDescent="0.3">
      <c r="A1113" s="9" t="s">
        <v>2687</v>
      </c>
      <c r="B1113" s="9" t="s">
        <v>26</v>
      </c>
      <c r="C1113" s="9" t="s">
        <v>2788</v>
      </c>
      <c r="D1113" s="52">
        <v>46167</v>
      </c>
      <c r="E1113" s="48">
        <v>0.69166666666666676</v>
      </c>
      <c r="F1113" s="48">
        <v>0.6972222222222223</v>
      </c>
      <c r="G1113" s="43">
        <f>(F1113-E1113)*1440</f>
        <v>7.9999999999999716</v>
      </c>
      <c r="H1113" s="9" t="s">
        <v>2789</v>
      </c>
      <c r="I1113" s="9" t="s">
        <v>720</v>
      </c>
      <c r="J1113" s="44">
        <v>4.9000000000000004</v>
      </c>
      <c r="K1113" s="60">
        <v>6.84</v>
      </c>
      <c r="L1113" s="56">
        <v>5.13</v>
      </c>
      <c r="M1113" s="14">
        <f>K1113-L1113</f>
        <v>1.71</v>
      </c>
      <c r="N1113" s="15">
        <f>IFERROR(M1113/K1113,0)</f>
        <v>0.25</v>
      </c>
      <c r="O1113" s="14">
        <f>IFERROR(L1113/J1113,0)</f>
        <v>1.046938775510204</v>
      </c>
      <c r="P1113" s="14">
        <f>IFERROR(L1113/G1113,0)</f>
        <v>0.64125000000000232</v>
      </c>
    </row>
    <row r="1114" spans="1:19" x14ac:dyDescent="0.3">
      <c r="A1114" s="9" t="s">
        <v>2461</v>
      </c>
      <c r="B1114" s="9" t="s">
        <v>26</v>
      </c>
      <c r="C1114" s="9" t="s">
        <v>26</v>
      </c>
      <c r="D1114" s="52">
        <v>46167</v>
      </c>
      <c r="E1114" s="48">
        <v>0.57916666666666672</v>
      </c>
      <c r="F1114" s="48">
        <v>0.59583333333333333</v>
      </c>
      <c r="G1114" s="43">
        <f>(F1114-E1114)*1440</f>
        <v>23.999999999999915</v>
      </c>
      <c r="H1114" s="9" t="s">
        <v>2681</v>
      </c>
      <c r="I1114" s="9" t="s">
        <v>1998</v>
      </c>
      <c r="J1114" s="44">
        <v>7.6</v>
      </c>
      <c r="K1114" s="60">
        <v>9.67</v>
      </c>
      <c r="L1114" s="56">
        <v>7.98</v>
      </c>
      <c r="M1114" s="14">
        <f>K1114-L1114</f>
        <v>1.6899999999999995</v>
      </c>
      <c r="N1114" s="15">
        <f>IFERROR(M1114/K1114,0)</f>
        <v>0.17476732161323677</v>
      </c>
      <c r="O1114" s="14">
        <f>IFERROR(L1114/J1114,0)</f>
        <v>1.05</v>
      </c>
      <c r="P1114" s="14">
        <f>IFERROR(L1114/G1114,0)</f>
        <v>0.33250000000000118</v>
      </c>
      <c r="R1114" s="57">
        <v>2.23</v>
      </c>
    </row>
    <row r="1115" spans="1:19" x14ac:dyDescent="0.3">
      <c r="A1115" s="9" t="s">
        <v>2693</v>
      </c>
      <c r="B1115" s="9" t="s">
        <v>538</v>
      </c>
      <c r="C1115" s="9" t="s">
        <v>196</v>
      </c>
      <c r="D1115" s="52">
        <v>46167</v>
      </c>
      <c r="E1115" s="48">
        <v>0.58958333333333335</v>
      </c>
      <c r="F1115" s="48">
        <v>0.59513888888888888</v>
      </c>
      <c r="G1115" s="43">
        <f>(F1115-E1115)*1440</f>
        <v>7.9999999999999716</v>
      </c>
      <c r="H1115" s="9" t="s">
        <v>2795</v>
      </c>
      <c r="I1115" s="9" t="s">
        <v>1269</v>
      </c>
      <c r="J1115" s="44">
        <v>2.89</v>
      </c>
      <c r="K1115" s="60">
        <v>4.9800000000000004</v>
      </c>
      <c r="L1115" s="56">
        <v>3.67</v>
      </c>
      <c r="M1115" s="14">
        <f>K1115-L1115</f>
        <v>1.3100000000000005</v>
      </c>
      <c r="N1115" s="15">
        <f>IFERROR(M1115/K1115,0)</f>
        <v>0.26305220883534142</v>
      </c>
      <c r="O1115" s="14">
        <f>IFERROR(L1115/J1115,0)</f>
        <v>1.2698961937716262</v>
      </c>
      <c r="P1115" s="14">
        <f>IFERROR(L1115/G1115,0)</f>
        <v>0.4587500000000016</v>
      </c>
    </row>
    <row r="1116" spans="1:19" x14ac:dyDescent="0.3">
      <c r="A1116" s="9" t="s">
        <v>2695</v>
      </c>
      <c r="B1116" s="9" t="s">
        <v>538</v>
      </c>
      <c r="C1116" s="9" t="s">
        <v>196</v>
      </c>
      <c r="D1116" s="52">
        <v>46167</v>
      </c>
      <c r="E1116" s="48">
        <v>0.7090277777777777</v>
      </c>
      <c r="F1116" s="48">
        <v>0.71875</v>
      </c>
      <c r="G1116" s="43">
        <f>(F1116-E1116)*1440</f>
        <v>14.00000000000011</v>
      </c>
      <c r="H1116" s="9" t="s">
        <v>2797</v>
      </c>
      <c r="I1116" s="9" t="s">
        <v>214</v>
      </c>
      <c r="J1116" s="44">
        <v>4.54</v>
      </c>
      <c r="K1116" s="60">
        <v>5.98</v>
      </c>
      <c r="L1116" s="56">
        <v>5.77</v>
      </c>
      <c r="M1116" s="14">
        <f>K1116-L1116</f>
        <v>0.21000000000000085</v>
      </c>
      <c r="N1116" s="15">
        <f>IFERROR(M1116/K1116,0)</f>
        <v>3.5117056856187434E-2</v>
      </c>
      <c r="O1116" s="14">
        <f>IFERROR(L1116/J1116,0)</f>
        <v>1.2709251101321586</v>
      </c>
      <c r="P1116" s="14">
        <f>IFERROR(L1116/G1116,0)</f>
        <v>0.41214285714285387</v>
      </c>
    </row>
    <row r="1117" spans="1:19" x14ac:dyDescent="0.3">
      <c r="A1117" s="9" t="s">
        <v>2684</v>
      </c>
      <c r="B1117" s="9" t="s">
        <v>26</v>
      </c>
      <c r="C1117" s="9" t="s">
        <v>27</v>
      </c>
      <c r="D1117" s="52">
        <v>46167</v>
      </c>
      <c r="E1117" s="48">
        <v>0.65347222222222223</v>
      </c>
      <c r="F1117" s="48">
        <v>0.65833333333333333</v>
      </c>
      <c r="G1117" s="43">
        <f>(F1117-E1117)*1440</f>
        <v>6.9999999999999751</v>
      </c>
      <c r="H1117" s="9" t="s">
        <v>2784</v>
      </c>
      <c r="I1117" s="9" t="s">
        <v>2785</v>
      </c>
      <c r="J1117" s="44">
        <v>2.9</v>
      </c>
      <c r="K1117" s="60">
        <v>4.62</v>
      </c>
      <c r="L1117" s="56">
        <v>3.81</v>
      </c>
      <c r="M1117" s="14">
        <f>K1117-L1117</f>
        <v>0.81</v>
      </c>
      <c r="N1117" s="15">
        <f>IFERROR(M1117/K1117,0)</f>
        <v>0.17532467532467533</v>
      </c>
      <c r="O1117" s="14">
        <f>IFERROR(L1117/J1117,0)</f>
        <v>1.3137931034482759</v>
      </c>
      <c r="P1117" s="14">
        <f>IFERROR(L1117/G1117,0)</f>
        <v>0.54428571428571626</v>
      </c>
      <c r="R1117" s="57">
        <v>0.77</v>
      </c>
    </row>
    <row r="1118" spans="1:19" x14ac:dyDescent="0.3">
      <c r="A1118" s="9" t="s">
        <v>2711</v>
      </c>
      <c r="B1118" s="9" t="s">
        <v>26</v>
      </c>
      <c r="C1118" s="9" t="s">
        <v>27</v>
      </c>
      <c r="D1118" s="52">
        <v>46168</v>
      </c>
      <c r="E1118" s="48">
        <v>0.54861111111111105</v>
      </c>
      <c r="F1118" s="48">
        <v>0.56666666666666665</v>
      </c>
      <c r="G1118" s="43">
        <f>(F1118-E1118)*1440</f>
        <v>26.000000000000068</v>
      </c>
      <c r="H1118" s="9" t="s">
        <v>1136</v>
      </c>
      <c r="I1118" s="9" t="s">
        <v>2810</v>
      </c>
      <c r="J1118" s="44">
        <v>22.1</v>
      </c>
      <c r="K1118" s="60">
        <v>12.81</v>
      </c>
      <c r="L1118" s="56">
        <v>9.61</v>
      </c>
      <c r="M1118" s="14">
        <f>K1118-L1118</f>
        <v>3.2000000000000011</v>
      </c>
      <c r="N1118" s="15">
        <f>IFERROR(M1118/K1118,0)</f>
        <v>0.24980483996877448</v>
      </c>
      <c r="O1118" s="14">
        <f>IFERROR(L1118/J1118,0)</f>
        <v>0.43484162895927597</v>
      </c>
      <c r="P1118" s="14">
        <f>IFERROR(L1118/G1118,0)</f>
        <v>0.36961538461538362</v>
      </c>
    </row>
    <row r="1119" spans="1:19" x14ac:dyDescent="0.3">
      <c r="A1119" s="9" t="s">
        <v>2705</v>
      </c>
      <c r="B1119" s="9" t="s">
        <v>538</v>
      </c>
      <c r="C1119" s="9" t="s">
        <v>184</v>
      </c>
      <c r="D1119" s="52">
        <v>46168</v>
      </c>
      <c r="E1119" s="48">
        <v>0.66319444444444442</v>
      </c>
      <c r="F1119" s="48">
        <v>0.67847222222222225</v>
      </c>
      <c r="G1119" s="43">
        <f>(F1119-E1119)*1440</f>
        <v>22.000000000000082</v>
      </c>
      <c r="H1119" s="9" t="s">
        <v>766</v>
      </c>
      <c r="I1119" s="9" t="s">
        <v>854</v>
      </c>
      <c r="J1119" s="44">
        <v>14.79</v>
      </c>
      <c r="K1119" s="60">
        <v>9.9499999999999993</v>
      </c>
      <c r="L1119" s="56">
        <v>7.48</v>
      </c>
      <c r="M1119" s="14">
        <f>K1119-L1119</f>
        <v>2.4699999999999989</v>
      </c>
      <c r="N1119" s="15">
        <f>IFERROR(M1119/K1119,0)</f>
        <v>0.24824120603015065</v>
      </c>
      <c r="O1119" s="14">
        <f>IFERROR(L1119/J1119,0)</f>
        <v>0.50574712643678166</v>
      </c>
      <c r="P1119" s="14">
        <f>IFERROR(L1119/G1119,0)</f>
        <v>0.33999999999999875</v>
      </c>
    </row>
    <row r="1120" spans="1:19" x14ac:dyDescent="0.3">
      <c r="A1120" s="9" t="s">
        <v>2713</v>
      </c>
      <c r="B1120" s="9" t="s">
        <v>26</v>
      </c>
      <c r="C1120" s="9" t="s">
        <v>26</v>
      </c>
      <c r="D1120" s="52">
        <v>46168</v>
      </c>
      <c r="E1120" s="48">
        <v>0.65</v>
      </c>
      <c r="F1120" s="48">
        <v>0.66319444444444442</v>
      </c>
      <c r="G1120" s="43">
        <f>(F1120-E1120)*1440</f>
        <v>18.999999999999932</v>
      </c>
      <c r="H1120" s="9" t="s">
        <v>2813</v>
      </c>
      <c r="I1120" s="9" t="s">
        <v>2814</v>
      </c>
      <c r="J1120" s="44">
        <v>7.9</v>
      </c>
      <c r="K1120" s="60">
        <v>5.55</v>
      </c>
      <c r="L1120" s="56">
        <v>4.16</v>
      </c>
      <c r="M1120" s="14">
        <f>K1120-L1120</f>
        <v>1.3899999999999997</v>
      </c>
      <c r="N1120" s="15">
        <f>IFERROR(M1120/K1120,0)</f>
        <v>0.25045045045045039</v>
      </c>
      <c r="O1120" s="14">
        <f>IFERROR(L1120/J1120,0)</f>
        <v>0.52658227848101269</v>
      </c>
      <c r="P1120" s="14">
        <f>IFERROR(L1120/G1120,0)</f>
        <v>0.21894736842105342</v>
      </c>
    </row>
    <row r="1121" spans="1:19" x14ac:dyDescent="0.3">
      <c r="A1121" s="9" t="s">
        <v>2710</v>
      </c>
      <c r="B1121" s="9" t="s">
        <v>18</v>
      </c>
      <c r="C1121" s="9" t="s">
        <v>196</v>
      </c>
      <c r="D1121" s="52">
        <v>46168</v>
      </c>
      <c r="E1121" s="48">
        <v>0.8618055555555556</v>
      </c>
      <c r="F1121" s="48">
        <v>0.87291666666666667</v>
      </c>
      <c r="G1121" s="43">
        <f>(F1121-E1121)*1440</f>
        <v>15.999999999999943</v>
      </c>
      <c r="H1121" s="9" t="s">
        <v>604</v>
      </c>
      <c r="I1121" s="9" t="s">
        <v>2809</v>
      </c>
      <c r="J1121" s="44">
        <v>11.96</v>
      </c>
      <c r="K1121" s="60">
        <v>9.99</v>
      </c>
      <c r="L1121" s="56">
        <v>6.49</v>
      </c>
      <c r="M1121" s="14">
        <f>K1121-L1121</f>
        <v>3.5</v>
      </c>
      <c r="N1121" s="15">
        <f>IFERROR(M1121/K1121,0)</f>
        <v>0.35035035035035034</v>
      </c>
      <c r="O1121" s="14">
        <f>IFERROR(L1121/J1121,0)</f>
        <v>0.54264214046822745</v>
      </c>
      <c r="P1121" s="14">
        <f>IFERROR(L1121/G1121,0)</f>
        <v>0.40562500000000146</v>
      </c>
    </row>
    <row r="1122" spans="1:19" x14ac:dyDescent="0.3">
      <c r="A1122" s="9" t="s">
        <v>2715</v>
      </c>
      <c r="B1122" s="9" t="s">
        <v>26</v>
      </c>
      <c r="C1122" s="9" t="s">
        <v>27</v>
      </c>
      <c r="D1122" s="52">
        <v>46168</v>
      </c>
      <c r="E1122" s="48">
        <v>0.84166666666666667</v>
      </c>
      <c r="F1122" s="48">
        <v>0.85486111111111107</v>
      </c>
      <c r="G1122" s="43">
        <f>(F1122-E1122)*1440</f>
        <v>18.999999999999932</v>
      </c>
      <c r="H1122" s="9" t="s">
        <v>2624</v>
      </c>
      <c r="I1122" s="9" t="s">
        <v>2815</v>
      </c>
      <c r="J1122" s="44">
        <v>14.4</v>
      </c>
      <c r="K1122" s="60">
        <v>10.56</v>
      </c>
      <c r="L1122" s="56">
        <v>7.92</v>
      </c>
      <c r="M1122" s="14">
        <f>K1122-L1122</f>
        <v>2.6400000000000006</v>
      </c>
      <c r="N1122" s="15">
        <f>IFERROR(M1122/K1122,0)</f>
        <v>0.25000000000000006</v>
      </c>
      <c r="O1122" s="14">
        <f>IFERROR(L1122/J1122,0)</f>
        <v>0.54999999999999993</v>
      </c>
      <c r="P1122" s="14">
        <f>IFERROR(L1122/G1122,0)</f>
        <v>0.41684210526315935</v>
      </c>
    </row>
    <row r="1123" spans="1:19" x14ac:dyDescent="0.3">
      <c r="A1123" s="9" t="s">
        <v>2703</v>
      </c>
      <c r="B1123" s="9" t="s">
        <v>538</v>
      </c>
      <c r="C1123" s="9" t="s">
        <v>184</v>
      </c>
      <c r="D1123" s="52">
        <v>46168</v>
      </c>
      <c r="E1123" s="48">
        <v>0.58958333333333335</v>
      </c>
      <c r="F1123" s="48">
        <v>0.60069444444444442</v>
      </c>
      <c r="G1123" s="43">
        <f>(F1123-E1123)*1440</f>
        <v>15.999999999999943</v>
      </c>
      <c r="H1123" s="9" t="s">
        <v>214</v>
      </c>
      <c r="I1123" s="9" t="s">
        <v>1331</v>
      </c>
      <c r="J1123" s="44">
        <v>9.16</v>
      </c>
      <c r="K1123" s="60">
        <v>6.95</v>
      </c>
      <c r="L1123" s="56">
        <v>5.09</v>
      </c>
      <c r="M1123" s="14">
        <f>K1123-L1123</f>
        <v>1.8600000000000003</v>
      </c>
      <c r="N1123" s="15">
        <f>IFERROR(M1123/K1123,0)</f>
        <v>0.26762589928057556</v>
      </c>
      <c r="O1123" s="14">
        <f>IFERROR(L1123/J1123,0)</f>
        <v>0.55567685589519644</v>
      </c>
      <c r="P1123" s="14">
        <f>IFERROR(L1123/G1123,0)</f>
        <v>0.3181250000000011</v>
      </c>
    </row>
    <row r="1124" spans="1:19" x14ac:dyDescent="0.3">
      <c r="A1124" s="9" t="s">
        <v>2704</v>
      </c>
      <c r="B1124" s="9" t="s">
        <v>538</v>
      </c>
      <c r="C1124" s="9" t="s">
        <v>230</v>
      </c>
      <c r="D1124" s="52">
        <v>46168</v>
      </c>
      <c r="E1124" s="48">
        <v>0.60486111111111118</v>
      </c>
      <c r="F1124" s="48">
        <v>0.62083333333333335</v>
      </c>
      <c r="G1124" s="43">
        <f>(F1124-E1124)*1440</f>
        <v>22.999999999999918</v>
      </c>
      <c r="H1124" s="9" t="s">
        <v>1757</v>
      </c>
      <c r="I1124" s="9" t="s">
        <v>2806</v>
      </c>
      <c r="J1124" s="44">
        <v>23.06</v>
      </c>
      <c r="K1124" s="60">
        <v>18.510000000000002</v>
      </c>
      <c r="L1124" s="56">
        <v>15.21</v>
      </c>
      <c r="M1124" s="14">
        <f>K1124-L1124</f>
        <v>3.3000000000000007</v>
      </c>
      <c r="N1124" s="15">
        <f>IFERROR(M1124/K1124,0)</f>
        <v>0.17828200972447328</v>
      </c>
      <c r="O1124" s="14">
        <f>IFERROR(L1124/J1124,0)</f>
        <v>0.65958369470945366</v>
      </c>
      <c r="P1124" s="14">
        <f>IFERROR(L1124/G1124,0)</f>
        <v>0.66130434782608938</v>
      </c>
      <c r="Q1124" s="64">
        <v>1.6</v>
      </c>
    </row>
    <row r="1125" spans="1:19" x14ac:dyDescent="0.3">
      <c r="A1125" s="9" t="s">
        <v>2709</v>
      </c>
      <c r="B1125" s="9" t="s">
        <v>538</v>
      </c>
      <c r="C1125" s="9" t="s">
        <v>184</v>
      </c>
      <c r="D1125" s="52">
        <v>46168</v>
      </c>
      <c r="E1125" s="48">
        <v>0.78611111111111109</v>
      </c>
      <c r="F1125" s="48">
        <v>0.80347222222222225</v>
      </c>
      <c r="G1125" s="43">
        <f>(F1125-E1125)*1440</f>
        <v>25.000000000000071</v>
      </c>
      <c r="H1125" s="9" t="s">
        <v>2808</v>
      </c>
      <c r="I1125" s="9" t="s">
        <v>2623</v>
      </c>
      <c r="J1125" s="44">
        <v>9.19</v>
      </c>
      <c r="K1125" s="60">
        <v>9.93</v>
      </c>
      <c r="L1125" s="56">
        <v>8.85</v>
      </c>
      <c r="M1125" s="14">
        <f>K1125-L1125</f>
        <v>1.08</v>
      </c>
      <c r="N1125" s="15">
        <f>IFERROR(M1125/K1125,0)</f>
        <v>0.10876132930513596</v>
      </c>
      <c r="O1125" s="14">
        <f>IFERROR(L1125/J1125,0)</f>
        <v>0.96300326441784545</v>
      </c>
      <c r="P1125" s="14">
        <f>IFERROR(L1125/G1125,0)</f>
        <v>0.35399999999999898</v>
      </c>
    </row>
    <row r="1126" spans="1:19" x14ac:dyDescent="0.3">
      <c r="A1126" s="9" t="s">
        <v>2712</v>
      </c>
      <c r="B1126" s="9" t="s">
        <v>26</v>
      </c>
      <c r="C1126" s="9" t="s">
        <v>26</v>
      </c>
      <c r="D1126" s="52">
        <v>46168</v>
      </c>
      <c r="E1126" s="48">
        <v>0.63124999999999998</v>
      </c>
      <c r="F1126" s="48">
        <v>0.63611111111111118</v>
      </c>
      <c r="G1126" s="43">
        <f>(F1126-E1126)*1440</f>
        <v>7.000000000000135</v>
      </c>
      <c r="H1126" s="9" t="s">
        <v>2811</v>
      </c>
      <c r="I1126" s="9" t="s">
        <v>2812</v>
      </c>
      <c r="J1126" s="44">
        <v>2.4</v>
      </c>
      <c r="K1126" s="60">
        <v>3.08</v>
      </c>
      <c r="L1126" s="56">
        <v>3.3</v>
      </c>
      <c r="M1126" s="14">
        <f>K1126-L1126</f>
        <v>-0.21999999999999975</v>
      </c>
      <c r="N1126" s="15">
        <f>IFERROR(M1126/K1126,0)</f>
        <v>-7.1428571428571341E-2</v>
      </c>
      <c r="O1126" s="14">
        <f>IFERROR(L1126/J1126,0)</f>
        <v>1.375</v>
      </c>
      <c r="P1126" s="14">
        <f>IFERROR(L1126/G1126,0)</f>
        <v>0.47142857142856232</v>
      </c>
    </row>
    <row r="1127" spans="1:19" x14ac:dyDescent="0.3">
      <c r="A1127" s="9" t="s">
        <v>2707</v>
      </c>
      <c r="B1127" s="9" t="s">
        <v>538</v>
      </c>
      <c r="C1127" s="9" t="s">
        <v>184</v>
      </c>
      <c r="D1127" s="52">
        <v>46168</v>
      </c>
      <c r="E1127" s="48">
        <v>0.72083333333333333</v>
      </c>
      <c r="F1127" s="48">
        <v>0.7416666666666667</v>
      </c>
      <c r="G1127" s="43">
        <f>(F1127-E1127)*1440</f>
        <v>30.000000000000053</v>
      </c>
      <c r="H1127" s="9" t="s">
        <v>235</v>
      </c>
      <c r="I1127" s="9" t="s">
        <v>604</v>
      </c>
      <c r="J1127" s="44">
        <v>9.48</v>
      </c>
      <c r="K1127" s="60">
        <v>18.95</v>
      </c>
      <c r="L1127" s="56">
        <v>13.73</v>
      </c>
      <c r="M1127" s="14">
        <f>K1127-L1127</f>
        <v>5.2199999999999989</v>
      </c>
      <c r="N1127" s="15">
        <f>IFERROR(M1127/K1127,0)</f>
        <v>0.27546174142480206</v>
      </c>
      <c r="O1127" s="14">
        <f>IFERROR(L1127/J1127,0)</f>
        <v>1.4483122362869199</v>
      </c>
      <c r="P1127" s="14">
        <f>IFERROR(L1127/G1127,0)</f>
        <v>0.45766666666666589</v>
      </c>
    </row>
    <row r="1128" spans="1:19" x14ac:dyDescent="0.3">
      <c r="A1128" s="9" t="s">
        <v>2708</v>
      </c>
      <c r="B1128" s="9" t="s">
        <v>18</v>
      </c>
      <c r="C1128" s="9" t="s">
        <v>196</v>
      </c>
      <c r="D1128" s="52">
        <v>46168</v>
      </c>
      <c r="E1128" s="48">
        <v>0.73958333333333337</v>
      </c>
      <c r="F1128" s="48">
        <v>0.76666666666666661</v>
      </c>
      <c r="G1128" s="43">
        <f>(F1128-E1128)*1440</f>
        <v>38.999999999999858</v>
      </c>
      <c r="H1128" s="9" t="s">
        <v>2807</v>
      </c>
      <c r="I1128" s="9" t="s">
        <v>1117</v>
      </c>
      <c r="J1128" s="44">
        <v>11.92</v>
      </c>
      <c r="K1128" s="60">
        <v>23.98</v>
      </c>
      <c r="L1128" s="56">
        <v>17.649999999999999</v>
      </c>
      <c r="M1128" s="14">
        <f>K1128-L1128</f>
        <v>6.3300000000000018</v>
      </c>
      <c r="N1128" s="15">
        <f>IFERROR(M1128/K1128,0)</f>
        <v>0.26396997497914937</v>
      </c>
      <c r="O1128" s="14">
        <f>IFERROR(L1128/J1128,0)</f>
        <v>1.480704697986577</v>
      </c>
      <c r="P1128" s="14">
        <f>IFERROR(L1128/G1128,0)</f>
        <v>0.45256410256410418</v>
      </c>
      <c r="S1128" s="61">
        <v>3</v>
      </c>
    </row>
    <row r="1129" spans="1:19" x14ac:dyDescent="0.3">
      <c r="A1129" s="9" t="s">
        <v>2714</v>
      </c>
      <c r="B1129" s="9" t="s">
        <v>26</v>
      </c>
      <c r="C1129" s="9" t="s">
        <v>26</v>
      </c>
      <c r="D1129" s="52">
        <v>46168</v>
      </c>
      <c r="E1129" s="48">
        <v>0.68819444444444444</v>
      </c>
      <c r="F1129" s="48">
        <v>0.69861111111111107</v>
      </c>
      <c r="G1129" s="43">
        <f>(F1129-E1129)*1440</f>
        <v>14.999999999999947</v>
      </c>
      <c r="H1129" s="9" t="s">
        <v>869</v>
      </c>
      <c r="I1129" s="9" t="s">
        <v>2796</v>
      </c>
      <c r="J1129" s="44">
        <v>7.4</v>
      </c>
      <c r="K1129" s="60">
        <v>9.35</v>
      </c>
      <c r="L1129" s="56">
        <v>11.02</v>
      </c>
      <c r="M1129" s="14">
        <f>K1129-L1129</f>
        <v>-1.67</v>
      </c>
      <c r="N1129" s="15">
        <f>IFERROR(M1129/K1129,0)</f>
        <v>-0.17860962566844921</v>
      </c>
      <c r="O1129" s="14">
        <f>IFERROR(L1129/J1129,0)</f>
        <v>1.4891891891891891</v>
      </c>
      <c r="P1129" s="14">
        <f>IFERROR(L1129/G1129,0)</f>
        <v>0.73466666666666924</v>
      </c>
      <c r="R1129" s="57">
        <v>6.33</v>
      </c>
    </row>
    <row r="1130" spans="1:19" x14ac:dyDescent="0.3">
      <c r="A1130" s="9" t="s">
        <v>2706</v>
      </c>
      <c r="B1130" s="9" t="s">
        <v>538</v>
      </c>
      <c r="C1130" s="9" t="s">
        <v>196</v>
      </c>
      <c r="D1130" s="52">
        <v>46168</v>
      </c>
      <c r="E1130" s="48">
        <v>0.70763888888888893</v>
      </c>
      <c r="F1130" s="48">
        <v>0.71736111111111101</v>
      </c>
      <c r="G1130" s="43">
        <f>(F1130-E1130)*1440</f>
        <v>13.99999999999979</v>
      </c>
      <c r="H1130" s="9" t="s">
        <v>2796</v>
      </c>
      <c r="I1130" s="9" t="s">
        <v>843</v>
      </c>
      <c r="J1130" s="44">
        <v>2.21</v>
      </c>
      <c r="K1130" s="60">
        <v>5.98</v>
      </c>
      <c r="L1130" s="56">
        <v>4.03</v>
      </c>
      <c r="M1130" s="14">
        <f>K1130-L1130</f>
        <v>1.9500000000000002</v>
      </c>
      <c r="N1130" s="15">
        <f>IFERROR(M1130/K1130,0)</f>
        <v>0.32608695652173914</v>
      </c>
      <c r="O1130" s="14">
        <f>IFERROR(L1130/J1130,0)</f>
        <v>1.8235294117647061</v>
      </c>
      <c r="P1130" s="14">
        <f>IFERROR(L1130/G1130,0)</f>
        <v>0.2878571428571472</v>
      </c>
    </row>
    <row r="1131" spans="1:19" x14ac:dyDescent="0.3">
      <c r="A1131" s="9" t="s">
        <v>2700</v>
      </c>
      <c r="B1131" s="9" t="s">
        <v>538</v>
      </c>
      <c r="C1131" s="9" t="s">
        <v>184</v>
      </c>
      <c r="D1131" s="52">
        <v>46168</v>
      </c>
      <c r="E1131" s="48">
        <v>0.56736111111111109</v>
      </c>
      <c r="F1131" s="48">
        <v>0.5708333333333333</v>
      </c>
      <c r="G1131" s="43">
        <f>(F1131-E1131)*1440</f>
        <v>4.9999999999999822</v>
      </c>
      <c r="H1131" s="9" t="s">
        <v>2801</v>
      </c>
      <c r="I1131" s="9" t="s">
        <v>2802</v>
      </c>
      <c r="J1131" s="44">
        <v>2.15</v>
      </c>
      <c r="K1131" s="60">
        <v>5.94</v>
      </c>
      <c r="L1131" s="56">
        <v>4.0999999999999996</v>
      </c>
      <c r="M1131" s="14">
        <f>K1131-L1131</f>
        <v>1.8400000000000007</v>
      </c>
      <c r="N1131" s="15">
        <f>IFERROR(M1131/K1131,0)</f>
        <v>0.30976430976430985</v>
      </c>
      <c r="O1131" s="14">
        <f>IFERROR(L1131/J1131,0)</f>
        <v>1.9069767441860463</v>
      </c>
      <c r="P1131" s="14">
        <f>IFERROR(L1131/G1131,0)</f>
        <v>0.82000000000000284</v>
      </c>
    </row>
    <row r="1132" spans="1:19" x14ac:dyDescent="0.3">
      <c r="A1132" s="9" t="s">
        <v>2702</v>
      </c>
      <c r="B1132" s="9" t="s">
        <v>538</v>
      </c>
      <c r="C1132" s="9" t="s">
        <v>184</v>
      </c>
      <c r="D1132" s="52">
        <v>46168</v>
      </c>
      <c r="E1132" s="48">
        <v>0.58194444444444449</v>
      </c>
      <c r="F1132" s="48">
        <v>0.5854166666666667</v>
      </c>
      <c r="G1132" s="43">
        <f>(F1132-E1132)*1440</f>
        <v>4.9999999999999822</v>
      </c>
      <c r="H1132" s="9" t="s">
        <v>2804</v>
      </c>
      <c r="I1132" s="9" t="s">
        <v>2805</v>
      </c>
      <c r="J1132" s="44">
        <v>1.9</v>
      </c>
      <c r="K1132" s="60">
        <v>4.9400000000000004</v>
      </c>
      <c r="L1132" s="56">
        <v>4.0999999999999996</v>
      </c>
      <c r="M1132" s="14">
        <f>K1132-L1132</f>
        <v>0.84000000000000075</v>
      </c>
      <c r="N1132" s="15">
        <f>IFERROR(M1132/K1132,0)</f>
        <v>0.17004048582995965</v>
      </c>
      <c r="O1132" s="14">
        <f>IFERROR(L1132/J1132,0)</f>
        <v>2.1578947368421053</v>
      </c>
      <c r="P1132" s="14">
        <f>IFERROR(L1132/G1132,0)</f>
        <v>0.82000000000000284</v>
      </c>
    </row>
    <row r="1133" spans="1:19" x14ac:dyDescent="0.3">
      <c r="A1133" s="9" t="s">
        <v>2701</v>
      </c>
      <c r="B1133" s="9" t="s">
        <v>538</v>
      </c>
      <c r="C1133" s="9" t="s">
        <v>184</v>
      </c>
      <c r="D1133" s="52">
        <v>46168</v>
      </c>
      <c r="E1133" s="48">
        <v>0.5756944444444444</v>
      </c>
      <c r="F1133" s="48">
        <v>0.57847222222222217</v>
      </c>
      <c r="G1133" s="43">
        <f>(F1133-E1133)*1440</f>
        <v>3.9999999999999858</v>
      </c>
      <c r="H1133" s="9" t="s">
        <v>2149</v>
      </c>
      <c r="I1133" s="9" t="s">
        <v>2803</v>
      </c>
      <c r="J1133" s="44">
        <v>0.94</v>
      </c>
      <c r="K1133" s="60">
        <v>4.9400000000000004</v>
      </c>
      <c r="L1133" s="56">
        <v>3.52</v>
      </c>
      <c r="M1133" s="14">
        <f>K1133-L1133</f>
        <v>1.4200000000000004</v>
      </c>
      <c r="N1133" s="15">
        <f>IFERROR(M1133/K1133,0)</f>
        <v>0.28744939271255066</v>
      </c>
      <c r="O1133" s="14">
        <f>IFERROR(L1133/J1133,0)</f>
        <v>3.7446808510638299</v>
      </c>
      <c r="P1133" s="14">
        <f>IFERROR(L1133/G1133,0)</f>
        <v>0.88000000000000311</v>
      </c>
    </row>
    <row r="1134" spans="1:19" x14ac:dyDescent="0.3">
      <c r="A1134" s="9" t="s">
        <v>2719</v>
      </c>
      <c r="B1134" s="9" t="s">
        <v>26</v>
      </c>
      <c r="C1134" s="9" t="s">
        <v>27</v>
      </c>
      <c r="D1134" s="52">
        <v>46170</v>
      </c>
      <c r="E1134" s="48">
        <v>0.65694444444444444</v>
      </c>
      <c r="F1134" s="48">
        <v>0.6777777777777777</v>
      </c>
      <c r="G1134" s="43">
        <f>(F1134-E1134)*1440</f>
        <v>29.999999999999893</v>
      </c>
      <c r="H1134" s="9" t="s">
        <v>2819</v>
      </c>
      <c r="I1134" s="9" t="s">
        <v>1358</v>
      </c>
      <c r="J1134" s="44">
        <v>25.1</v>
      </c>
      <c r="K1134" s="60">
        <v>13.95</v>
      </c>
      <c r="L1134" s="56">
        <v>10.64</v>
      </c>
      <c r="M1134" s="14">
        <f>K1134-L1134</f>
        <v>3.3099999999999987</v>
      </c>
      <c r="N1134" s="15">
        <f>IFERROR(M1134/K1134,0)</f>
        <v>0.23727598566308236</v>
      </c>
      <c r="O1134" s="14">
        <f>IFERROR(L1134/J1134,0)</f>
        <v>0.42390438247011952</v>
      </c>
      <c r="P1134" s="14">
        <f>IFERROR(L1134/G1134,0)</f>
        <v>0.35466666666666796</v>
      </c>
      <c r="Q1134" s="64">
        <v>0.7</v>
      </c>
    </row>
    <row r="1135" spans="1:19" x14ac:dyDescent="0.3">
      <c r="A1135" s="9" t="s">
        <v>2717</v>
      </c>
      <c r="B1135" s="9" t="s">
        <v>26</v>
      </c>
      <c r="C1135" s="9" t="s">
        <v>26</v>
      </c>
      <c r="D1135" s="52">
        <v>46170</v>
      </c>
      <c r="E1135" s="48">
        <v>0.58333333333333337</v>
      </c>
      <c r="F1135" s="48">
        <v>0.59305555555555556</v>
      </c>
      <c r="G1135" s="43">
        <f>(F1135-E1135)*1440</f>
        <v>13.99999999999995</v>
      </c>
      <c r="H1135" s="9" t="s">
        <v>2817</v>
      </c>
      <c r="I1135" s="9" t="s">
        <v>2818</v>
      </c>
      <c r="J1135" s="44">
        <v>10</v>
      </c>
      <c r="K1135" s="60">
        <v>6.04</v>
      </c>
      <c r="L1135" s="56">
        <v>4.53</v>
      </c>
      <c r="M1135" s="14">
        <f>K1135-L1135</f>
        <v>1.5099999999999998</v>
      </c>
      <c r="N1135" s="15">
        <f>IFERROR(M1135/K1135,0)</f>
        <v>0.24999999999999997</v>
      </c>
      <c r="O1135" s="14">
        <f>IFERROR(L1135/J1135,0)</f>
        <v>0.45300000000000001</v>
      </c>
      <c r="P1135" s="14">
        <f>IFERROR(L1135/G1135,0)</f>
        <v>0.32357142857142973</v>
      </c>
    </row>
    <row r="1136" spans="1:19" x14ac:dyDescent="0.3">
      <c r="A1136" s="9" t="s">
        <v>2725</v>
      </c>
      <c r="B1136" s="9" t="s">
        <v>538</v>
      </c>
      <c r="C1136" s="9" t="s">
        <v>184</v>
      </c>
      <c r="D1136" s="52">
        <v>46170</v>
      </c>
      <c r="E1136" s="48">
        <v>0.59305555555555556</v>
      </c>
      <c r="F1136" s="48">
        <v>0.60625000000000007</v>
      </c>
      <c r="G1136" s="43">
        <f>(F1136-E1136)*1440</f>
        <v>19.000000000000092</v>
      </c>
      <c r="H1136" s="9" t="s">
        <v>1167</v>
      </c>
      <c r="I1136" s="9" t="s">
        <v>2824</v>
      </c>
      <c r="J1136" s="44">
        <v>14.57</v>
      </c>
      <c r="K1136" s="60">
        <v>10.96</v>
      </c>
      <c r="L1136" s="56">
        <v>7.12</v>
      </c>
      <c r="M1136" s="14">
        <f>K1136-L1136</f>
        <v>3.8400000000000007</v>
      </c>
      <c r="N1136" s="15">
        <f>IFERROR(M1136/K1136,0)</f>
        <v>0.35036496350364965</v>
      </c>
      <c r="O1136" s="14">
        <f>IFERROR(L1136/J1136,0)</f>
        <v>0.48867536032944409</v>
      </c>
      <c r="P1136" s="14">
        <f>IFERROR(L1136/G1136,0)</f>
        <v>0.37473684210526131</v>
      </c>
    </row>
    <row r="1137" spans="1:19" x14ac:dyDescent="0.3">
      <c r="A1137" s="9" t="s">
        <v>2716</v>
      </c>
      <c r="B1137" s="9" t="s">
        <v>26</v>
      </c>
      <c r="C1137" s="9" t="s">
        <v>26</v>
      </c>
      <c r="D1137" s="52">
        <v>46170</v>
      </c>
      <c r="E1137" s="48">
        <v>0.55347222222222225</v>
      </c>
      <c r="F1137" s="48">
        <v>0.57638888888888895</v>
      </c>
      <c r="G1137" s="43">
        <f>(F1137-E1137)*1440</f>
        <v>33.000000000000043</v>
      </c>
      <c r="H1137" s="9" t="s">
        <v>2816</v>
      </c>
      <c r="I1137" s="9" t="s">
        <v>1719</v>
      </c>
      <c r="J1137" s="44">
        <v>30.7</v>
      </c>
      <c r="K1137" s="60">
        <v>17.239999999999998</v>
      </c>
      <c r="L1137" s="56">
        <v>15.22</v>
      </c>
      <c r="M1137" s="14">
        <f>K1137-L1137</f>
        <v>2.0199999999999978</v>
      </c>
      <c r="N1137" s="15">
        <f>IFERROR(M1137/K1137,0)</f>
        <v>0.11716937354988387</v>
      </c>
      <c r="O1137" s="14">
        <f>IFERROR(L1137/J1137,0)</f>
        <v>0.49576547231270363</v>
      </c>
      <c r="P1137" s="14">
        <f>IFERROR(L1137/G1137,0)</f>
        <v>0.46121212121212063</v>
      </c>
      <c r="S1137" s="61">
        <v>1</v>
      </c>
    </row>
    <row r="1138" spans="1:19" x14ac:dyDescent="0.3">
      <c r="A1138" s="9" t="s">
        <v>2724</v>
      </c>
      <c r="B1138" s="9" t="s">
        <v>26</v>
      </c>
      <c r="C1138" s="9" t="s">
        <v>27</v>
      </c>
      <c r="D1138" s="52">
        <v>46170</v>
      </c>
      <c r="E1138" s="48">
        <v>0.86319444444444438</v>
      </c>
      <c r="F1138" s="48">
        <v>0.87847222222222221</v>
      </c>
      <c r="G1138" s="43">
        <f>(F1138-E1138)*1440</f>
        <v>22.000000000000082</v>
      </c>
      <c r="H1138" s="9" t="s">
        <v>604</v>
      </c>
      <c r="I1138" s="9" t="s">
        <v>2823</v>
      </c>
      <c r="J1138" s="44">
        <v>14.4</v>
      </c>
      <c r="K1138" s="60">
        <v>9.0299999999999994</v>
      </c>
      <c r="L1138" s="56">
        <v>7.45</v>
      </c>
      <c r="M1138" s="14">
        <f>K1138-L1138</f>
        <v>1.5799999999999992</v>
      </c>
      <c r="N1138" s="15">
        <f>IFERROR(M1138/K1138,0)</f>
        <v>0.17497231450719816</v>
      </c>
      <c r="O1138" s="14">
        <f>IFERROR(L1138/J1138,0)</f>
        <v>0.51736111111111116</v>
      </c>
      <c r="P1138" s="14">
        <f>IFERROR(L1138/G1138,0)</f>
        <v>0.3386363636363624</v>
      </c>
    </row>
    <row r="1139" spans="1:19" x14ac:dyDescent="0.3">
      <c r="A1139" s="9" t="s">
        <v>2723</v>
      </c>
      <c r="B1139" s="9" t="s">
        <v>26</v>
      </c>
      <c r="C1139" s="9" t="s">
        <v>27</v>
      </c>
      <c r="D1139" s="52">
        <v>46170</v>
      </c>
      <c r="E1139" s="48">
        <v>0.82013888888888886</v>
      </c>
      <c r="F1139" s="48">
        <v>0.83611111111111114</v>
      </c>
      <c r="G1139" s="43">
        <f>(F1139-E1139)*1440</f>
        <v>23.000000000000078</v>
      </c>
      <c r="H1139" s="9" t="s">
        <v>2614</v>
      </c>
      <c r="I1139" s="9" t="s">
        <v>611</v>
      </c>
      <c r="J1139" s="44">
        <v>13.4</v>
      </c>
      <c r="K1139" s="60">
        <v>10.3</v>
      </c>
      <c r="L1139" s="56">
        <v>7.72</v>
      </c>
      <c r="M1139" s="14">
        <f>K1139-L1139</f>
        <v>2.580000000000001</v>
      </c>
      <c r="N1139" s="15">
        <f>IFERROR(M1139/K1139,0)</f>
        <v>0.25048543689320396</v>
      </c>
      <c r="O1139" s="14">
        <f>IFERROR(L1139/J1139,0)</f>
        <v>0.57611940298507458</v>
      </c>
      <c r="P1139" s="14">
        <f>IFERROR(L1139/G1139,0)</f>
        <v>0.33565217391304231</v>
      </c>
    </row>
    <row r="1140" spans="1:19" x14ac:dyDescent="0.3">
      <c r="A1140" s="9" t="s">
        <v>2726</v>
      </c>
      <c r="B1140" s="9" t="s">
        <v>538</v>
      </c>
      <c r="C1140" s="9" t="s">
        <v>184</v>
      </c>
      <c r="D1140" s="52">
        <v>46170</v>
      </c>
      <c r="E1140" s="48">
        <v>0.61041666666666672</v>
      </c>
      <c r="F1140" s="48">
        <v>0.61736111111111114</v>
      </c>
      <c r="G1140" s="43">
        <f>(F1140-E1140)*1440</f>
        <v>9.9999999999999645</v>
      </c>
      <c r="H1140" s="9" t="s">
        <v>2825</v>
      </c>
      <c r="I1140" s="9" t="s">
        <v>2493</v>
      </c>
      <c r="J1140" s="44">
        <v>4.67</v>
      </c>
      <c r="K1140" s="60">
        <v>3.93</v>
      </c>
      <c r="L1140" s="56">
        <v>3.34</v>
      </c>
      <c r="M1140" s="14">
        <f>K1140-L1140</f>
        <v>0.5900000000000003</v>
      </c>
      <c r="N1140" s="15">
        <f>IFERROR(M1140/K1140,0)</f>
        <v>0.15012722646310439</v>
      </c>
      <c r="O1140" s="14">
        <f>IFERROR(L1140/J1140,0)</f>
        <v>0.71520342612419696</v>
      </c>
      <c r="P1140" s="14">
        <f>IFERROR(L1140/G1140,0)</f>
        <v>0.33400000000000118</v>
      </c>
    </row>
    <row r="1141" spans="1:19" x14ac:dyDescent="0.3">
      <c r="A1141" s="9" t="s">
        <v>2722</v>
      </c>
      <c r="B1141" s="9" t="s">
        <v>26</v>
      </c>
      <c r="C1141" s="9" t="s">
        <v>26</v>
      </c>
      <c r="D1141" s="52">
        <v>46170</v>
      </c>
      <c r="E1141" s="48">
        <v>0.73055555555555562</v>
      </c>
      <c r="F1141" s="48">
        <v>0.73749999999999993</v>
      </c>
      <c r="G1141" s="43">
        <f>(F1141-E1141)*1440</f>
        <v>9.9999999999998046</v>
      </c>
      <c r="H1141" s="9" t="s">
        <v>874</v>
      </c>
      <c r="I1141" s="9" t="s">
        <v>1760</v>
      </c>
      <c r="J1141" s="44">
        <v>5.2</v>
      </c>
      <c r="K1141" s="60">
        <v>4.07</v>
      </c>
      <c r="L1141" s="56">
        <v>4.3600000000000003</v>
      </c>
      <c r="M1141" s="14">
        <f>K1141-L1141</f>
        <v>-0.29000000000000004</v>
      </c>
      <c r="N1141" s="15">
        <f>IFERROR(M1141/K1141,0)</f>
        <v>-7.125307125307126E-2</v>
      </c>
      <c r="O1141" s="14">
        <f>IFERROR(L1141/J1141,0)</f>
        <v>0.83846153846153848</v>
      </c>
      <c r="P1141" s="14">
        <f>IFERROR(L1141/G1141,0)</f>
        <v>0.43600000000000855</v>
      </c>
      <c r="R1141" s="57">
        <v>1.35</v>
      </c>
    </row>
    <row r="1142" spans="1:19" x14ac:dyDescent="0.3">
      <c r="A1142" s="9" t="s">
        <v>2721</v>
      </c>
      <c r="B1142" s="9" t="s">
        <v>26</v>
      </c>
      <c r="C1142" s="9" t="s">
        <v>26</v>
      </c>
      <c r="D1142" s="52">
        <v>46170</v>
      </c>
      <c r="E1142" s="48">
        <v>0.70763888888888893</v>
      </c>
      <c r="F1142" s="48">
        <v>0.72569444444444453</v>
      </c>
      <c r="G1142" s="43">
        <f>(F1142-E1142)*1440</f>
        <v>26.000000000000068</v>
      </c>
      <c r="H1142" s="9" t="s">
        <v>1948</v>
      </c>
      <c r="I1142" s="9" t="s">
        <v>2822</v>
      </c>
      <c r="J1142" s="44">
        <v>9.4</v>
      </c>
      <c r="K1142" s="60">
        <v>12.24</v>
      </c>
      <c r="L1142" s="56">
        <v>9.18</v>
      </c>
      <c r="M1142" s="14">
        <f>K1142-L1142</f>
        <v>3.0600000000000005</v>
      </c>
      <c r="N1142" s="15">
        <f>IFERROR(M1142/K1142,0)</f>
        <v>0.25000000000000006</v>
      </c>
      <c r="O1142" s="14">
        <f>IFERROR(L1142/J1142,0)</f>
        <v>0.97659574468085097</v>
      </c>
      <c r="P1142" s="14">
        <f>IFERROR(L1142/G1142,0)</f>
        <v>0.35307692307692212</v>
      </c>
      <c r="R1142" s="57">
        <v>2.83</v>
      </c>
    </row>
    <row r="1143" spans="1:19" x14ac:dyDescent="0.3">
      <c r="A1143" s="9" t="s">
        <v>2729</v>
      </c>
      <c r="B1143" s="9" t="s">
        <v>538</v>
      </c>
      <c r="C1143" s="9" t="s">
        <v>184</v>
      </c>
      <c r="D1143" s="52">
        <v>46170</v>
      </c>
      <c r="E1143" s="48">
        <v>0.76458333333333339</v>
      </c>
      <c r="F1143" s="48">
        <v>0.77708333333333324</v>
      </c>
      <c r="G1143" s="43">
        <f>(F1143-E1143)*1440</f>
        <v>17.999999999999776</v>
      </c>
      <c r="H1143" s="9" t="s">
        <v>2826</v>
      </c>
      <c r="I1143" s="9" t="s">
        <v>2572</v>
      </c>
      <c r="J1143" s="44">
        <v>8.34</v>
      </c>
      <c r="K1143" s="60">
        <v>13.94</v>
      </c>
      <c r="L1143" s="56">
        <v>11.45</v>
      </c>
      <c r="M1143" s="14">
        <f>K1143-L1143</f>
        <v>2.4900000000000002</v>
      </c>
      <c r="N1143" s="15">
        <f>IFERROR(M1143/K1143,0)</f>
        <v>0.178622668579627</v>
      </c>
      <c r="O1143" s="14">
        <f>IFERROR(L1143/J1143,0)</f>
        <v>1.3729016786570742</v>
      </c>
      <c r="P1143" s="14">
        <f>IFERROR(L1143/G1143,0)</f>
        <v>0.63611111111111895</v>
      </c>
    </row>
    <row r="1144" spans="1:19" x14ac:dyDescent="0.3">
      <c r="A1144" s="9" t="s">
        <v>2718</v>
      </c>
      <c r="B1144" s="9" t="s">
        <v>26</v>
      </c>
      <c r="C1144" s="9" t="s">
        <v>26</v>
      </c>
      <c r="D1144" s="52">
        <v>46170</v>
      </c>
      <c r="E1144" s="48">
        <v>0.65</v>
      </c>
      <c r="F1144" s="48">
        <v>0.65347222222222223</v>
      </c>
      <c r="G1144" s="43">
        <f>(F1144-E1144)*1440</f>
        <v>4.9999999999999822</v>
      </c>
      <c r="H1144" s="9" t="s">
        <v>2494</v>
      </c>
      <c r="I1144" s="9" t="s">
        <v>766</v>
      </c>
      <c r="J1144" s="44">
        <v>2.2999999999999998</v>
      </c>
      <c r="K1144" s="60">
        <v>3.52</v>
      </c>
      <c r="L1144" s="56">
        <v>3.63</v>
      </c>
      <c r="M1144" s="14">
        <f>K1144-L1144</f>
        <v>-0.10999999999999988</v>
      </c>
      <c r="N1144" s="15">
        <f>IFERROR(M1144/K1144,0)</f>
        <v>-3.1249999999999965E-2</v>
      </c>
      <c r="O1144" s="14">
        <f>IFERROR(L1144/J1144,0)</f>
        <v>1.5782608695652174</v>
      </c>
      <c r="P1144" s="14">
        <f>IFERROR(L1144/G1144,0)</f>
        <v>0.72600000000000253</v>
      </c>
    </row>
    <row r="1145" spans="1:19" x14ac:dyDescent="0.3">
      <c r="A1145" s="9" t="s">
        <v>2730</v>
      </c>
      <c r="B1145" s="9" t="s">
        <v>18</v>
      </c>
      <c r="C1145" s="9" t="s">
        <v>184</v>
      </c>
      <c r="D1145" s="52">
        <v>46170</v>
      </c>
      <c r="E1145" s="48">
        <v>0.77777777777777779</v>
      </c>
      <c r="F1145" s="48">
        <v>0.78680555555555554</v>
      </c>
      <c r="G1145" s="43">
        <f>(F1145-E1145)*1440</f>
        <v>12.999999999999954</v>
      </c>
      <c r="H1145" s="9" t="s">
        <v>2827</v>
      </c>
      <c r="I1145" s="9" t="s">
        <v>822</v>
      </c>
      <c r="J1145" s="44">
        <v>5.66</v>
      </c>
      <c r="K1145" s="60">
        <v>13.95</v>
      </c>
      <c r="L1145" s="56">
        <v>9.07</v>
      </c>
      <c r="M1145" s="14">
        <f>K1145-L1145</f>
        <v>4.879999999999999</v>
      </c>
      <c r="N1145" s="15">
        <f>IFERROR(M1145/K1145,0)</f>
        <v>0.34982078853046589</v>
      </c>
      <c r="O1145" s="14">
        <f>IFERROR(L1145/J1145,0)</f>
        <v>1.6024734982332156</v>
      </c>
      <c r="P1145" s="14">
        <f>IFERROR(L1145/G1145,0)</f>
        <v>0.69769230769231017</v>
      </c>
    </row>
    <row r="1146" spans="1:19" x14ac:dyDescent="0.3">
      <c r="A1146" s="9" t="s">
        <v>2728</v>
      </c>
      <c r="B1146" s="9" t="s">
        <v>18</v>
      </c>
      <c r="C1146" s="9" t="s">
        <v>184</v>
      </c>
      <c r="D1146" s="52">
        <v>46170</v>
      </c>
      <c r="E1146" s="48">
        <v>0.75208333333333333</v>
      </c>
      <c r="F1146" s="48">
        <v>0.76111111111111107</v>
      </c>
      <c r="G1146" s="43">
        <f>(F1146-E1146)*1440</f>
        <v>12.999999999999954</v>
      </c>
      <c r="H1146" s="9" t="s">
        <v>1760</v>
      </c>
      <c r="I1146" s="9" t="s">
        <v>2528</v>
      </c>
      <c r="J1146" s="44">
        <v>3.85</v>
      </c>
      <c r="K1146" s="60">
        <v>6.97</v>
      </c>
      <c r="L1146" s="56">
        <v>6.76</v>
      </c>
      <c r="M1146" s="14">
        <f>K1146-L1146</f>
        <v>0.20999999999999996</v>
      </c>
      <c r="N1146" s="15">
        <f>IFERROR(M1146/K1146,0)</f>
        <v>3.0129124820659967E-2</v>
      </c>
      <c r="O1146" s="14">
        <f>IFERROR(L1146/J1146,0)</f>
        <v>1.7558441558441558</v>
      </c>
      <c r="P1146" s="14">
        <f>IFERROR(L1146/G1146,0)</f>
        <v>0.52000000000000179</v>
      </c>
      <c r="S1146" s="61">
        <v>2</v>
      </c>
    </row>
    <row r="1147" spans="1:19" x14ac:dyDescent="0.3">
      <c r="A1147" s="9" t="s">
        <v>2720</v>
      </c>
      <c r="B1147" s="9" t="s">
        <v>26</v>
      </c>
      <c r="C1147" s="9" t="s">
        <v>26</v>
      </c>
      <c r="D1147" s="52">
        <v>46170</v>
      </c>
      <c r="E1147" s="48">
        <v>0.69305555555555554</v>
      </c>
      <c r="F1147" s="48">
        <v>0.70347222222222217</v>
      </c>
      <c r="G1147" s="43">
        <f>(F1147-E1147)*1440</f>
        <v>14.999999999999947</v>
      </c>
      <c r="H1147" s="9" t="s">
        <v>2820</v>
      </c>
      <c r="I1147" s="9" t="s">
        <v>2821</v>
      </c>
      <c r="J1147" s="44">
        <v>2.7</v>
      </c>
      <c r="K1147" s="60">
        <v>5.57</v>
      </c>
      <c r="L1147" s="56">
        <v>5.22</v>
      </c>
      <c r="M1147" s="14">
        <f>K1147-L1147</f>
        <v>0.35000000000000053</v>
      </c>
      <c r="N1147" s="15">
        <f>IFERROR(M1147/K1147,0)</f>
        <v>6.2836624775583577E-2</v>
      </c>
      <c r="O1147" s="14">
        <f>IFERROR(L1147/J1147,0)</f>
        <v>1.9333333333333331</v>
      </c>
      <c r="P1147" s="14">
        <f>IFERROR(L1147/G1147,0)</f>
        <v>0.3480000000000012</v>
      </c>
      <c r="R1147" s="57">
        <v>1.99</v>
      </c>
    </row>
    <row r="1148" spans="1:19" x14ac:dyDescent="0.3">
      <c r="A1148" s="9" t="s">
        <v>2727</v>
      </c>
      <c r="B1148" s="9" t="s">
        <v>538</v>
      </c>
      <c r="C1148" s="9" t="s">
        <v>184</v>
      </c>
      <c r="D1148" s="52">
        <v>46170</v>
      </c>
      <c r="E1148" s="48">
        <v>0.6777777777777777</v>
      </c>
      <c r="F1148" s="48">
        <v>0.68194444444444446</v>
      </c>
      <c r="G1148" s="43">
        <f>(F1148-E1148)*1440</f>
        <v>6.0000000000001386</v>
      </c>
      <c r="H1148" s="9" t="s">
        <v>843</v>
      </c>
      <c r="I1148" s="9" t="s">
        <v>1728</v>
      </c>
      <c r="J1148" s="44">
        <v>1.42</v>
      </c>
      <c r="K1148" s="60">
        <v>9.9600000000000009</v>
      </c>
      <c r="L1148" s="56">
        <v>6.7</v>
      </c>
      <c r="M1148" s="14">
        <f>K1148-L1148</f>
        <v>3.2600000000000007</v>
      </c>
      <c r="N1148" s="15">
        <f>IFERROR(M1148/K1148,0)</f>
        <v>0.32730923694779118</v>
      </c>
      <c r="O1148" s="14">
        <f>IFERROR(L1148/J1148,0)</f>
        <v>4.71830985915493</v>
      </c>
      <c r="P1148" s="14">
        <f>IFERROR(L1148/G1148,0)</f>
        <v>1.1166666666666409</v>
      </c>
    </row>
    <row r="1149" spans="1:19" x14ac:dyDescent="0.3">
      <c r="A1149" s="9" t="s">
        <v>2736</v>
      </c>
      <c r="B1149" s="9" t="s">
        <v>18</v>
      </c>
      <c r="C1149" s="9" t="s">
        <v>184</v>
      </c>
      <c r="D1149" s="52">
        <v>46171</v>
      </c>
      <c r="E1149" s="48">
        <v>0.87291666666666667</v>
      </c>
      <c r="F1149" s="48">
        <v>0.8847222222222223</v>
      </c>
      <c r="G1149" s="43">
        <f>(F1149-E1149)*1440</f>
        <v>17.000000000000099</v>
      </c>
      <c r="H1149" s="9" t="s">
        <v>2834</v>
      </c>
      <c r="I1149" s="9" t="s">
        <v>2833</v>
      </c>
      <c r="J1149" s="44">
        <v>14.38</v>
      </c>
      <c r="K1149" s="60">
        <v>9.9499999999999993</v>
      </c>
      <c r="L1149" s="56">
        <v>6.47</v>
      </c>
      <c r="M1149" s="14">
        <f>K1149-L1149</f>
        <v>3.4799999999999995</v>
      </c>
      <c r="N1149" s="15">
        <f>IFERROR(M1149/K1149,0)</f>
        <v>0.34974874371859294</v>
      </c>
      <c r="O1149" s="14">
        <f>IFERROR(L1149/J1149,0)</f>
        <v>0.4499304589707927</v>
      </c>
      <c r="P1149" s="14">
        <f>IFERROR(L1149/G1149,0)</f>
        <v>0.3805882352941154</v>
      </c>
    </row>
    <row r="1150" spans="1:19" x14ac:dyDescent="0.3">
      <c r="A1150" s="9" t="s">
        <v>2737</v>
      </c>
      <c r="B1150" s="9" t="s">
        <v>26</v>
      </c>
      <c r="C1150" s="9" t="s">
        <v>27</v>
      </c>
      <c r="D1150" s="52">
        <v>46171</v>
      </c>
      <c r="E1150" s="48">
        <v>0.55694444444444446</v>
      </c>
      <c r="F1150" s="48">
        <v>0.56736111111111109</v>
      </c>
      <c r="G1150" s="43">
        <f>(F1150-E1150)*1440</f>
        <v>14.999999999999947</v>
      </c>
      <c r="H1150" s="9" t="s">
        <v>2835</v>
      </c>
      <c r="I1150" s="9" t="s">
        <v>2836</v>
      </c>
      <c r="J1150" s="44">
        <v>12.4</v>
      </c>
      <c r="K1150" s="60">
        <v>8.4</v>
      </c>
      <c r="L1150" s="56">
        <v>6.3</v>
      </c>
      <c r="M1150" s="14">
        <f>K1150-L1150</f>
        <v>2.1000000000000005</v>
      </c>
      <c r="N1150" s="15">
        <f>IFERROR(M1150/K1150,0)</f>
        <v>0.25000000000000006</v>
      </c>
      <c r="O1150" s="14">
        <f>IFERROR(L1150/J1150,0)</f>
        <v>0.50806451612903225</v>
      </c>
      <c r="P1150" s="14">
        <f>IFERROR(L1150/G1150,0)</f>
        <v>0.42000000000000148</v>
      </c>
    </row>
    <row r="1151" spans="1:19" x14ac:dyDescent="0.3">
      <c r="A1151" s="9" t="s">
        <v>2740</v>
      </c>
      <c r="B1151" s="9" t="s">
        <v>26</v>
      </c>
      <c r="C1151" s="9" t="s">
        <v>27</v>
      </c>
      <c r="D1151" s="52">
        <v>46171</v>
      </c>
      <c r="E1151" s="48">
        <v>0.6166666666666667</v>
      </c>
      <c r="F1151" s="48">
        <v>0.62847222222222221</v>
      </c>
      <c r="G1151" s="43">
        <f>(F1151-E1151)*1440</f>
        <v>16.99999999999994</v>
      </c>
      <c r="H1151" s="9" t="s">
        <v>2839</v>
      </c>
      <c r="I1151" s="9" t="s">
        <v>1978</v>
      </c>
      <c r="J1151" s="44">
        <v>12.9</v>
      </c>
      <c r="K1151" s="60">
        <v>9.11</v>
      </c>
      <c r="L1151" s="56">
        <v>7.01</v>
      </c>
      <c r="M1151" s="14">
        <f>K1151-L1151</f>
        <v>2.0999999999999996</v>
      </c>
      <c r="N1151" s="15">
        <f>IFERROR(M1151/K1151,0)</f>
        <v>0.23051591657519208</v>
      </c>
      <c r="O1151" s="14">
        <f>IFERROR(L1151/J1151,0)</f>
        <v>0.54341085271317824</v>
      </c>
      <c r="P1151" s="14">
        <f>IFERROR(L1151/G1151,0)</f>
        <v>0.41235294117647203</v>
      </c>
      <c r="Q1151" s="64">
        <v>0.7</v>
      </c>
    </row>
    <row r="1152" spans="1:19" x14ac:dyDescent="0.3">
      <c r="A1152" s="9" t="s">
        <v>2738</v>
      </c>
      <c r="B1152" s="9" t="s">
        <v>26</v>
      </c>
      <c r="C1152" s="9" t="s">
        <v>27</v>
      </c>
      <c r="D1152" s="52">
        <v>46171</v>
      </c>
      <c r="E1152" s="48">
        <v>0.57291666666666663</v>
      </c>
      <c r="F1152" s="48">
        <v>0.58680555555555558</v>
      </c>
      <c r="G1152" s="43">
        <f>(F1152-E1152)*1440</f>
        <v>20.000000000000089</v>
      </c>
      <c r="H1152" s="9" t="s">
        <v>2837</v>
      </c>
      <c r="I1152" s="9" t="s">
        <v>619</v>
      </c>
      <c r="J1152" s="44">
        <v>12.5</v>
      </c>
      <c r="K1152" s="60">
        <v>10.55</v>
      </c>
      <c r="L1152" s="56">
        <v>7.91</v>
      </c>
      <c r="M1152" s="14">
        <f>K1152-L1152</f>
        <v>2.6400000000000006</v>
      </c>
      <c r="N1152" s="15">
        <f>IFERROR(M1152/K1152,0)</f>
        <v>0.25023696682464458</v>
      </c>
      <c r="O1152" s="14">
        <f>IFERROR(L1152/J1152,0)</f>
        <v>0.63280000000000003</v>
      </c>
      <c r="P1152" s="14">
        <f>IFERROR(L1152/G1152,0)</f>
        <v>0.39549999999999824</v>
      </c>
      <c r="R1152" s="57">
        <v>1.78</v>
      </c>
    </row>
    <row r="1153" spans="1:19" x14ac:dyDescent="0.3">
      <c r="A1153" s="9" t="s">
        <v>2739</v>
      </c>
      <c r="B1153" s="9" t="s">
        <v>26</v>
      </c>
      <c r="C1153" s="9" t="s">
        <v>27</v>
      </c>
      <c r="D1153" s="52">
        <v>46171</v>
      </c>
      <c r="E1153" s="48">
        <v>0.59375</v>
      </c>
      <c r="F1153" s="48">
        <v>0.61041666666666672</v>
      </c>
      <c r="G1153" s="43">
        <f>(F1153-E1153)*1440</f>
        <v>24.000000000000075</v>
      </c>
      <c r="H1153" s="9" t="s">
        <v>2838</v>
      </c>
      <c r="I1153" s="9" t="s">
        <v>766</v>
      </c>
      <c r="J1153" s="44">
        <v>24.2</v>
      </c>
      <c r="K1153" s="60">
        <v>20.329999999999998</v>
      </c>
      <c r="L1153" s="56">
        <v>15.42</v>
      </c>
      <c r="M1153" s="14">
        <f>K1153-L1153</f>
        <v>4.9099999999999984</v>
      </c>
      <c r="N1153" s="15">
        <f>IFERROR(M1153/K1153,0)</f>
        <v>0.24151500245941951</v>
      </c>
      <c r="O1153" s="14">
        <f>IFERROR(L1153/J1153,0)</f>
        <v>0.63719008264462806</v>
      </c>
      <c r="P1153" s="14">
        <f>IFERROR(L1153/G1153,0)</f>
        <v>0.64249999999999796</v>
      </c>
      <c r="Q1153" s="64">
        <v>0.7</v>
      </c>
      <c r="R1153" s="57">
        <v>4.53</v>
      </c>
    </row>
    <row r="1154" spans="1:19" x14ac:dyDescent="0.3">
      <c r="A1154" s="9" t="s">
        <v>2741</v>
      </c>
      <c r="B1154" s="9" t="s">
        <v>26</v>
      </c>
      <c r="C1154" s="9" t="s">
        <v>26</v>
      </c>
      <c r="D1154" s="52">
        <v>46171</v>
      </c>
      <c r="E1154" s="48">
        <v>0.65625</v>
      </c>
      <c r="F1154" s="48">
        <v>0.66597222222222219</v>
      </c>
      <c r="G1154" s="43">
        <f>(F1154-E1154)*1440</f>
        <v>13.99999999999995</v>
      </c>
      <c r="H1154" s="9" t="s">
        <v>2840</v>
      </c>
      <c r="I1154" s="9" t="s">
        <v>2841</v>
      </c>
      <c r="J1154" s="44">
        <v>6.3</v>
      </c>
      <c r="K1154" s="60">
        <v>6.83</v>
      </c>
      <c r="L1154" s="56">
        <v>5.12</v>
      </c>
      <c r="M1154" s="14">
        <f>K1154-L1154</f>
        <v>1.71</v>
      </c>
      <c r="N1154" s="15">
        <f>IFERROR(M1154/K1154,0)</f>
        <v>0.25036603221083453</v>
      </c>
      <c r="O1154" s="14">
        <f>IFERROR(L1154/J1154,0)</f>
        <v>0.8126984126984127</v>
      </c>
      <c r="P1154" s="14">
        <f>IFERROR(L1154/G1154,0)</f>
        <v>0.36571428571428705</v>
      </c>
      <c r="R1154" s="57">
        <v>1.57</v>
      </c>
    </row>
    <row r="1155" spans="1:19" x14ac:dyDescent="0.3">
      <c r="A1155" s="9" t="s">
        <v>2742</v>
      </c>
      <c r="B1155" s="9" t="s">
        <v>26</v>
      </c>
      <c r="C1155" s="9" t="s">
        <v>26</v>
      </c>
      <c r="D1155" s="52">
        <v>46171</v>
      </c>
      <c r="E1155" s="48">
        <v>0.67222222222222217</v>
      </c>
      <c r="F1155" s="48">
        <v>0.68472222222222223</v>
      </c>
      <c r="G1155" s="43">
        <f>(F1155-E1155)*1440</f>
        <v>18.000000000000096</v>
      </c>
      <c r="H1155" s="9" t="s">
        <v>2842</v>
      </c>
      <c r="I1155" s="9" t="s">
        <v>2843</v>
      </c>
      <c r="J1155" s="44">
        <v>8.4</v>
      </c>
      <c r="K1155" s="60">
        <v>7.71</v>
      </c>
      <c r="L1155" s="56">
        <v>7.23</v>
      </c>
      <c r="M1155" s="14">
        <f>K1155-L1155</f>
        <v>0.47999999999999954</v>
      </c>
      <c r="N1155" s="15">
        <f>IFERROR(M1155/K1155,0)</f>
        <v>6.2256809338521339E-2</v>
      </c>
      <c r="O1155" s="14">
        <f>IFERROR(L1155/J1155,0)</f>
        <v>0.86071428571428577</v>
      </c>
      <c r="P1155" s="14">
        <f>IFERROR(L1155/G1155,0)</f>
        <v>0.40166666666666456</v>
      </c>
      <c r="R1155" s="57">
        <v>2.76</v>
      </c>
    </row>
    <row r="1156" spans="1:19" x14ac:dyDescent="0.3">
      <c r="A1156" s="9" t="s">
        <v>2731</v>
      </c>
      <c r="B1156" s="9" t="s">
        <v>538</v>
      </c>
      <c r="C1156" s="9" t="s">
        <v>184</v>
      </c>
      <c r="D1156" s="52">
        <v>46171</v>
      </c>
      <c r="E1156" s="48">
        <v>0.70277777777777783</v>
      </c>
      <c r="F1156" s="48">
        <v>0.71180555555555547</v>
      </c>
      <c r="G1156" s="43">
        <f>(F1156-E1156)*1440</f>
        <v>12.999999999999794</v>
      </c>
      <c r="H1156" s="9" t="s">
        <v>214</v>
      </c>
      <c r="I1156" s="9" t="s">
        <v>2528</v>
      </c>
      <c r="J1156" s="44">
        <v>9.0500000000000007</v>
      </c>
      <c r="K1156" s="60">
        <v>11.93</v>
      </c>
      <c r="L1156" s="56">
        <v>9.18</v>
      </c>
      <c r="M1156" s="14">
        <f>K1156-L1156</f>
        <v>2.75</v>
      </c>
      <c r="N1156" s="15">
        <f>IFERROR(M1156/K1156,0)</f>
        <v>0.23051131601005867</v>
      </c>
      <c r="O1156" s="14">
        <f>IFERROR(L1156/J1156,0)</f>
        <v>1.0143646408839777</v>
      </c>
      <c r="P1156" s="14">
        <f>IFERROR(L1156/G1156,0)</f>
        <v>0.70615384615385735</v>
      </c>
      <c r="S1156" s="61">
        <v>2.31</v>
      </c>
    </row>
    <row r="1157" spans="1:19" x14ac:dyDescent="0.3">
      <c r="A1157" s="9" t="s">
        <v>2747</v>
      </c>
      <c r="B1157" s="9" t="s">
        <v>26</v>
      </c>
      <c r="C1157" s="9" t="s">
        <v>27</v>
      </c>
      <c r="D1157" s="52">
        <v>46171</v>
      </c>
      <c r="E1157" s="48">
        <v>0.79791666666666661</v>
      </c>
      <c r="F1157" s="48">
        <v>0.8041666666666667</v>
      </c>
      <c r="G1157" s="43">
        <f>(F1157-E1157)*1440</f>
        <v>9.0000000000001279</v>
      </c>
      <c r="H1157" s="9" t="s">
        <v>2850</v>
      </c>
      <c r="I1157" s="9" t="s">
        <v>2851</v>
      </c>
      <c r="J1157" s="44">
        <v>5.2</v>
      </c>
      <c r="K1157" s="60">
        <v>7.46</v>
      </c>
      <c r="L1157" s="56">
        <v>5.59</v>
      </c>
      <c r="M1157" s="14">
        <f>K1157-L1157</f>
        <v>1.87</v>
      </c>
      <c r="N1157" s="15">
        <f>IFERROR(M1157/K1157,0)</f>
        <v>0.25067024128686327</v>
      </c>
      <c r="O1157" s="14">
        <f>IFERROR(L1157/J1157,0)</f>
        <v>1.075</v>
      </c>
      <c r="P1157" s="14">
        <f>IFERROR(L1157/G1157,0)</f>
        <v>0.62111111111110229</v>
      </c>
      <c r="R1157" s="57">
        <v>3.07</v>
      </c>
    </row>
    <row r="1158" spans="1:19" x14ac:dyDescent="0.3">
      <c r="A1158" s="9" t="s">
        <v>2743</v>
      </c>
      <c r="B1158" s="9" t="s">
        <v>26</v>
      </c>
      <c r="C1158" s="9" t="s">
        <v>26</v>
      </c>
      <c r="D1158" s="52">
        <v>46171</v>
      </c>
      <c r="E1158" s="48">
        <v>0.68680555555555556</v>
      </c>
      <c r="F1158" s="48">
        <v>0.69652777777777775</v>
      </c>
      <c r="G1158" s="43">
        <f>(F1158-E1158)*1440</f>
        <v>13.99999999999995</v>
      </c>
      <c r="H1158" s="9" t="s">
        <v>2844</v>
      </c>
      <c r="I1158" s="9" t="s">
        <v>2845</v>
      </c>
      <c r="J1158" s="44">
        <v>4.0999999999999996</v>
      </c>
      <c r="K1158" s="60">
        <v>5.28</v>
      </c>
      <c r="L1158" s="56">
        <v>4.95</v>
      </c>
      <c r="M1158" s="14">
        <f>K1158-L1158</f>
        <v>0.33000000000000007</v>
      </c>
      <c r="N1158" s="15">
        <f>IFERROR(M1158/K1158,0)</f>
        <v>6.2500000000000014E-2</v>
      </c>
      <c r="O1158" s="14">
        <f>IFERROR(L1158/J1158,0)</f>
        <v>1.2073170731707319</v>
      </c>
      <c r="P1158" s="14">
        <f>IFERROR(L1158/G1158,0)</f>
        <v>0.35357142857142981</v>
      </c>
      <c r="R1158" s="57">
        <v>2.2000000000000002</v>
      </c>
    </row>
    <row r="1159" spans="1:19" x14ac:dyDescent="0.3">
      <c r="A1159" s="9" t="s">
        <v>2744</v>
      </c>
      <c r="B1159" s="9" t="s">
        <v>26</v>
      </c>
      <c r="C1159" s="9" t="s">
        <v>26</v>
      </c>
      <c r="D1159" s="52">
        <v>46171</v>
      </c>
      <c r="E1159" s="48">
        <v>0.69930555555555562</v>
      </c>
      <c r="F1159" s="48">
        <v>0.70486111111111116</v>
      </c>
      <c r="G1159" s="43">
        <f>(F1159-E1159)*1440</f>
        <v>7.9999999999999716</v>
      </c>
      <c r="H1159" s="9" t="s">
        <v>2846</v>
      </c>
      <c r="I1159" s="9" t="s">
        <v>1995</v>
      </c>
      <c r="J1159" s="44">
        <v>5.3</v>
      </c>
      <c r="K1159" s="60">
        <v>7.43</v>
      </c>
      <c r="L1159" s="56">
        <v>6.97</v>
      </c>
      <c r="M1159" s="14">
        <f>K1159-L1159</f>
        <v>0.45999999999999996</v>
      </c>
      <c r="N1159" s="15">
        <f>IFERROR(M1159/K1159,0)</f>
        <v>6.1911170928667561E-2</v>
      </c>
      <c r="O1159" s="14">
        <f>IFERROR(L1159/J1159,0)</f>
        <v>1.3150943396226416</v>
      </c>
      <c r="P1159" s="14">
        <f>IFERROR(L1159/G1159,0)</f>
        <v>0.87125000000000308</v>
      </c>
      <c r="R1159" s="57">
        <v>3.49</v>
      </c>
    </row>
    <row r="1160" spans="1:19" x14ac:dyDescent="0.3">
      <c r="A1160" s="9" t="s">
        <v>2749</v>
      </c>
      <c r="B1160" s="9" t="s">
        <v>26</v>
      </c>
      <c r="C1160" s="9" t="s">
        <v>27</v>
      </c>
      <c r="D1160" s="52">
        <v>46171</v>
      </c>
      <c r="E1160" s="48">
        <v>0.83194444444444438</v>
      </c>
      <c r="F1160" s="48">
        <v>0.84236111111111101</v>
      </c>
      <c r="G1160" s="43">
        <f>(F1160-E1160)*1440</f>
        <v>14.999999999999947</v>
      </c>
      <c r="H1160" s="9" t="s">
        <v>2854</v>
      </c>
      <c r="I1160" s="9" t="s">
        <v>879</v>
      </c>
      <c r="J1160" s="44">
        <v>5.0999999999999996</v>
      </c>
      <c r="K1160" s="60">
        <v>7.53</v>
      </c>
      <c r="L1160" s="56">
        <v>7.06</v>
      </c>
      <c r="M1160" s="14">
        <f>K1160-L1160</f>
        <v>0.47000000000000064</v>
      </c>
      <c r="N1160" s="15">
        <f>IFERROR(M1160/K1160,0)</f>
        <v>6.2416998671978835E-2</v>
      </c>
      <c r="O1160" s="14">
        <f>IFERROR(L1160/J1160,0)</f>
        <v>1.384313725490196</v>
      </c>
      <c r="P1160" s="14">
        <f>IFERROR(L1160/G1160,0)</f>
        <v>0.47066666666666829</v>
      </c>
      <c r="R1160" s="57">
        <v>4.46</v>
      </c>
    </row>
    <row r="1161" spans="1:19" x14ac:dyDescent="0.3">
      <c r="A1161" s="9" t="s">
        <v>2748</v>
      </c>
      <c r="B1161" s="9" t="s">
        <v>26</v>
      </c>
      <c r="C1161" s="9" t="s">
        <v>27</v>
      </c>
      <c r="D1161" s="52">
        <v>46171</v>
      </c>
      <c r="E1161" s="48">
        <v>0.80694444444444446</v>
      </c>
      <c r="F1161" s="48">
        <v>0.81319444444444444</v>
      </c>
      <c r="G1161" s="43">
        <f>(F1161-E1161)*1440</f>
        <v>8.999999999999968</v>
      </c>
      <c r="H1161" s="9" t="s">
        <v>2852</v>
      </c>
      <c r="I1161" s="9" t="s">
        <v>2853</v>
      </c>
      <c r="J1161" s="44">
        <v>3.4</v>
      </c>
      <c r="K1161" s="60">
        <v>6.35</v>
      </c>
      <c r="L1161" s="56">
        <v>4.76</v>
      </c>
      <c r="M1161" s="14">
        <f>K1161-L1161</f>
        <v>1.5899999999999999</v>
      </c>
      <c r="N1161" s="15">
        <f>IFERROR(M1161/K1161,0)</f>
        <v>0.25039370078740159</v>
      </c>
      <c r="O1161" s="14">
        <f>IFERROR(L1161/J1161,0)</f>
        <v>1.4</v>
      </c>
      <c r="P1161" s="14">
        <f>IFERROR(L1161/G1161,0)</f>
        <v>0.52888888888889074</v>
      </c>
      <c r="R1161" s="57">
        <v>2.38</v>
      </c>
    </row>
    <row r="1162" spans="1:19" x14ac:dyDescent="0.3">
      <c r="A1162" s="9" t="s">
        <v>2733</v>
      </c>
      <c r="B1162" s="9" t="s">
        <v>538</v>
      </c>
      <c r="C1162" s="9" t="s">
        <v>184</v>
      </c>
      <c r="D1162" s="52">
        <v>46171</v>
      </c>
      <c r="E1162" s="48">
        <v>0.76527777777777783</v>
      </c>
      <c r="F1162" s="48">
        <v>0.77708333333333324</v>
      </c>
      <c r="G1162" s="43">
        <f>(F1162-E1162)*1440</f>
        <v>16.99999999999978</v>
      </c>
      <c r="H1162" s="9" t="s">
        <v>207</v>
      </c>
      <c r="I1162" s="9" t="s">
        <v>1114</v>
      </c>
      <c r="J1162" s="44">
        <v>7.16</v>
      </c>
      <c r="K1162" s="60">
        <v>13.93</v>
      </c>
      <c r="L1162" s="56">
        <v>10.63</v>
      </c>
      <c r="M1162" s="14">
        <f>K1162-L1162</f>
        <v>3.2999999999999989</v>
      </c>
      <c r="N1162" s="15">
        <f>IFERROR(M1162/K1162,0)</f>
        <v>0.23689877961234737</v>
      </c>
      <c r="O1162" s="14">
        <f>IFERROR(L1162/J1162,0)</f>
        <v>1.48463687150838</v>
      </c>
      <c r="P1162" s="14">
        <f>IFERROR(L1162/G1162,0)</f>
        <v>0.62529411764706699</v>
      </c>
    </row>
    <row r="1163" spans="1:19" x14ac:dyDescent="0.3">
      <c r="A1163" s="9" t="s">
        <v>2732</v>
      </c>
      <c r="B1163" s="9" t="s">
        <v>538</v>
      </c>
      <c r="C1163" s="9" t="s">
        <v>184</v>
      </c>
      <c r="D1163" s="52">
        <v>46171</v>
      </c>
      <c r="E1163" s="48">
        <v>0.74930555555555556</v>
      </c>
      <c r="F1163" s="48">
        <v>0.76111111111111107</v>
      </c>
      <c r="G1163" s="43">
        <f>(F1163-E1163)*1440</f>
        <v>16.99999999999994</v>
      </c>
      <c r="H1163" s="9" t="s">
        <v>2828</v>
      </c>
      <c r="I1163" s="9" t="s">
        <v>2245</v>
      </c>
      <c r="J1163" s="44">
        <v>5.82</v>
      </c>
      <c r="K1163" s="60">
        <v>9.9499999999999993</v>
      </c>
      <c r="L1163" s="56">
        <v>8.7200000000000006</v>
      </c>
      <c r="M1163" s="14">
        <f>K1163-L1163</f>
        <v>1.2299999999999986</v>
      </c>
      <c r="N1163" s="15">
        <f>IFERROR(M1163/K1163,0)</f>
        <v>0.12361809045226117</v>
      </c>
      <c r="O1163" s="14">
        <f>IFERROR(L1163/J1163,0)</f>
        <v>1.4982817869415808</v>
      </c>
      <c r="P1163" s="14">
        <f>IFERROR(L1163/G1163,0)</f>
        <v>0.51294117647059012</v>
      </c>
    </row>
    <row r="1164" spans="1:19" x14ac:dyDescent="0.3">
      <c r="A1164" s="9" t="s">
        <v>2735</v>
      </c>
      <c r="B1164" s="9" t="s">
        <v>18</v>
      </c>
      <c r="C1164" s="9" t="s">
        <v>184</v>
      </c>
      <c r="D1164" s="52">
        <v>46171</v>
      </c>
      <c r="E1164" s="48">
        <v>0.8534722222222223</v>
      </c>
      <c r="F1164" s="48">
        <v>0.86597222222222225</v>
      </c>
      <c r="G1164" s="43">
        <f>(F1164-E1164)*1440</f>
        <v>17.999999999999936</v>
      </c>
      <c r="H1164" s="9" t="s">
        <v>2831</v>
      </c>
      <c r="I1164" s="9" t="s">
        <v>2832</v>
      </c>
      <c r="J1164" s="44">
        <v>6.03</v>
      </c>
      <c r="K1164" s="60">
        <v>10.93</v>
      </c>
      <c r="L1164" s="56">
        <v>9.73</v>
      </c>
      <c r="M1164" s="14">
        <f>K1164-L1164</f>
        <v>1.1999999999999993</v>
      </c>
      <c r="N1164" s="15">
        <f>IFERROR(M1164/K1164,0)</f>
        <v>0.10978956999085081</v>
      </c>
      <c r="O1164" s="14">
        <f>IFERROR(L1164/J1164,0)</f>
        <v>1.6135986733001659</v>
      </c>
      <c r="P1164" s="14">
        <f>IFERROR(L1164/G1164,0)</f>
        <v>0.54055555555555745</v>
      </c>
    </row>
    <row r="1165" spans="1:19" x14ac:dyDescent="0.3">
      <c r="A1165" s="9" t="s">
        <v>2734</v>
      </c>
      <c r="B1165" s="9" t="s">
        <v>18</v>
      </c>
      <c r="C1165" s="9" t="s">
        <v>196</v>
      </c>
      <c r="D1165" s="52">
        <v>46171</v>
      </c>
      <c r="E1165" s="48">
        <v>0.78055555555555556</v>
      </c>
      <c r="F1165" s="48">
        <v>0.78472222222222221</v>
      </c>
      <c r="G1165" s="43">
        <f>(F1165-E1165)*1440</f>
        <v>5.9999999999999787</v>
      </c>
      <c r="H1165" s="9" t="s">
        <v>2829</v>
      </c>
      <c r="I1165" s="9" t="s">
        <v>2830</v>
      </c>
      <c r="J1165" s="44">
        <v>3.21</v>
      </c>
      <c r="K1165" s="60">
        <v>7.98</v>
      </c>
      <c r="L1165" s="56">
        <v>5.44</v>
      </c>
      <c r="M1165" s="14">
        <f>K1165-L1165</f>
        <v>2.54</v>
      </c>
      <c r="N1165" s="15">
        <f>IFERROR(M1165/K1165,0)</f>
        <v>0.31829573934837091</v>
      </c>
      <c r="O1165" s="14">
        <f>IFERROR(L1165/J1165,0)</f>
        <v>1.6947040498442369</v>
      </c>
      <c r="P1165" s="14">
        <f>IFERROR(L1165/G1165,0)</f>
        <v>0.90666666666666995</v>
      </c>
    </row>
    <row r="1166" spans="1:19" x14ac:dyDescent="0.3">
      <c r="A1166" s="9" t="s">
        <v>2745</v>
      </c>
      <c r="B1166" s="9" t="s">
        <v>26</v>
      </c>
      <c r="C1166" s="9" t="s">
        <v>26</v>
      </c>
      <c r="D1166" s="52">
        <v>46171</v>
      </c>
      <c r="E1166" s="48">
        <v>0.73125000000000007</v>
      </c>
      <c r="F1166" s="48">
        <v>0.7368055555555556</v>
      </c>
      <c r="G1166" s="43">
        <f>(F1166-E1166)*1440</f>
        <v>7.9999999999999716</v>
      </c>
      <c r="H1166" s="9" t="s">
        <v>2847</v>
      </c>
      <c r="I1166" s="9" t="s">
        <v>2799</v>
      </c>
      <c r="J1166" s="44">
        <v>2.9</v>
      </c>
      <c r="K1166" s="60">
        <v>6.6</v>
      </c>
      <c r="L1166" s="56">
        <v>5.45</v>
      </c>
      <c r="M1166" s="14">
        <f>K1166-L1166</f>
        <v>1.1499999999999995</v>
      </c>
      <c r="N1166" s="15">
        <f>IFERROR(M1166/K1166,0)</f>
        <v>0.17424242424242417</v>
      </c>
      <c r="O1166" s="14">
        <f>IFERROR(L1166/J1166,0)</f>
        <v>1.8793103448275863</v>
      </c>
      <c r="P1166" s="14">
        <f>IFERROR(L1166/G1166,0)</f>
        <v>0.68125000000000246</v>
      </c>
      <c r="R1166" s="57">
        <v>2.2000000000000002</v>
      </c>
    </row>
    <row r="1167" spans="1:19" x14ac:dyDescent="0.3">
      <c r="A1167" s="9" t="s">
        <v>2750</v>
      </c>
      <c r="B1167" s="9" t="s">
        <v>26</v>
      </c>
      <c r="C1167" s="9" t="s">
        <v>27</v>
      </c>
      <c r="D1167" s="52">
        <v>46171</v>
      </c>
      <c r="E1167" s="48">
        <v>0.84583333333333333</v>
      </c>
      <c r="F1167" s="48">
        <v>0.84861111111111109</v>
      </c>
      <c r="G1167" s="43">
        <f>(F1167-E1167)*1440</f>
        <v>3.9999999999999858</v>
      </c>
      <c r="H1167" s="9" t="s">
        <v>879</v>
      </c>
      <c r="I1167" s="9" t="s">
        <v>2855</v>
      </c>
      <c r="J1167" s="44">
        <v>1.6</v>
      </c>
      <c r="K1167" s="60">
        <v>6.59</v>
      </c>
      <c r="L1167" s="56">
        <v>5.43</v>
      </c>
      <c r="M1167" s="14">
        <f>K1167-L1167</f>
        <v>1.1600000000000001</v>
      </c>
      <c r="N1167" s="15">
        <f>IFERROR(M1167/K1167,0)</f>
        <v>0.17602427921092567</v>
      </c>
      <c r="O1167" s="14">
        <f>IFERROR(L1167/J1167,0)</f>
        <v>3.3937499999999998</v>
      </c>
      <c r="P1167" s="14">
        <f>IFERROR(L1167/G1167,0)</f>
        <v>1.3575000000000048</v>
      </c>
      <c r="R1167" s="57">
        <v>2.75</v>
      </c>
    </row>
    <row r="1168" spans="1:19" x14ac:dyDescent="0.3">
      <c r="A1168" s="9" t="s">
        <v>2746</v>
      </c>
      <c r="B1168" s="9" t="s">
        <v>26</v>
      </c>
      <c r="C1168" s="9" t="s">
        <v>26</v>
      </c>
      <c r="D1168" s="52">
        <v>46171</v>
      </c>
      <c r="E1168" s="48">
        <v>0.73819444444444438</v>
      </c>
      <c r="F1168" s="48">
        <v>0.74097222222222225</v>
      </c>
      <c r="G1168" s="43">
        <f>(F1168-E1168)*1440</f>
        <v>4.0000000000001457</v>
      </c>
      <c r="H1168" s="9" t="s">
        <v>2848</v>
      </c>
      <c r="I1168" s="9" t="s">
        <v>2849</v>
      </c>
      <c r="J1168" s="44">
        <v>1.5</v>
      </c>
      <c r="K1168" s="60">
        <v>6.73</v>
      </c>
      <c r="L1168" s="56">
        <v>5.56</v>
      </c>
      <c r="M1168" s="14">
        <f>K1168-L1168</f>
        <v>1.1700000000000008</v>
      </c>
      <c r="N1168" s="15">
        <f>IFERROR(M1168/K1168,0)</f>
        <v>0.17384843982169401</v>
      </c>
      <c r="O1168" s="14">
        <f>IFERROR(L1168/J1168,0)</f>
        <v>3.7066666666666666</v>
      </c>
      <c r="P1168" s="14">
        <f>IFERROR(L1168/G1168,0)</f>
        <v>1.3899999999999493</v>
      </c>
      <c r="R1168" s="57">
        <v>2.33</v>
      </c>
    </row>
    <row r="1169" spans="1:19" x14ac:dyDescent="0.3">
      <c r="A1169" s="9" t="s">
        <v>2768</v>
      </c>
      <c r="B1169" s="9" t="s">
        <v>18</v>
      </c>
      <c r="C1169" s="9" t="s">
        <v>184</v>
      </c>
      <c r="D1169" s="52">
        <v>46172</v>
      </c>
      <c r="E1169" s="48">
        <v>0.79305555555555562</v>
      </c>
      <c r="F1169" s="48">
        <v>0.8041666666666667</v>
      </c>
      <c r="G1169" s="43">
        <f>(F1169-E1169)*1440</f>
        <v>15.999999999999943</v>
      </c>
      <c r="H1169" s="9" t="s">
        <v>2874</v>
      </c>
      <c r="I1169" s="9" t="s">
        <v>233</v>
      </c>
      <c r="J1169" s="44">
        <v>15.01</v>
      </c>
      <c r="K1169" s="60">
        <v>9.94</v>
      </c>
      <c r="L1169" s="56">
        <v>6.46</v>
      </c>
      <c r="M1169" s="14">
        <f>K1169-L1169</f>
        <v>3.4799999999999995</v>
      </c>
      <c r="N1169" s="15">
        <f>IFERROR(M1169/K1169,0)</f>
        <v>0.35010060362173034</v>
      </c>
      <c r="O1169" s="14">
        <f>IFERROR(L1169/J1169,0)</f>
        <v>0.43037974683544306</v>
      </c>
      <c r="P1169" s="14">
        <f>IFERROR(L1169/G1169,0)</f>
        <v>0.40375000000000144</v>
      </c>
    </row>
    <row r="1170" spans="1:19" x14ac:dyDescent="0.3">
      <c r="A1170" s="9" t="s">
        <v>2760</v>
      </c>
      <c r="B1170" s="9" t="s">
        <v>26</v>
      </c>
      <c r="C1170" s="9" t="s">
        <v>26</v>
      </c>
      <c r="D1170" s="52">
        <v>46172</v>
      </c>
      <c r="E1170" s="48">
        <v>0.78125</v>
      </c>
      <c r="F1170" s="48">
        <v>0.79513888888888884</v>
      </c>
      <c r="G1170" s="43">
        <f>(F1170-E1170)*1440</f>
        <v>19.999999999999929</v>
      </c>
      <c r="H1170" s="9" t="s">
        <v>2219</v>
      </c>
      <c r="I1170" s="9" t="s">
        <v>2864</v>
      </c>
      <c r="J1170" s="44">
        <v>14</v>
      </c>
      <c r="K1170" s="60">
        <v>8.74</v>
      </c>
      <c r="L1170" s="56">
        <v>6.55</v>
      </c>
      <c r="M1170" s="14">
        <f>K1170-L1170</f>
        <v>2.1900000000000004</v>
      </c>
      <c r="N1170" s="15">
        <f>IFERROR(M1170/K1170,0)</f>
        <v>0.25057208237986273</v>
      </c>
      <c r="O1170" s="14">
        <f>IFERROR(L1170/J1170,0)</f>
        <v>0.46785714285714286</v>
      </c>
      <c r="P1170" s="14">
        <f>IFERROR(L1170/G1170,0)</f>
        <v>0.32750000000000118</v>
      </c>
      <c r="R1170" s="57">
        <v>0.81</v>
      </c>
    </row>
    <row r="1171" spans="1:19" x14ac:dyDescent="0.3">
      <c r="A1171" s="9" t="s">
        <v>2767</v>
      </c>
      <c r="B1171" s="9" t="s">
        <v>538</v>
      </c>
      <c r="C1171" s="9" t="s">
        <v>184</v>
      </c>
      <c r="D1171" s="52">
        <v>46172</v>
      </c>
      <c r="E1171" s="48">
        <v>0.74097222222222225</v>
      </c>
      <c r="F1171" s="48">
        <v>0.75069444444444444</v>
      </c>
      <c r="G1171" s="43">
        <f>(F1171-E1171)*1440</f>
        <v>13.99999999999995</v>
      </c>
      <c r="H1171" s="9" t="s">
        <v>2872</v>
      </c>
      <c r="I1171" s="9" t="s">
        <v>2873</v>
      </c>
      <c r="J1171" s="44">
        <v>11.97</v>
      </c>
      <c r="K1171" s="60">
        <v>8.94</v>
      </c>
      <c r="L1171" s="56">
        <v>5.81</v>
      </c>
      <c r="M1171" s="14">
        <f>K1171-L1171</f>
        <v>3.13</v>
      </c>
      <c r="N1171" s="15">
        <f>IFERROR(M1171/K1171,0)</f>
        <v>0.35011185682326623</v>
      </c>
      <c r="O1171" s="14">
        <f>IFERROR(L1171/J1171,0)</f>
        <v>0.48538011695906425</v>
      </c>
      <c r="P1171" s="14">
        <f>IFERROR(L1171/G1171,0)</f>
        <v>0.41500000000000142</v>
      </c>
    </row>
    <row r="1172" spans="1:19" x14ac:dyDescent="0.3">
      <c r="A1172" s="9" t="s">
        <v>2751</v>
      </c>
      <c r="B1172" s="9" t="s">
        <v>26</v>
      </c>
      <c r="C1172" s="9" t="s">
        <v>26</v>
      </c>
      <c r="D1172" s="52">
        <v>46172</v>
      </c>
      <c r="E1172" s="48">
        <v>0.55208333333333337</v>
      </c>
      <c r="F1172" s="48">
        <v>0.56319444444444444</v>
      </c>
      <c r="G1172" s="43">
        <f>(F1172-E1172)*1440</f>
        <v>15.999999999999943</v>
      </c>
      <c r="H1172" s="9" t="s">
        <v>2856</v>
      </c>
      <c r="I1172" s="9" t="s">
        <v>2857</v>
      </c>
      <c r="J1172" s="44">
        <v>17.5</v>
      </c>
      <c r="K1172" s="60">
        <v>12.43</v>
      </c>
      <c r="L1172" s="56">
        <v>9.6999999999999993</v>
      </c>
      <c r="M1172" s="14">
        <f>K1172-L1172</f>
        <v>2.7300000000000004</v>
      </c>
      <c r="N1172" s="15">
        <f>IFERROR(M1172/K1172,0)</f>
        <v>0.2196299275945294</v>
      </c>
      <c r="O1172" s="14">
        <f>IFERROR(L1172/J1172,0)</f>
        <v>0.55428571428571427</v>
      </c>
      <c r="P1172" s="14">
        <f>IFERROR(L1172/G1172,0)</f>
        <v>0.60625000000000207</v>
      </c>
      <c r="S1172" s="61">
        <v>1.5</v>
      </c>
    </row>
    <row r="1173" spans="1:19" x14ac:dyDescent="0.3">
      <c r="A1173" s="9" t="s">
        <v>2769</v>
      </c>
      <c r="B1173" s="9" t="s">
        <v>538</v>
      </c>
      <c r="C1173" s="9" t="s">
        <v>184</v>
      </c>
      <c r="D1173" s="52">
        <v>46172</v>
      </c>
      <c r="E1173" s="48">
        <v>0.83611111111111114</v>
      </c>
      <c r="F1173" s="48">
        <v>0.85069444444444453</v>
      </c>
      <c r="G1173" s="43">
        <f>(F1173-E1173)*1440</f>
        <v>21.000000000000085</v>
      </c>
      <c r="H1173" s="9" t="s">
        <v>593</v>
      </c>
      <c r="I1173" s="9" t="s">
        <v>2875</v>
      </c>
      <c r="J1173" s="44">
        <v>16.66</v>
      </c>
      <c r="K1173" s="60">
        <v>9.9499999999999993</v>
      </c>
      <c r="L1173" s="56">
        <v>9.64</v>
      </c>
      <c r="M1173" s="14">
        <f>K1173-L1173</f>
        <v>0.30999999999999872</v>
      </c>
      <c r="N1173" s="15">
        <f>IFERROR(M1173/K1173,0)</f>
        <v>3.1155778894472234E-2</v>
      </c>
      <c r="O1173" s="14">
        <f>IFERROR(L1173/J1173,0)</f>
        <v>0.57863145258103243</v>
      </c>
      <c r="P1173" s="14">
        <f>IFERROR(L1173/G1173,0)</f>
        <v>0.45904761904761721</v>
      </c>
    </row>
    <row r="1174" spans="1:19" x14ac:dyDescent="0.3">
      <c r="A1174" s="9" t="s">
        <v>2761</v>
      </c>
      <c r="B1174" s="9" t="s">
        <v>26</v>
      </c>
      <c r="C1174" s="9" t="s">
        <v>27</v>
      </c>
      <c r="D1174" s="52">
        <v>46172</v>
      </c>
      <c r="E1174" s="48">
        <v>0.87291666666666667</v>
      </c>
      <c r="F1174" s="48">
        <v>0.8847222222222223</v>
      </c>
      <c r="G1174" s="43">
        <f>(F1174-E1174)*1440</f>
        <v>17.000000000000099</v>
      </c>
      <c r="H1174" s="9" t="s">
        <v>2865</v>
      </c>
      <c r="I1174" s="9" t="s">
        <v>2000</v>
      </c>
      <c r="J1174" s="44">
        <v>12.1</v>
      </c>
      <c r="K1174" s="60">
        <v>9.4600000000000009</v>
      </c>
      <c r="L1174" s="56">
        <v>7.09</v>
      </c>
      <c r="M1174" s="14">
        <f>K1174-L1174</f>
        <v>2.370000000000001</v>
      </c>
      <c r="N1174" s="15">
        <f>IFERROR(M1174/K1174,0)</f>
        <v>0.25052854122621571</v>
      </c>
      <c r="O1174" s="14">
        <f>IFERROR(L1174/J1174,0)</f>
        <v>0.58595041322314045</v>
      </c>
      <c r="P1174" s="14">
        <f>IFERROR(L1174/G1174,0)</f>
        <v>0.41705882352940932</v>
      </c>
      <c r="R1174" s="57">
        <v>1.58</v>
      </c>
    </row>
    <row r="1175" spans="1:19" x14ac:dyDescent="0.3">
      <c r="A1175" s="9" t="s">
        <v>2762</v>
      </c>
      <c r="B1175" s="9" t="s">
        <v>538</v>
      </c>
      <c r="C1175" s="9" t="s">
        <v>184</v>
      </c>
      <c r="D1175" s="52">
        <v>46172</v>
      </c>
      <c r="E1175" s="48">
        <v>0.57430555555555551</v>
      </c>
      <c r="F1175" s="48">
        <v>0.58819444444444446</v>
      </c>
      <c r="G1175" s="43">
        <f>(F1175-E1175)*1440</f>
        <v>20.000000000000089</v>
      </c>
      <c r="H1175" s="9" t="s">
        <v>584</v>
      </c>
      <c r="I1175" s="9" t="s">
        <v>2866</v>
      </c>
      <c r="J1175" s="44">
        <v>10.44</v>
      </c>
      <c r="K1175" s="60">
        <v>10.210000000000001</v>
      </c>
      <c r="L1175" s="56">
        <v>6.69</v>
      </c>
      <c r="M1175" s="14">
        <f>K1175-L1175</f>
        <v>3.5200000000000005</v>
      </c>
      <c r="N1175" s="15">
        <f>IFERROR(M1175/K1175,0)</f>
        <v>0.34476003917727721</v>
      </c>
      <c r="O1175" s="14">
        <f>IFERROR(L1175/J1175,0)</f>
        <v>0.6408045977011495</v>
      </c>
      <c r="P1175" s="14">
        <f>IFERROR(L1175/G1175,0)</f>
        <v>0.33449999999999852</v>
      </c>
    </row>
    <row r="1176" spans="1:19" x14ac:dyDescent="0.3">
      <c r="A1176" s="9" t="s">
        <v>2763</v>
      </c>
      <c r="B1176" s="9" t="s">
        <v>538</v>
      </c>
      <c r="C1176" s="9" t="s">
        <v>184</v>
      </c>
      <c r="D1176" s="52">
        <v>46172</v>
      </c>
      <c r="E1176" s="48">
        <v>0.6069444444444444</v>
      </c>
      <c r="F1176" s="48">
        <v>0.61458333333333337</v>
      </c>
      <c r="G1176" s="43">
        <f>(F1176-E1176)*1440</f>
        <v>11.000000000000121</v>
      </c>
      <c r="H1176" s="9" t="s">
        <v>2867</v>
      </c>
      <c r="I1176" s="9" t="s">
        <v>2868</v>
      </c>
      <c r="J1176" s="44">
        <v>5.93</v>
      </c>
      <c r="K1176" s="60">
        <v>5.93</v>
      </c>
      <c r="L1176" s="56">
        <v>3.85</v>
      </c>
      <c r="M1176" s="14">
        <f>K1176-L1176</f>
        <v>2.0799999999999996</v>
      </c>
      <c r="N1176" s="15">
        <f>IFERROR(M1176/K1176,0)</f>
        <v>0.3507588532883642</v>
      </c>
      <c r="O1176" s="14">
        <f>IFERROR(L1176/J1176,0)</f>
        <v>0.6492411467116358</v>
      </c>
      <c r="P1176" s="14">
        <f>IFERROR(L1176/G1176,0)</f>
        <v>0.34999999999999615</v>
      </c>
    </row>
    <row r="1177" spans="1:19" x14ac:dyDescent="0.3">
      <c r="A1177" s="9" t="s">
        <v>2756</v>
      </c>
      <c r="B1177" s="9" t="s">
        <v>26</v>
      </c>
      <c r="C1177" s="9" t="s">
        <v>27</v>
      </c>
      <c r="D1177" s="52">
        <v>46172</v>
      </c>
      <c r="E1177" s="48">
        <v>0.65972222222222221</v>
      </c>
      <c r="F1177" s="48">
        <v>0.67152777777777783</v>
      </c>
      <c r="G1177" s="43">
        <f>(F1177-E1177)*1440</f>
        <v>17.000000000000099</v>
      </c>
      <c r="H1177" s="9" t="s">
        <v>1278</v>
      </c>
      <c r="I1177" s="9" t="s">
        <v>2860</v>
      </c>
      <c r="J1177" s="44">
        <v>12.7</v>
      </c>
      <c r="K1177" s="60">
        <v>10.31</v>
      </c>
      <c r="L1177" s="56">
        <v>8.5</v>
      </c>
      <c r="M1177" s="14">
        <f>K1177-L1177</f>
        <v>1.8100000000000005</v>
      </c>
      <c r="N1177" s="15">
        <f>IFERROR(M1177/K1177,0)</f>
        <v>0.17555771096023282</v>
      </c>
      <c r="O1177" s="14">
        <f>IFERROR(L1177/J1177,0)</f>
        <v>0.6692913385826772</v>
      </c>
      <c r="P1177" s="14">
        <f>IFERROR(L1177/G1177,0)</f>
        <v>0.49999999999999706</v>
      </c>
      <c r="R1177" s="57">
        <v>2.95</v>
      </c>
    </row>
    <row r="1178" spans="1:19" x14ac:dyDescent="0.3">
      <c r="A1178" s="9" t="s">
        <v>2754</v>
      </c>
      <c r="B1178" s="9" t="s">
        <v>26</v>
      </c>
      <c r="C1178" s="9" t="s">
        <v>26</v>
      </c>
      <c r="D1178" s="52">
        <v>46172</v>
      </c>
      <c r="E1178" s="48">
        <v>0.62777777777777777</v>
      </c>
      <c r="F1178" s="48">
        <v>0.64236111111111105</v>
      </c>
      <c r="G1178" s="43">
        <f>(F1178-E1178)*1440</f>
        <v>20.999999999999925</v>
      </c>
      <c r="H1178" s="9" t="s">
        <v>2818</v>
      </c>
      <c r="I1178" s="9" t="s">
        <v>631</v>
      </c>
      <c r="J1178" s="44">
        <v>12</v>
      </c>
      <c r="K1178" s="60">
        <v>7.9</v>
      </c>
      <c r="L1178" s="56">
        <v>8.4600000000000009</v>
      </c>
      <c r="M1178" s="14">
        <f>K1178-L1178</f>
        <v>-0.5600000000000005</v>
      </c>
      <c r="N1178" s="15">
        <f>IFERROR(M1178/K1178,0)</f>
        <v>-7.0886075949367147E-2</v>
      </c>
      <c r="O1178" s="14">
        <f>IFERROR(L1178/J1178,0)</f>
        <v>0.70500000000000007</v>
      </c>
      <c r="P1178" s="14">
        <f>IFERROR(L1178/G1178,0)</f>
        <v>0.4028571428571443</v>
      </c>
      <c r="R1178" s="57">
        <v>2.5</v>
      </c>
    </row>
    <row r="1179" spans="1:19" x14ac:dyDescent="0.3">
      <c r="A1179" s="9" t="s">
        <v>2758</v>
      </c>
      <c r="B1179" s="9" t="s">
        <v>26</v>
      </c>
      <c r="C1179" s="9" t="s">
        <v>26</v>
      </c>
      <c r="D1179" s="52">
        <v>46172</v>
      </c>
      <c r="E1179" s="48">
        <v>0.76388888888888884</v>
      </c>
      <c r="F1179" s="48">
        <v>0.77222222222222225</v>
      </c>
      <c r="G1179" s="43">
        <f>(F1179-E1179)*1440</f>
        <v>12.000000000000117</v>
      </c>
      <c r="H1179" s="9" t="s">
        <v>843</v>
      </c>
      <c r="I1179" s="9" t="s">
        <v>2784</v>
      </c>
      <c r="J1179" s="44">
        <v>10</v>
      </c>
      <c r="K1179" s="60">
        <v>9.76</v>
      </c>
      <c r="L1179" s="56">
        <v>7.32</v>
      </c>
      <c r="M1179" s="14">
        <f>K1179-L1179</f>
        <v>2.4399999999999995</v>
      </c>
      <c r="N1179" s="15">
        <f>IFERROR(M1179/K1179,0)</f>
        <v>0.24999999999999994</v>
      </c>
      <c r="O1179" s="14">
        <f>IFERROR(L1179/J1179,0)</f>
        <v>0.73199999999999998</v>
      </c>
      <c r="P1179" s="14">
        <f>IFERROR(L1179/G1179,0)</f>
        <v>0.6099999999999941</v>
      </c>
      <c r="R1179" s="57">
        <v>2.25</v>
      </c>
    </row>
    <row r="1180" spans="1:19" x14ac:dyDescent="0.3">
      <c r="A1180" s="9" t="s">
        <v>2753</v>
      </c>
      <c r="B1180" s="9" t="s">
        <v>26</v>
      </c>
      <c r="C1180" s="9" t="s">
        <v>27</v>
      </c>
      <c r="D1180" s="52">
        <v>46172</v>
      </c>
      <c r="E1180" s="48">
        <v>0.59930555555555554</v>
      </c>
      <c r="F1180" s="48">
        <v>0.61111111111111105</v>
      </c>
      <c r="G1180" s="43">
        <f>(F1180-E1180)*1440</f>
        <v>16.99999999999994</v>
      </c>
      <c r="H1180" s="9" t="s">
        <v>2859</v>
      </c>
      <c r="I1180" s="9" t="s">
        <v>204</v>
      </c>
      <c r="J1180" s="44">
        <v>8.1</v>
      </c>
      <c r="K1180" s="60">
        <v>8.99</v>
      </c>
      <c r="L1180" s="56">
        <v>6.74</v>
      </c>
      <c r="M1180" s="14">
        <f>K1180-L1180</f>
        <v>2.25</v>
      </c>
      <c r="N1180" s="15">
        <f>IFERROR(M1180/K1180,0)</f>
        <v>0.25027808676307006</v>
      </c>
      <c r="O1180" s="14">
        <f>IFERROR(L1180/J1180,0)</f>
        <v>0.83209876543209882</v>
      </c>
      <c r="P1180" s="14">
        <f>IFERROR(L1180/G1180,0)</f>
        <v>0.39647058823529552</v>
      </c>
      <c r="R1180" s="57">
        <v>3</v>
      </c>
    </row>
    <row r="1181" spans="1:19" x14ac:dyDescent="0.3">
      <c r="A1181" s="9" t="s">
        <v>2765</v>
      </c>
      <c r="B1181" s="9" t="s">
        <v>18</v>
      </c>
      <c r="C1181" s="9" t="s">
        <v>184</v>
      </c>
      <c r="D1181" s="52">
        <v>46172</v>
      </c>
      <c r="E1181" s="48">
        <v>0.69861111111111107</v>
      </c>
      <c r="F1181" s="48">
        <v>0.70416666666666661</v>
      </c>
      <c r="G1181" s="43">
        <f>(F1181-E1181)*1440</f>
        <v>7.9999999999999716</v>
      </c>
      <c r="H1181" s="9" t="s">
        <v>2870</v>
      </c>
      <c r="I1181" s="9" t="s">
        <v>1120</v>
      </c>
      <c r="J1181" s="44">
        <v>9.9499999999999993</v>
      </c>
      <c r="K1181" s="60">
        <v>12.94</v>
      </c>
      <c r="L1181" s="56">
        <v>9.49</v>
      </c>
      <c r="M1181" s="14">
        <f>K1181-L1181</f>
        <v>3.4499999999999993</v>
      </c>
      <c r="N1181" s="15">
        <f>IFERROR(M1181/K1181,0)</f>
        <v>0.26661514683153009</v>
      </c>
      <c r="O1181" s="14">
        <f>IFERROR(L1181/J1181,0)</f>
        <v>0.95376884422110564</v>
      </c>
      <c r="P1181" s="14">
        <f>IFERROR(L1181/G1181,0)</f>
        <v>1.1862500000000042</v>
      </c>
    </row>
    <row r="1182" spans="1:19" x14ac:dyDescent="0.3">
      <c r="A1182" s="9" t="s">
        <v>2757</v>
      </c>
      <c r="B1182" s="9" t="s">
        <v>26</v>
      </c>
      <c r="C1182" s="67" t="s">
        <v>27</v>
      </c>
      <c r="D1182" s="52">
        <v>46172</v>
      </c>
      <c r="E1182" s="48">
        <v>0.68541666666666667</v>
      </c>
      <c r="F1182" s="48">
        <v>0.69374999999999998</v>
      </c>
      <c r="G1182" s="43">
        <f>(F1182-E1182)*1440</f>
        <v>11.999999999999957</v>
      </c>
      <c r="H1182" s="9" t="s">
        <v>2785</v>
      </c>
      <c r="I1182" s="9" t="s">
        <v>2861</v>
      </c>
      <c r="J1182" s="44">
        <v>8.6999999999999993</v>
      </c>
      <c r="K1182" s="60">
        <v>10.55</v>
      </c>
      <c r="L1182" s="56">
        <v>9.15</v>
      </c>
      <c r="M1182" s="14">
        <f>K1182-L1182</f>
        <v>1.4000000000000004</v>
      </c>
      <c r="N1182" s="15">
        <f>IFERROR(M1182/K1182,0)</f>
        <v>0.13270142180094791</v>
      </c>
      <c r="O1182" s="14">
        <f>IFERROR(L1182/J1182,0)</f>
        <v>1.0517241379310347</v>
      </c>
      <c r="P1182" s="14">
        <f>IFERROR(L1182/G1182,0)</f>
        <v>0.76250000000000273</v>
      </c>
      <c r="R1182" s="57">
        <v>3.73</v>
      </c>
    </row>
    <row r="1183" spans="1:19" x14ac:dyDescent="0.3">
      <c r="A1183" s="9" t="s">
        <v>2752</v>
      </c>
      <c r="B1183" s="9" t="s">
        <v>26</v>
      </c>
      <c r="C1183" s="9" t="s">
        <v>27</v>
      </c>
      <c r="D1183" s="52">
        <v>46172</v>
      </c>
      <c r="E1183" s="48">
        <v>0.56736111111111109</v>
      </c>
      <c r="F1183" s="48">
        <v>0.57430555555555551</v>
      </c>
      <c r="G1183" s="43">
        <f>(F1183-E1183)*1440</f>
        <v>9.9999999999999645</v>
      </c>
      <c r="H1183" s="9" t="s">
        <v>2858</v>
      </c>
      <c r="I1183" s="9" t="s">
        <v>531</v>
      </c>
      <c r="J1183" s="44">
        <v>4</v>
      </c>
      <c r="K1183" s="60">
        <v>6.55</v>
      </c>
      <c r="L1183" s="56">
        <v>5.4</v>
      </c>
      <c r="M1183" s="14">
        <f>K1183-L1183</f>
        <v>1.1499999999999995</v>
      </c>
      <c r="N1183" s="15">
        <f>IFERROR(M1183/K1183,0)</f>
        <v>0.1755725190839694</v>
      </c>
      <c r="O1183" s="14">
        <f>IFERROR(L1183/J1183,0)</f>
        <v>1.35</v>
      </c>
      <c r="P1183" s="14">
        <f>IFERROR(L1183/G1183,0)</f>
        <v>0.54000000000000192</v>
      </c>
      <c r="R1183" s="57">
        <v>2.7</v>
      </c>
    </row>
    <row r="1184" spans="1:19" x14ac:dyDescent="0.3">
      <c r="A1184" s="9" t="s">
        <v>2766</v>
      </c>
      <c r="B1184" s="9" t="s">
        <v>538</v>
      </c>
      <c r="C1184" s="9" t="s">
        <v>184</v>
      </c>
      <c r="D1184" s="52">
        <v>46172</v>
      </c>
      <c r="E1184" s="48">
        <v>0.69236111111111109</v>
      </c>
      <c r="F1184" s="48">
        <v>0.69861111111111107</v>
      </c>
      <c r="G1184" s="43">
        <f>(F1184-E1184)*1440</f>
        <v>8.999999999999968</v>
      </c>
      <c r="H1184" s="9" t="s">
        <v>214</v>
      </c>
      <c r="I1184" s="9" t="s">
        <v>2871</v>
      </c>
      <c r="J1184" s="44">
        <v>5.01</v>
      </c>
      <c r="K1184" s="60">
        <v>9.9600000000000009</v>
      </c>
      <c r="L1184" s="56">
        <v>7.17</v>
      </c>
      <c r="M1184" s="14">
        <f>K1184-L1184</f>
        <v>2.7900000000000009</v>
      </c>
      <c r="N1184" s="15">
        <f>IFERROR(M1184/K1184,0)</f>
        <v>0.28012048192771088</v>
      </c>
      <c r="O1184" s="14">
        <f>IFERROR(L1184/J1184,0)</f>
        <v>1.4311377245508983</v>
      </c>
      <c r="P1184" s="14">
        <f>IFERROR(L1184/G1184,0)</f>
        <v>0.79666666666666952</v>
      </c>
      <c r="S1184" s="61">
        <v>1</v>
      </c>
    </row>
    <row r="1185" spans="1:18" x14ac:dyDescent="0.3">
      <c r="A1185" s="9" t="s">
        <v>2755</v>
      </c>
      <c r="B1185" s="9" t="s">
        <v>26</v>
      </c>
      <c r="C1185" s="9" t="s">
        <v>27</v>
      </c>
      <c r="D1185" s="52">
        <v>46172</v>
      </c>
      <c r="E1185" s="48">
        <v>0.64652777777777781</v>
      </c>
      <c r="F1185" s="48">
        <v>0.65138888888888891</v>
      </c>
      <c r="G1185" s="43">
        <f>(F1185-E1185)*1440</f>
        <v>6.9999999999999751</v>
      </c>
      <c r="H1185" s="9" t="s">
        <v>738</v>
      </c>
      <c r="I1185" s="9" t="s">
        <v>1120</v>
      </c>
      <c r="J1185" s="44">
        <v>3.3</v>
      </c>
      <c r="K1185" s="60">
        <v>6.55</v>
      </c>
      <c r="L1185" s="56">
        <v>5.4</v>
      </c>
      <c r="M1185" s="14">
        <f>K1185-L1185</f>
        <v>1.1499999999999995</v>
      </c>
      <c r="N1185" s="15">
        <f>IFERROR(M1185/K1185,0)</f>
        <v>0.1755725190839694</v>
      </c>
      <c r="O1185" s="14">
        <f>IFERROR(L1185/J1185,0)</f>
        <v>1.6363636363636365</v>
      </c>
      <c r="P1185" s="14">
        <f>IFERROR(L1185/G1185,0)</f>
        <v>0.77142857142857424</v>
      </c>
      <c r="R1185" s="57">
        <v>2.7</v>
      </c>
    </row>
    <row r="1186" spans="1:18" x14ac:dyDescent="0.3">
      <c r="A1186" s="9" t="s">
        <v>2764</v>
      </c>
      <c r="B1186" s="9" t="s">
        <v>18</v>
      </c>
      <c r="C1186" s="9" t="s">
        <v>184</v>
      </c>
      <c r="D1186" s="52">
        <v>46172</v>
      </c>
      <c r="E1186" s="48">
        <v>0.67291666666666661</v>
      </c>
      <c r="F1186" s="48">
        <v>0.6777777777777777</v>
      </c>
      <c r="G1186" s="43">
        <f>(F1186-E1186)*1440</f>
        <v>6.9999999999999751</v>
      </c>
      <c r="H1186" s="9" t="s">
        <v>1313</v>
      </c>
      <c r="I1186" s="9" t="s">
        <v>2869</v>
      </c>
      <c r="J1186" s="44">
        <v>2.92</v>
      </c>
      <c r="K1186" s="60">
        <v>7.94</v>
      </c>
      <c r="L1186" s="56">
        <v>5.66</v>
      </c>
      <c r="M1186" s="14">
        <f>K1186-L1186</f>
        <v>2.2800000000000002</v>
      </c>
      <c r="N1186" s="15">
        <f>IFERROR(M1186/K1186,0)</f>
        <v>0.2871536523929471</v>
      </c>
      <c r="O1186" s="14">
        <f>IFERROR(L1186/J1186,0)</f>
        <v>1.9383561643835618</v>
      </c>
      <c r="P1186" s="14">
        <f>IFERROR(L1186/G1186,0)</f>
        <v>0.80857142857143149</v>
      </c>
    </row>
    <row r="1187" spans="1:18" x14ac:dyDescent="0.3">
      <c r="A1187" s="9" t="s">
        <v>2759</v>
      </c>
      <c r="B1187" s="9" t="s">
        <v>26</v>
      </c>
      <c r="C1187" s="9" t="s">
        <v>26</v>
      </c>
      <c r="D1187" s="52">
        <v>46172</v>
      </c>
      <c r="E1187" s="48">
        <v>0.77569444444444446</v>
      </c>
      <c r="F1187" s="48">
        <v>0.77916666666666667</v>
      </c>
      <c r="G1187" s="43">
        <f>(F1187-E1187)*1440</f>
        <v>4.9999999999999822</v>
      </c>
      <c r="H1187" s="9" t="s">
        <v>2862</v>
      </c>
      <c r="I1187" s="9" t="s">
        <v>2863</v>
      </c>
      <c r="J1187" s="44">
        <v>1.4</v>
      </c>
      <c r="K1187" s="60">
        <v>4.22</v>
      </c>
      <c r="L1187" s="56">
        <v>3.96</v>
      </c>
      <c r="M1187" s="14">
        <f>K1187-L1187</f>
        <v>0.25999999999999979</v>
      </c>
      <c r="N1187" s="15">
        <f>IFERROR(M1187/K1187,0)</f>
        <v>6.1611374407582895E-2</v>
      </c>
      <c r="O1187" s="14">
        <f>IFERROR(L1187/J1187,0)</f>
        <v>2.8285714285714287</v>
      </c>
      <c r="P1187" s="14">
        <f>IFERROR(L1187/G1187,0)</f>
        <v>0.79200000000000281</v>
      </c>
      <c r="R1187" s="57">
        <v>0.88</v>
      </c>
    </row>
    <row r="1188" spans="1:18" x14ac:dyDescent="0.3">
      <c r="A1188" s="9" t="s">
        <v>2776</v>
      </c>
      <c r="B1188" s="9" t="s">
        <v>26</v>
      </c>
      <c r="C1188" s="9" t="s">
        <v>27</v>
      </c>
      <c r="D1188" s="52">
        <v>46173</v>
      </c>
      <c r="E1188" s="48">
        <v>0.55277777777777781</v>
      </c>
      <c r="F1188" s="48">
        <v>0.5805555555555556</v>
      </c>
      <c r="G1188" s="43">
        <f>(F1188-E1188)*1440</f>
        <v>40.000000000000014</v>
      </c>
      <c r="H1188" s="9" t="s">
        <v>2884</v>
      </c>
      <c r="I1188" s="9" t="s">
        <v>2885</v>
      </c>
      <c r="J1188" s="44">
        <v>43.4</v>
      </c>
      <c r="K1188" s="60">
        <v>20.95</v>
      </c>
      <c r="L1188" s="56">
        <v>15.89</v>
      </c>
      <c r="M1188" s="14">
        <f>K1188-L1188</f>
        <v>5.0599999999999987</v>
      </c>
      <c r="N1188" s="15">
        <f>IFERROR(M1188/K1188,0)</f>
        <v>0.24152744630071593</v>
      </c>
      <c r="O1188" s="14">
        <f>IFERROR(L1188/J1188,0)</f>
        <v>0.36612903225806454</v>
      </c>
      <c r="P1188" s="14">
        <f>IFERROR(L1188/G1188,0)</f>
        <v>0.39724999999999988</v>
      </c>
    </row>
    <row r="1189" spans="1:18" x14ac:dyDescent="0.3">
      <c r="A1189" s="9" t="s">
        <v>2770</v>
      </c>
      <c r="B1189" s="9" t="s">
        <v>18</v>
      </c>
      <c r="C1189" s="9" t="s">
        <v>184</v>
      </c>
      <c r="D1189" s="52">
        <v>46173</v>
      </c>
      <c r="E1189" s="48">
        <v>0.58263888888888882</v>
      </c>
      <c r="F1189" s="48">
        <v>0.59305555555555556</v>
      </c>
      <c r="G1189" s="43">
        <f>(F1189-E1189)*1440</f>
        <v>15.000000000000107</v>
      </c>
      <c r="H1189" s="9" t="s">
        <v>2876</v>
      </c>
      <c r="I1189" s="9" t="s">
        <v>2877</v>
      </c>
      <c r="J1189" s="44">
        <v>14.75</v>
      </c>
      <c r="K1189" s="60">
        <v>10.94</v>
      </c>
      <c r="L1189" s="56">
        <v>7.09</v>
      </c>
      <c r="M1189" s="14">
        <f>K1189-L1189</f>
        <v>3.8499999999999996</v>
      </c>
      <c r="N1189" s="15">
        <f>IFERROR(M1189/K1189,0)</f>
        <v>0.35191956124314439</v>
      </c>
      <c r="O1189" s="14">
        <f>IFERROR(L1189/J1189,0)</f>
        <v>0.48067796610169489</v>
      </c>
      <c r="P1189" s="14">
        <f>IFERROR(L1189/G1189,0)</f>
        <v>0.47266666666666329</v>
      </c>
      <c r="Q1189" s="64">
        <v>0.7</v>
      </c>
    </row>
    <row r="1190" spans="1:18" x14ac:dyDescent="0.3">
      <c r="A1190" s="9" t="s">
        <v>2774</v>
      </c>
      <c r="B1190" s="9" t="s">
        <v>538</v>
      </c>
      <c r="C1190" s="9" t="s">
        <v>196</v>
      </c>
      <c r="D1190" s="52">
        <v>46173</v>
      </c>
      <c r="E1190" s="48">
        <v>0.72986111111111107</v>
      </c>
      <c r="F1190" s="48">
        <v>0.74097222222222225</v>
      </c>
      <c r="G1190" s="43">
        <f>(F1190-E1190)*1440</f>
        <v>16.000000000000103</v>
      </c>
      <c r="H1190" s="9" t="s">
        <v>2627</v>
      </c>
      <c r="I1190" s="9" t="s">
        <v>2882</v>
      </c>
      <c r="J1190" s="44">
        <v>16.93</v>
      </c>
      <c r="K1190" s="60">
        <v>12.98</v>
      </c>
      <c r="L1190" s="56">
        <v>8.44</v>
      </c>
      <c r="M1190" s="14">
        <f>K1190-L1190</f>
        <v>4.5400000000000009</v>
      </c>
      <c r="N1190" s="15">
        <f>IFERROR(M1190/K1190,0)</f>
        <v>0.34976887519260408</v>
      </c>
      <c r="O1190" s="14">
        <f>IFERROR(L1190/J1190,0)</f>
        <v>0.49852333136444182</v>
      </c>
      <c r="P1190" s="14">
        <f>IFERROR(L1190/G1190,0)</f>
        <v>0.52749999999999653</v>
      </c>
    </row>
    <row r="1191" spans="1:18" x14ac:dyDescent="0.3">
      <c r="A1191" s="9" t="s">
        <v>2780</v>
      </c>
      <c r="B1191" s="9" t="s">
        <v>26</v>
      </c>
      <c r="C1191" s="9" t="s">
        <v>27</v>
      </c>
      <c r="D1191" s="52">
        <v>46173</v>
      </c>
      <c r="E1191" s="48">
        <v>0.6694444444444444</v>
      </c>
      <c r="F1191" s="48">
        <v>0.67986111111111114</v>
      </c>
      <c r="G1191" s="43">
        <f>(F1191-E1191)*1440</f>
        <v>15.000000000000107</v>
      </c>
      <c r="H1191" s="9" t="s">
        <v>1964</v>
      </c>
      <c r="I1191" s="9" t="s">
        <v>2890</v>
      </c>
      <c r="J1191" s="44">
        <v>11</v>
      </c>
      <c r="K1191" s="60">
        <v>8.3699999999999992</v>
      </c>
      <c r="L1191" s="56">
        <v>6.28</v>
      </c>
      <c r="M1191" s="14">
        <f>K1191-L1191</f>
        <v>2.089999999999999</v>
      </c>
      <c r="N1191" s="15">
        <f>IFERROR(M1191/K1191,0)</f>
        <v>0.24970131421744315</v>
      </c>
      <c r="O1191" s="14">
        <f>IFERROR(L1191/J1191,0)</f>
        <v>0.57090909090909092</v>
      </c>
      <c r="P1191" s="14">
        <f>IFERROR(L1191/G1191,0)</f>
        <v>0.41866666666666369</v>
      </c>
    </row>
    <row r="1192" spans="1:18" x14ac:dyDescent="0.3">
      <c r="A1192" s="9" t="s">
        <v>2778</v>
      </c>
      <c r="B1192" s="9" t="s">
        <v>26</v>
      </c>
      <c r="C1192" s="9" t="s">
        <v>26</v>
      </c>
      <c r="D1192" s="52">
        <v>46173</v>
      </c>
      <c r="E1192" s="48">
        <v>0.61875000000000002</v>
      </c>
      <c r="F1192" s="48">
        <v>0.62708333333333333</v>
      </c>
      <c r="G1192" s="43">
        <f>(F1192-E1192)*1440</f>
        <v>11.999999999999957</v>
      </c>
      <c r="H1192" s="9" t="s">
        <v>2887</v>
      </c>
      <c r="I1192" s="9" t="s">
        <v>2888</v>
      </c>
      <c r="J1192" s="44">
        <v>9.5</v>
      </c>
      <c r="K1192" s="60">
        <v>5.85</v>
      </c>
      <c r="L1192" s="56">
        <v>5.48</v>
      </c>
      <c r="M1192" s="14">
        <f>K1192-L1192</f>
        <v>0.36999999999999922</v>
      </c>
      <c r="N1192" s="15">
        <f>IFERROR(M1192/K1192,0)</f>
        <v>6.324786324786312E-2</v>
      </c>
      <c r="O1192" s="14">
        <f>IFERROR(L1192/J1192,0)</f>
        <v>0.57684210526315793</v>
      </c>
      <c r="P1192" s="14">
        <f>IFERROR(L1192/G1192,0)</f>
        <v>0.45666666666666833</v>
      </c>
    </row>
    <row r="1193" spans="1:18" x14ac:dyDescent="0.3">
      <c r="A1193" s="9" t="s">
        <v>2775</v>
      </c>
      <c r="B1193" s="9" t="s">
        <v>26</v>
      </c>
      <c r="C1193" s="9" t="s">
        <v>27</v>
      </c>
      <c r="D1193" s="52">
        <v>46173</v>
      </c>
      <c r="E1193" s="48">
        <v>0.54375000000000007</v>
      </c>
      <c r="F1193" s="48">
        <v>0.55069444444444449</v>
      </c>
      <c r="G1193" s="43">
        <f>(F1193-E1193)*1440</f>
        <v>9.9999999999999645</v>
      </c>
      <c r="H1193" s="9" t="s">
        <v>1321</v>
      </c>
      <c r="I1193" s="9" t="s">
        <v>2883</v>
      </c>
      <c r="J1193" s="44">
        <v>5.3</v>
      </c>
      <c r="K1193" s="60">
        <v>3.47</v>
      </c>
      <c r="L1193" s="56">
        <v>3.25</v>
      </c>
      <c r="M1193" s="14">
        <f>K1193-L1193</f>
        <v>0.2200000000000002</v>
      </c>
      <c r="N1193" s="15">
        <f>IFERROR(M1193/K1193,0)</f>
        <v>6.3400576368876138E-2</v>
      </c>
      <c r="O1193" s="14">
        <f>IFERROR(L1193/J1193,0)</f>
        <v>0.6132075471698113</v>
      </c>
      <c r="P1193" s="14">
        <f>IFERROR(L1193/G1193,0)</f>
        <v>0.32500000000000118</v>
      </c>
    </row>
    <row r="1194" spans="1:18" x14ac:dyDescent="0.3">
      <c r="A1194" s="9" t="s">
        <v>2771</v>
      </c>
      <c r="B1194" s="9" t="s">
        <v>538</v>
      </c>
      <c r="C1194" s="9" t="s">
        <v>184</v>
      </c>
      <c r="D1194" s="52">
        <v>46173</v>
      </c>
      <c r="E1194" s="48">
        <v>0.65347222222222223</v>
      </c>
      <c r="F1194" s="48">
        <v>0.65972222222222221</v>
      </c>
      <c r="G1194" s="43">
        <f>(F1194-E1194)*1440</f>
        <v>8.999999999999968</v>
      </c>
      <c r="H1194" s="9" t="s">
        <v>2878</v>
      </c>
      <c r="I1194" s="9" t="s">
        <v>2879</v>
      </c>
      <c r="J1194" s="44">
        <v>7.69</v>
      </c>
      <c r="K1194" s="60">
        <v>5.95</v>
      </c>
      <c r="L1194" s="56">
        <v>4.91</v>
      </c>
      <c r="M1194" s="14">
        <f>K1194-L1194</f>
        <v>1.04</v>
      </c>
      <c r="N1194" s="15">
        <f>IFERROR(M1194/K1194,0)</f>
        <v>0.17478991596638654</v>
      </c>
      <c r="O1194" s="14">
        <f>IFERROR(L1194/J1194,0)</f>
        <v>0.63849154746423931</v>
      </c>
      <c r="P1194" s="14">
        <f>IFERROR(L1194/G1194,0)</f>
        <v>0.54555555555555746</v>
      </c>
    </row>
    <row r="1195" spans="1:18" x14ac:dyDescent="0.3">
      <c r="A1195" s="9" t="s">
        <v>2779</v>
      </c>
      <c r="B1195" s="9" t="s">
        <v>26</v>
      </c>
      <c r="C1195" s="9" t="s">
        <v>26</v>
      </c>
      <c r="D1195" s="52">
        <v>46173</v>
      </c>
      <c r="E1195" s="48">
        <v>0.63194444444444442</v>
      </c>
      <c r="F1195" s="48">
        <v>0.63958333333333328</v>
      </c>
      <c r="G1195" s="43">
        <f>(F1195-E1195)*1440</f>
        <v>10.999999999999961</v>
      </c>
      <c r="H1195" s="9" t="s">
        <v>266</v>
      </c>
      <c r="I1195" s="9" t="s">
        <v>2889</v>
      </c>
      <c r="J1195" s="44">
        <v>10.5</v>
      </c>
      <c r="K1195" s="60">
        <v>8.68</v>
      </c>
      <c r="L1195" s="56">
        <v>8.14</v>
      </c>
      <c r="M1195" s="14">
        <f>K1195-L1195</f>
        <v>0.53999999999999915</v>
      </c>
      <c r="N1195" s="15">
        <f>IFERROR(M1195/K1195,0)</f>
        <v>6.2211981566820181E-2</v>
      </c>
      <c r="O1195" s="14">
        <f>IFERROR(L1195/J1195,0)</f>
        <v>0.77523809523809528</v>
      </c>
      <c r="P1195" s="14">
        <f>IFERROR(L1195/G1195,0)</f>
        <v>0.74000000000000266</v>
      </c>
      <c r="R1195" s="57">
        <v>3.1</v>
      </c>
    </row>
    <row r="1196" spans="1:18" x14ac:dyDescent="0.3">
      <c r="A1196" s="9" t="s">
        <v>2782</v>
      </c>
      <c r="B1196" s="9" t="s">
        <v>26</v>
      </c>
      <c r="C1196" s="9" t="s">
        <v>27</v>
      </c>
      <c r="D1196" s="52">
        <v>46173</v>
      </c>
      <c r="E1196" s="48">
        <v>0.70694444444444438</v>
      </c>
      <c r="F1196" s="48">
        <v>0.71666666666666667</v>
      </c>
      <c r="G1196" s="43">
        <f>(F1196-E1196)*1440</f>
        <v>14.00000000000011</v>
      </c>
      <c r="H1196" s="9" t="s">
        <v>2893</v>
      </c>
      <c r="I1196" s="9" t="s">
        <v>2545</v>
      </c>
      <c r="J1196" s="44">
        <v>7</v>
      </c>
      <c r="K1196" s="60">
        <v>8.35</v>
      </c>
      <c r="L1196" s="56">
        <v>6.26</v>
      </c>
      <c r="M1196" s="14">
        <f>K1196-L1196</f>
        <v>2.09</v>
      </c>
      <c r="N1196" s="15">
        <f>IFERROR(M1196/K1196,0)</f>
        <v>0.2502994011976048</v>
      </c>
      <c r="O1196" s="14">
        <f>IFERROR(L1196/J1196,0)</f>
        <v>0.89428571428571424</v>
      </c>
      <c r="P1196" s="14">
        <f>IFERROR(L1196/G1196,0)</f>
        <v>0.44714285714285362</v>
      </c>
      <c r="R1196" s="57">
        <v>2.39</v>
      </c>
    </row>
    <row r="1197" spans="1:18" x14ac:dyDescent="0.3">
      <c r="A1197" s="9" t="s">
        <v>2777</v>
      </c>
      <c r="B1197" s="9" t="s">
        <v>26</v>
      </c>
      <c r="C1197" s="9" t="s">
        <v>26</v>
      </c>
      <c r="D1197" s="52">
        <v>46173</v>
      </c>
      <c r="E1197" s="48">
        <v>0.60555555555555551</v>
      </c>
      <c r="F1197" s="48">
        <v>0.61388888888888882</v>
      </c>
      <c r="G1197" s="43">
        <f>(F1197-E1197)*1440</f>
        <v>11.999999999999957</v>
      </c>
      <c r="H1197" s="9" t="s">
        <v>2886</v>
      </c>
      <c r="I1197" s="9" t="s">
        <v>209</v>
      </c>
      <c r="J1197" s="44">
        <v>6.7</v>
      </c>
      <c r="K1197" s="60">
        <v>7.58</v>
      </c>
      <c r="L1197" s="56">
        <v>6.25</v>
      </c>
      <c r="M1197" s="14">
        <f>K1197-L1197</f>
        <v>1.33</v>
      </c>
      <c r="N1197" s="15">
        <f>IFERROR(M1197/K1197,0)</f>
        <v>0.17546174142480211</v>
      </c>
      <c r="O1197" s="14">
        <f>IFERROR(L1197/J1197,0)</f>
        <v>0.93283582089552242</v>
      </c>
      <c r="P1197" s="14">
        <f>IFERROR(L1197/G1197,0)</f>
        <v>0.52083333333333515</v>
      </c>
      <c r="R1197" s="57">
        <v>1.76</v>
      </c>
    </row>
    <row r="1198" spans="1:18" x14ac:dyDescent="0.3">
      <c r="A1198" s="9" t="s">
        <v>2781</v>
      </c>
      <c r="B1198" s="9" t="s">
        <v>26</v>
      </c>
      <c r="C1198" s="9" t="s">
        <v>27</v>
      </c>
      <c r="D1198" s="52">
        <v>46173</v>
      </c>
      <c r="E1198" s="48">
        <v>0.69166666666666676</v>
      </c>
      <c r="F1198" s="48">
        <v>0.70000000000000007</v>
      </c>
      <c r="G1198" s="43">
        <f>(F1198-E1198)*1440</f>
        <v>11.999999999999957</v>
      </c>
      <c r="H1198" s="9" t="s">
        <v>2891</v>
      </c>
      <c r="I1198" s="9" t="s">
        <v>2892</v>
      </c>
      <c r="J1198" s="44">
        <v>5.8</v>
      </c>
      <c r="K1198" s="60">
        <v>7.21</v>
      </c>
      <c r="L1198" s="56">
        <v>5.95</v>
      </c>
      <c r="M1198" s="14">
        <f>K1198-L1198</f>
        <v>1.2599999999999998</v>
      </c>
      <c r="N1198" s="15">
        <f>IFERROR(M1198/K1198,0)</f>
        <v>0.17475728155339804</v>
      </c>
      <c r="O1198" s="14">
        <f>IFERROR(L1198/J1198,0)</f>
        <v>1.0258620689655173</v>
      </c>
      <c r="P1198" s="14">
        <f>IFERROR(L1198/G1198,0)</f>
        <v>0.49583333333333512</v>
      </c>
      <c r="R1198" s="57">
        <v>2.71</v>
      </c>
    </row>
    <row r="1199" spans="1:18" x14ac:dyDescent="0.3">
      <c r="A1199" s="9" t="s">
        <v>2773</v>
      </c>
      <c r="B1199" s="9" t="s">
        <v>538</v>
      </c>
      <c r="C1199" s="9" t="s">
        <v>184</v>
      </c>
      <c r="D1199" s="52">
        <v>46173</v>
      </c>
      <c r="E1199" s="48">
        <v>0.71736111111111101</v>
      </c>
      <c r="F1199" s="48">
        <v>0.72569444444444453</v>
      </c>
      <c r="G1199" s="43">
        <f>(F1199-E1199)*1440</f>
        <v>12.000000000000277</v>
      </c>
      <c r="H1199" s="9" t="s">
        <v>1274</v>
      </c>
      <c r="I1199" s="9" t="s">
        <v>2881</v>
      </c>
      <c r="J1199" s="44">
        <v>2.86</v>
      </c>
      <c r="K1199" s="60">
        <v>4.95</v>
      </c>
      <c r="L1199" s="56">
        <v>3.63</v>
      </c>
      <c r="M1199" s="14">
        <f>K1199-L1199</f>
        <v>1.3200000000000003</v>
      </c>
      <c r="N1199" s="15">
        <f>IFERROR(M1199/K1199,0)</f>
        <v>0.26666666666666672</v>
      </c>
      <c r="O1199" s="14">
        <f>IFERROR(L1199/J1199,0)</f>
        <v>1.2692307692307692</v>
      </c>
      <c r="P1199" s="14">
        <f>IFERROR(L1199/G1199,0)</f>
        <v>0.302499999999993</v>
      </c>
    </row>
    <row r="1200" spans="1:18" x14ac:dyDescent="0.3">
      <c r="A1200" s="9" t="s">
        <v>2772</v>
      </c>
      <c r="B1200" s="9" t="s">
        <v>538</v>
      </c>
      <c r="C1200" s="9" t="s">
        <v>196</v>
      </c>
      <c r="D1200" s="52">
        <v>46173</v>
      </c>
      <c r="E1200" s="48">
        <v>0.6791666666666667</v>
      </c>
      <c r="F1200" s="48">
        <v>0.68333333333333324</v>
      </c>
      <c r="G1200" s="43">
        <f>(F1200-E1200)*1440</f>
        <v>5.9999999999998188</v>
      </c>
      <c r="H1200" s="9" t="s">
        <v>2880</v>
      </c>
      <c r="I1200" s="9" t="s">
        <v>670</v>
      </c>
      <c r="J1200" s="44">
        <v>1.49</v>
      </c>
      <c r="K1200" s="60">
        <v>6.97</v>
      </c>
      <c r="L1200" s="56">
        <v>4.7</v>
      </c>
      <c r="M1200" s="14">
        <f>K1200-L1200</f>
        <v>2.2699999999999996</v>
      </c>
      <c r="N1200" s="15">
        <f>IFERROR(M1200/K1200,0)</f>
        <v>0.32568149210903868</v>
      </c>
      <c r="O1200" s="14">
        <f>IFERROR(L1200/J1200,0)</f>
        <v>3.1543624161073827</v>
      </c>
      <c r="P1200" s="14">
        <f>IFERROR(L1200/G1200,0)</f>
        <v>0.78333333333335697</v>
      </c>
    </row>
    <row r="1201" spans="1:19" x14ac:dyDescent="0.3">
      <c r="A1201" s="9" t="s">
        <v>2911</v>
      </c>
      <c r="B1201" s="9" t="s">
        <v>538</v>
      </c>
      <c r="C1201" s="9" t="s">
        <v>184</v>
      </c>
      <c r="D1201" s="52">
        <v>46174</v>
      </c>
      <c r="E1201" s="48">
        <v>0.82291666666666663</v>
      </c>
      <c r="F1201" s="48">
        <v>0.84236111111111101</v>
      </c>
      <c r="G1201" s="43">
        <f>(F1201-E1201)*1440</f>
        <v>27.999999999999901</v>
      </c>
      <c r="H1201" s="9" t="s">
        <v>765</v>
      </c>
      <c r="I1201" s="9" t="s">
        <v>2618</v>
      </c>
      <c r="J1201" s="44">
        <v>32.44</v>
      </c>
      <c r="K1201" s="60">
        <v>24.96</v>
      </c>
      <c r="L1201" s="56">
        <v>16.22</v>
      </c>
      <c r="M1201" s="14">
        <f>K1201-L1201</f>
        <v>8.740000000000002</v>
      </c>
      <c r="N1201" s="15">
        <f>IFERROR(M1201/K1201,0)</f>
        <v>0.3501602564102565</v>
      </c>
      <c r="O1201" s="14">
        <f>IFERROR(L1201/J1201,0)</f>
        <v>0.5</v>
      </c>
      <c r="P1201" s="14">
        <f>IFERROR(L1201/G1201,0)</f>
        <v>0.57928571428571629</v>
      </c>
    </row>
    <row r="1202" spans="1:19" x14ac:dyDescent="0.3">
      <c r="A1202" s="9" t="s">
        <v>2894</v>
      </c>
      <c r="B1202" s="9" t="s">
        <v>26</v>
      </c>
      <c r="C1202" s="9" t="s">
        <v>27</v>
      </c>
      <c r="D1202" s="52">
        <v>46174</v>
      </c>
      <c r="E1202" s="48">
        <v>0.60138888888888886</v>
      </c>
      <c r="F1202" s="48">
        <v>0.61111111111111105</v>
      </c>
      <c r="G1202" s="43">
        <f>(F1202-E1202)*1440</f>
        <v>13.99999999999995</v>
      </c>
      <c r="H1202" s="9" t="s">
        <v>214</v>
      </c>
      <c r="I1202" s="9" t="s">
        <v>2923</v>
      </c>
      <c r="J1202" s="44">
        <v>8.4</v>
      </c>
      <c r="K1202" s="60">
        <v>6.04</v>
      </c>
      <c r="L1202" s="56">
        <v>4.53</v>
      </c>
      <c r="M1202" s="14">
        <f>K1202-L1202</f>
        <v>1.5099999999999998</v>
      </c>
      <c r="N1202" s="15">
        <f>IFERROR(M1202/K1202,0)</f>
        <v>0.24999999999999997</v>
      </c>
      <c r="O1202" s="14">
        <f>IFERROR(L1202/J1202,0)</f>
        <v>0.53928571428571426</v>
      </c>
      <c r="P1202" s="14">
        <f>IFERROR(L1202/G1202,0)</f>
        <v>0.32357142857142973</v>
      </c>
    </row>
    <row r="1203" spans="1:19" x14ac:dyDescent="0.3">
      <c r="A1203" s="9" t="s">
        <v>2901</v>
      </c>
      <c r="B1203" s="9" t="s">
        <v>18</v>
      </c>
      <c r="C1203" s="9" t="s">
        <v>184</v>
      </c>
      <c r="D1203" s="52">
        <v>46174</v>
      </c>
      <c r="E1203" s="48">
        <v>0.54097222222222219</v>
      </c>
      <c r="F1203" s="48">
        <v>0.5625</v>
      </c>
      <c r="G1203" s="43">
        <f>(F1203-E1203)*1440</f>
        <v>31.00000000000005</v>
      </c>
      <c r="H1203" s="9" t="s">
        <v>1183</v>
      </c>
      <c r="I1203" s="9" t="s">
        <v>2935</v>
      </c>
      <c r="J1203" s="44">
        <v>20.43</v>
      </c>
      <c r="K1203" s="60">
        <v>14.95</v>
      </c>
      <c r="L1203" s="56">
        <v>11.48</v>
      </c>
      <c r="M1203" s="14">
        <f>K1203-L1203</f>
        <v>3.4699999999999989</v>
      </c>
      <c r="N1203" s="15">
        <f>IFERROR(M1203/K1203,0)</f>
        <v>0.23210702341137118</v>
      </c>
      <c r="O1203" s="14">
        <f>IFERROR(L1203/J1203,0)</f>
        <v>0.56191874694077337</v>
      </c>
      <c r="P1203" s="14">
        <f>IFERROR(L1203/G1203,0)</f>
        <v>0.37032258064516071</v>
      </c>
    </row>
    <row r="1204" spans="1:19" x14ac:dyDescent="0.3">
      <c r="A1204" s="9" t="s">
        <v>2910</v>
      </c>
      <c r="B1204" s="9" t="s">
        <v>538</v>
      </c>
      <c r="C1204" s="9" t="s">
        <v>184</v>
      </c>
      <c r="D1204" s="52">
        <v>46174</v>
      </c>
      <c r="E1204" s="48">
        <v>0.79236111111111107</v>
      </c>
      <c r="F1204" s="48">
        <v>0.80069444444444438</v>
      </c>
      <c r="G1204" s="43">
        <f>(F1204-E1204)*1440</f>
        <v>11.999999999999957</v>
      </c>
      <c r="H1204" s="9" t="s">
        <v>2946</v>
      </c>
      <c r="I1204" s="9" t="s">
        <v>1298</v>
      </c>
      <c r="J1204" s="44">
        <v>7.55</v>
      </c>
      <c r="K1204" s="60">
        <v>5.95</v>
      </c>
      <c r="L1204" s="56">
        <v>4.9000000000000004</v>
      </c>
      <c r="M1204" s="14">
        <f>K1204-L1204</f>
        <v>1.0499999999999998</v>
      </c>
      <c r="N1204" s="15">
        <f>IFERROR(M1204/K1204,0)</f>
        <v>0.17647058823529407</v>
      </c>
      <c r="O1204" s="14">
        <f>IFERROR(L1204/J1204,0)</f>
        <v>0.64900662251655639</v>
      </c>
      <c r="P1204" s="14">
        <f>IFERROR(L1204/G1204,0)</f>
        <v>0.40833333333333482</v>
      </c>
    </row>
    <row r="1205" spans="1:19" x14ac:dyDescent="0.3">
      <c r="A1205" s="9" t="s">
        <v>2783</v>
      </c>
      <c r="B1205" s="9" t="s">
        <v>26</v>
      </c>
      <c r="C1205" s="9" t="s">
        <v>26</v>
      </c>
      <c r="D1205" s="52">
        <v>46174</v>
      </c>
      <c r="E1205" s="48">
        <v>0.59027777777777779</v>
      </c>
      <c r="F1205" s="48">
        <v>0.6</v>
      </c>
      <c r="G1205" s="43">
        <f>(F1205-E1205)*1440</f>
        <v>13.99999999999995</v>
      </c>
      <c r="H1205" s="9" t="s">
        <v>242</v>
      </c>
      <c r="I1205" s="9" t="s">
        <v>214</v>
      </c>
      <c r="J1205" s="44">
        <v>10</v>
      </c>
      <c r="K1205" s="60">
        <v>6.3</v>
      </c>
      <c r="L1205" s="56">
        <v>6.75</v>
      </c>
      <c r="M1205" s="14">
        <f>K1205-L1205</f>
        <v>-0.45000000000000018</v>
      </c>
      <c r="N1205" s="15">
        <f>IFERROR(M1205/K1205,0)</f>
        <v>-7.1428571428571452E-2</v>
      </c>
      <c r="O1205" s="14">
        <f>IFERROR(L1205/J1205,0)</f>
        <v>0.67500000000000004</v>
      </c>
      <c r="P1205" s="14">
        <f>IFERROR(L1205/G1205,0)</f>
        <v>0.48214285714285887</v>
      </c>
      <c r="R1205" s="57">
        <v>1.5</v>
      </c>
    </row>
    <row r="1206" spans="1:19" x14ac:dyDescent="0.3">
      <c r="A1206" s="9" t="s">
        <v>2907</v>
      </c>
      <c r="B1206" s="9" t="s">
        <v>538</v>
      </c>
      <c r="C1206" s="9" t="s">
        <v>184</v>
      </c>
      <c r="D1206" s="52">
        <v>46174</v>
      </c>
      <c r="E1206" s="48">
        <v>0.68402777777777779</v>
      </c>
      <c r="F1206" s="48">
        <v>0.69166666666666676</v>
      </c>
      <c r="G1206" s="43">
        <f>(F1206-E1206)*1440</f>
        <v>11.000000000000121</v>
      </c>
      <c r="H1206" s="9" t="s">
        <v>2941</v>
      </c>
      <c r="I1206" s="9" t="s">
        <v>2942</v>
      </c>
      <c r="J1206" s="44">
        <v>7.4</v>
      </c>
      <c r="K1206" s="60">
        <v>6.94</v>
      </c>
      <c r="L1206" s="56">
        <v>5.32</v>
      </c>
      <c r="M1206" s="14">
        <f>K1206-L1206</f>
        <v>1.62</v>
      </c>
      <c r="N1206" s="15">
        <f>IFERROR(M1206/K1206,0)</f>
        <v>0.23342939481268013</v>
      </c>
      <c r="O1206" s="14">
        <f>IFERROR(L1206/J1206,0)</f>
        <v>0.7189189189189189</v>
      </c>
      <c r="P1206" s="14">
        <f>IFERROR(L1206/G1206,0)</f>
        <v>0.48363636363635837</v>
      </c>
    </row>
    <row r="1207" spans="1:19" x14ac:dyDescent="0.3">
      <c r="A1207" s="9" t="s">
        <v>2904</v>
      </c>
      <c r="B1207" s="9" t="s">
        <v>18</v>
      </c>
      <c r="C1207" s="9" t="s">
        <v>196</v>
      </c>
      <c r="D1207" s="52">
        <v>46174</v>
      </c>
      <c r="E1207" s="48">
        <v>0.65138888888888891</v>
      </c>
      <c r="F1207" s="48">
        <v>0.66041666666666665</v>
      </c>
      <c r="G1207" s="43">
        <f>(F1207-E1207)*1440</f>
        <v>12.999999999999954</v>
      </c>
      <c r="H1207" s="9" t="s">
        <v>243</v>
      </c>
      <c r="I1207" s="9" t="s">
        <v>2939</v>
      </c>
      <c r="J1207" s="44">
        <v>5.89</v>
      </c>
      <c r="K1207" s="60">
        <v>5.98</v>
      </c>
      <c r="L1207" s="56">
        <v>4.5999999999999996</v>
      </c>
      <c r="M1207" s="14">
        <f>K1207-L1207</f>
        <v>1.3800000000000008</v>
      </c>
      <c r="N1207" s="15">
        <f>IFERROR(M1207/K1207,0)</f>
        <v>0.23076923076923089</v>
      </c>
      <c r="O1207" s="14">
        <f>IFERROR(L1207/J1207,0)</f>
        <v>0.7809847198641765</v>
      </c>
      <c r="P1207" s="14">
        <f>IFERROR(L1207/G1207,0)</f>
        <v>0.35384615384615509</v>
      </c>
      <c r="S1207" s="61">
        <v>0.5</v>
      </c>
    </row>
    <row r="1208" spans="1:19" x14ac:dyDescent="0.3">
      <c r="A1208" s="9" t="s">
        <v>2900</v>
      </c>
      <c r="B1208" s="9" t="s">
        <v>26</v>
      </c>
      <c r="C1208" s="9" t="s">
        <v>26</v>
      </c>
      <c r="D1208" s="52">
        <v>46174</v>
      </c>
      <c r="E1208" s="48">
        <v>0.78680555555555554</v>
      </c>
      <c r="F1208" s="48">
        <v>0.79375000000000007</v>
      </c>
      <c r="G1208" s="43">
        <f>(F1208-E1208)*1440</f>
        <v>10.000000000000124</v>
      </c>
      <c r="H1208" s="9" t="s">
        <v>2933</v>
      </c>
      <c r="I1208" s="9" t="s">
        <v>2934</v>
      </c>
      <c r="J1208" s="44">
        <v>5.9</v>
      </c>
      <c r="K1208" s="60">
        <v>5.5</v>
      </c>
      <c r="L1208" s="56">
        <v>5.16</v>
      </c>
      <c r="M1208" s="14">
        <f>K1208-L1208</f>
        <v>0.33999999999999986</v>
      </c>
      <c r="N1208" s="15">
        <f>IFERROR(M1208/K1208,0)</f>
        <v>6.1818181818181793E-2</v>
      </c>
      <c r="O1208" s="14">
        <f>IFERROR(L1208/J1208,0)</f>
        <v>0.87457627118644066</v>
      </c>
      <c r="P1208" s="14">
        <f>IFERROR(L1208/G1208,0)</f>
        <v>0.51599999999999357</v>
      </c>
      <c r="R1208" s="57">
        <v>0.63</v>
      </c>
    </row>
    <row r="1209" spans="1:19" x14ac:dyDescent="0.3">
      <c r="A1209" s="9" t="s">
        <v>2896</v>
      </c>
      <c r="B1209" s="9" t="s">
        <v>26</v>
      </c>
      <c r="C1209" s="9" t="s">
        <v>26</v>
      </c>
      <c r="D1209" s="52">
        <v>46174</v>
      </c>
      <c r="E1209" s="48">
        <v>0.62847222222222221</v>
      </c>
      <c r="F1209" s="48">
        <v>0.63402777777777775</v>
      </c>
      <c r="G1209" s="43">
        <f>(F1209-E1209)*1440</f>
        <v>7.9999999999999716</v>
      </c>
      <c r="H1209" s="9" t="s">
        <v>2927</v>
      </c>
      <c r="I1209" s="9" t="s">
        <v>2928</v>
      </c>
      <c r="J1209" s="44">
        <v>4.3</v>
      </c>
      <c r="K1209" s="60">
        <v>3.7</v>
      </c>
      <c r="L1209" s="56">
        <v>3.96</v>
      </c>
      <c r="M1209" s="14">
        <f>K1209-L1209</f>
        <v>-0.25999999999999979</v>
      </c>
      <c r="N1209" s="15">
        <f>IFERROR(M1209/K1209,0)</f>
        <v>-7.0270270270270205E-2</v>
      </c>
      <c r="O1209" s="14">
        <f>IFERROR(L1209/J1209,0)</f>
        <v>0.92093023255813955</v>
      </c>
      <c r="P1209" s="14">
        <f>IFERROR(L1209/G1209,0)</f>
        <v>0.49500000000000177</v>
      </c>
      <c r="R1209" s="57">
        <v>0.88</v>
      </c>
    </row>
    <row r="1210" spans="1:19" x14ac:dyDescent="0.3">
      <c r="A1210" s="9" t="s">
        <v>2899</v>
      </c>
      <c r="B1210" s="9" t="s">
        <v>26</v>
      </c>
      <c r="C1210" s="9" t="s">
        <v>26</v>
      </c>
      <c r="D1210" s="52">
        <v>46174</v>
      </c>
      <c r="E1210" s="48">
        <v>0.7729166666666667</v>
      </c>
      <c r="F1210" s="48">
        <v>0.78055555555555556</v>
      </c>
      <c r="G1210" s="43">
        <f>(F1210-E1210)*1440</f>
        <v>10.999999999999961</v>
      </c>
      <c r="H1210" s="9" t="s">
        <v>642</v>
      </c>
      <c r="I1210" s="9" t="s">
        <v>2789</v>
      </c>
      <c r="J1210" s="44">
        <v>4.4000000000000004</v>
      </c>
      <c r="K1210" s="60">
        <v>3.81</v>
      </c>
      <c r="L1210" s="56">
        <v>4.08</v>
      </c>
      <c r="M1210" s="14">
        <f>K1210-L1210</f>
        <v>-0.27</v>
      </c>
      <c r="N1210" s="15">
        <f>IFERROR(M1210/K1210,0)</f>
        <v>-7.0866141732283464E-2</v>
      </c>
      <c r="O1210" s="14">
        <f>IFERROR(L1210/J1210,0)</f>
        <v>0.92727272727272725</v>
      </c>
      <c r="P1210" s="14">
        <f>IFERROR(L1210/G1210,0)</f>
        <v>0.37090909090909224</v>
      </c>
      <c r="R1210" s="57">
        <v>0.48</v>
      </c>
    </row>
    <row r="1211" spans="1:19" x14ac:dyDescent="0.3">
      <c r="A1211" s="9" t="s">
        <v>2909</v>
      </c>
      <c r="B1211" s="9" t="s">
        <v>538</v>
      </c>
      <c r="C1211" s="9" t="s">
        <v>184</v>
      </c>
      <c r="D1211" s="52">
        <v>46174</v>
      </c>
      <c r="E1211" s="48">
        <v>0.7319444444444444</v>
      </c>
      <c r="F1211" s="48">
        <v>0.74722222222222223</v>
      </c>
      <c r="G1211" s="43">
        <f>(F1211-E1211)*1440</f>
        <v>22.000000000000082</v>
      </c>
      <c r="H1211" s="9" t="s">
        <v>2945</v>
      </c>
      <c r="I1211" s="9" t="s">
        <v>2799</v>
      </c>
      <c r="J1211" s="44">
        <v>13.2</v>
      </c>
      <c r="K1211" s="60">
        <v>16.95</v>
      </c>
      <c r="L1211" s="56">
        <v>13.44</v>
      </c>
      <c r="M1211" s="14">
        <f>K1211-L1211</f>
        <v>3.51</v>
      </c>
      <c r="N1211" s="15">
        <f>IFERROR(M1211/K1211,0)</f>
        <v>0.2070796460176991</v>
      </c>
      <c r="O1211" s="14">
        <f>IFERROR(L1211/J1211,0)</f>
        <v>1.0181818181818183</v>
      </c>
      <c r="P1211" s="14">
        <f>IFERROR(L1211/G1211,0)</f>
        <v>0.61090909090908863</v>
      </c>
    </row>
    <row r="1212" spans="1:19" x14ac:dyDescent="0.3">
      <c r="A1212" s="9" t="s">
        <v>2898</v>
      </c>
      <c r="B1212" s="9" t="s">
        <v>26</v>
      </c>
      <c r="C1212" s="9" t="s">
        <v>26</v>
      </c>
      <c r="D1212" s="52">
        <v>46174</v>
      </c>
      <c r="E1212" s="48">
        <v>0.76388888888888884</v>
      </c>
      <c r="F1212" s="48">
        <v>0.77013888888888893</v>
      </c>
      <c r="G1212" s="43">
        <f>(F1212-E1212)*1440</f>
        <v>9.0000000000001279</v>
      </c>
      <c r="H1212" s="9" t="s">
        <v>2931</v>
      </c>
      <c r="I1212" s="9" t="s">
        <v>2932</v>
      </c>
      <c r="J1212" s="44">
        <v>4</v>
      </c>
      <c r="K1212" s="60">
        <v>5.72</v>
      </c>
      <c r="L1212" s="56">
        <v>4.29</v>
      </c>
      <c r="M1212" s="14">
        <f>K1212-L1212</f>
        <v>1.4299999999999997</v>
      </c>
      <c r="N1212" s="15">
        <f>IFERROR(M1212/K1212,0)</f>
        <v>0.24999999999999997</v>
      </c>
      <c r="O1212" s="14">
        <f>IFERROR(L1212/J1212,0)</f>
        <v>1.0725</v>
      </c>
      <c r="P1212" s="14">
        <f>IFERROR(L1212/G1212,0)</f>
        <v>0.47666666666665991</v>
      </c>
      <c r="R1212" s="57">
        <v>1.32</v>
      </c>
    </row>
    <row r="1213" spans="1:19" x14ac:dyDescent="0.3">
      <c r="A1213" s="9" t="s">
        <v>2897</v>
      </c>
      <c r="B1213" s="9" t="s">
        <v>26</v>
      </c>
      <c r="C1213" s="9" t="s">
        <v>26</v>
      </c>
      <c r="D1213" s="52">
        <v>46174</v>
      </c>
      <c r="E1213" s="48">
        <v>0.75416666666666676</v>
      </c>
      <c r="F1213" s="48">
        <v>0.76250000000000007</v>
      </c>
      <c r="G1213" s="43">
        <f>(F1213-E1213)*1440</f>
        <v>11.999999999999957</v>
      </c>
      <c r="H1213" s="9" t="s">
        <v>2929</v>
      </c>
      <c r="I1213" s="9" t="s">
        <v>2930</v>
      </c>
      <c r="J1213" s="44">
        <v>3.9</v>
      </c>
      <c r="K1213" s="60">
        <v>4.8099999999999996</v>
      </c>
      <c r="L1213" s="56">
        <v>4.51</v>
      </c>
      <c r="M1213" s="14">
        <f>K1213-L1213</f>
        <v>0.29999999999999982</v>
      </c>
      <c r="N1213" s="15">
        <f>IFERROR(M1213/K1213,0)</f>
        <v>6.2370062370062339E-2</v>
      </c>
      <c r="O1213" s="14">
        <f>IFERROR(L1213/J1213,0)</f>
        <v>1.1564102564102563</v>
      </c>
      <c r="P1213" s="14">
        <f>IFERROR(L1213/G1213,0)</f>
        <v>0.37583333333333463</v>
      </c>
      <c r="R1213" s="57">
        <v>1</v>
      </c>
    </row>
    <row r="1214" spans="1:19" x14ac:dyDescent="0.3">
      <c r="A1214" s="9" t="s">
        <v>2903</v>
      </c>
      <c r="B1214" s="9" t="s">
        <v>538</v>
      </c>
      <c r="C1214" s="9" t="s">
        <v>2184</v>
      </c>
      <c r="D1214" s="52">
        <v>46174</v>
      </c>
      <c r="E1214" s="48">
        <v>0.57291666666666663</v>
      </c>
      <c r="F1214" s="48">
        <v>0.57847222222222217</v>
      </c>
      <c r="G1214" s="43">
        <f>(F1214-E1214)*1440</f>
        <v>7.9999999999999716</v>
      </c>
      <c r="H1214" s="9" t="s">
        <v>2937</v>
      </c>
      <c r="I1214" s="9" t="s">
        <v>2938</v>
      </c>
      <c r="J1214" s="44">
        <v>3.71</v>
      </c>
      <c r="K1214" s="60">
        <v>6</v>
      </c>
      <c r="L1214" s="56">
        <v>4.5</v>
      </c>
      <c r="M1214" s="14">
        <f>K1214-L1214</f>
        <v>1.5</v>
      </c>
      <c r="N1214" s="15">
        <f>IFERROR(M1214/K1214,0)</f>
        <v>0.25</v>
      </c>
      <c r="O1214" s="14">
        <f>IFERROR(L1214/J1214,0)</f>
        <v>1.2129380053908356</v>
      </c>
      <c r="P1214" s="14">
        <f>IFERROR(L1214/G1214,0)</f>
        <v>0.562500000000002</v>
      </c>
    </row>
    <row r="1215" spans="1:19" x14ac:dyDescent="0.3">
      <c r="A1215" s="9" t="s">
        <v>2905</v>
      </c>
      <c r="B1215" s="9" t="s">
        <v>538</v>
      </c>
      <c r="C1215" s="9" t="s">
        <v>196</v>
      </c>
      <c r="D1215" s="52">
        <v>46174</v>
      </c>
      <c r="E1215" s="48">
        <v>0.66319444444444442</v>
      </c>
      <c r="F1215" s="48">
        <v>0.6694444444444444</v>
      </c>
      <c r="G1215" s="43">
        <f>(F1215-E1215)*1440</f>
        <v>8.999999999999968</v>
      </c>
      <c r="H1215" s="9" t="s">
        <v>2194</v>
      </c>
      <c r="I1215" s="9" t="s">
        <v>593</v>
      </c>
      <c r="J1215" s="44">
        <v>3.5</v>
      </c>
      <c r="K1215" s="60">
        <v>4.99</v>
      </c>
      <c r="L1215" s="56">
        <v>4.47</v>
      </c>
      <c r="M1215" s="14">
        <f>K1215-L1215</f>
        <v>0.52000000000000046</v>
      </c>
      <c r="N1215" s="15">
        <f>IFERROR(M1215/K1215,0)</f>
        <v>0.10420841683366742</v>
      </c>
      <c r="O1215" s="14">
        <f>IFERROR(L1215/J1215,0)</f>
        <v>1.2771428571428571</v>
      </c>
      <c r="P1215" s="14">
        <f>IFERROR(L1215/G1215,0)</f>
        <v>0.49666666666666842</v>
      </c>
    </row>
    <row r="1216" spans="1:19" x14ac:dyDescent="0.3">
      <c r="A1216" s="9" t="s">
        <v>2895</v>
      </c>
      <c r="B1216" s="9" t="s">
        <v>26</v>
      </c>
      <c r="C1216" s="9" t="s">
        <v>2924</v>
      </c>
      <c r="D1216" s="52">
        <v>46174</v>
      </c>
      <c r="E1216" s="48">
        <v>0.61597222222222225</v>
      </c>
      <c r="F1216" s="48">
        <v>0.62569444444444444</v>
      </c>
      <c r="G1216" s="43">
        <f>(F1216-E1216)*1440</f>
        <v>13.99999999999995</v>
      </c>
      <c r="H1216" s="9" t="s">
        <v>2925</v>
      </c>
      <c r="I1216" s="9" t="s">
        <v>2926</v>
      </c>
      <c r="J1216" s="44">
        <v>6</v>
      </c>
      <c r="K1216" s="60">
        <v>11.03</v>
      </c>
      <c r="L1216" s="56">
        <v>8.27</v>
      </c>
      <c r="M1216" s="14">
        <f>K1216-L1216</f>
        <v>2.76</v>
      </c>
      <c r="N1216" s="15">
        <f>IFERROR(M1216/K1216,0)</f>
        <v>0.25022665457842247</v>
      </c>
      <c r="O1216" s="14">
        <f>IFERROR(L1216/J1216,0)</f>
        <v>1.3783333333333332</v>
      </c>
      <c r="P1216" s="14">
        <f>IFERROR(L1216/G1216,0)</f>
        <v>0.59071428571428775</v>
      </c>
      <c r="S1216" s="61">
        <v>2</v>
      </c>
    </row>
    <row r="1217" spans="1:18" x14ac:dyDescent="0.3">
      <c r="A1217" s="9" t="s">
        <v>2902</v>
      </c>
      <c r="B1217" s="9" t="s">
        <v>18</v>
      </c>
      <c r="C1217" s="9" t="s">
        <v>184</v>
      </c>
      <c r="D1217" s="52">
        <v>46174</v>
      </c>
      <c r="E1217" s="48">
        <v>0.56736111111111109</v>
      </c>
      <c r="F1217" s="48">
        <v>0.57361111111111118</v>
      </c>
      <c r="G1217" s="43">
        <f>(F1217-E1217)*1440</f>
        <v>9.0000000000001279</v>
      </c>
      <c r="H1217" s="9" t="s">
        <v>2936</v>
      </c>
      <c r="I1217" s="9" t="s">
        <v>698</v>
      </c>
      <c r="J1217" s="44">
        <v>3.49</v>
      </c>
      <c r="K1217" s="60">
        <v>7.94</v>
      </c>
      <c r="L1217" s="56">
        <v>5.57</v>
      </c>
      <c r="M1217" s="14">
        <f>K1217-L1217</f>
        <v>2.37</v>
      </c>
      <c r="N1217" s="15">
        <f>IFERROR(M1217/K1217,0)</f>
        <v>0.29848866498740556</v>
      </c>
      <c r="O1217" s="14">
        <f>IFERROR(L1217/J1217,0)</f>
        <v>1.5959885386819483</v>
      </c>
      <c r="P1217" s="14">
        <f>IFERROR(L1217/G1217,0)</f>
        <v>0.61888888888888016</v>
      </c>
    </row>
    <row r="1218" spans="1:18" x14ac:dyDescent="0.3">
      <c r="A1218" s="9" t="s">
        <v>2906</v>
      </c>
      <c r="B1218" s="9" t="s">
        <v>18</v>
      </c>
      <c r="C1218" s="9" t="s">
        <v>184</v>
      </c>
      <c r="D1218" s="52">
        <v>46174</v>
      </c>
      <c r="E1218" s="48">
        <v>0.67986111111111114</v>
      </c>
      <c r="F1218" s="48">
        <v>0.68402777777777779</v>
      </c>
      <c r="G1218" s="43">
        <f>(F1218-E1218)*1440</f>
        <v>5.9999999999999787</v>
      </c>
      <c r="H1218" s="9" t="s">
        <v>1950</v>
      </c>
      <c r="I1218" s="9" t="s">
        <v>2940</v>
      </c>
      <c r="J1218" s="44">
        <v>2.69</v>
      </c>
      <c r="K1218" s="60">
        <v>5.94</v>
      </c>
      <c r="L1218" s="56">
        <v>4.68</v>
      </c>
      <c r="M1218" s="14">
        <f>K1218-L1218</f>
        <v>1.2600000000000007</v>
      </c>
      <c r="N1218" s="15">
        <f>IFERROR(M1218/K1218,0)</f>
        <v>0.21212121212121221</v>
      </c>
      <c r="O1218" s="14">
        <f>IFERROR(L1218/J1218,0)</f>
        <v>1.7397769516728623</v>
      </c>
      <c r="P1218" s="14">
        <f>IFERROR(L1218/G1218,0)</f>
        <v>0.78000000000000269</v>
      </c>
    </row>
    <row r="1219" spans="1:18" x14ac:dyDescent="0.3">
      <c r="A1219" s="9" t="s">
        <v>2908</v>
      </c>
      <c r="B1219" s="9" t="s">
        <v>538</v>
      </c>
      <c r="C1219" s="9" t="s">
        <v>196</v>
      </c>
      <c r="D1219" s="52">
        <v>46174</v>
      </c>
      <c r="E1219" s="48">
        <v>0.71597222222222223</v>
      </c>
      <c r="F1219" s="48">
        <v>0.72638888888888886</v>
      </c>
      <c r="G1219" s="43">
        <f>(F1219-E1219)*1440</f>
        <v>14.999999999999947</v>
      </c>
      <c r="H1219" s="9" t="s">
        <v>2943</v>
      </c>
      <c r="I1219" s="9" t="s">
        <v>2944</v>
      </c>
      <c r="J1219" s="44">
        <v>6.56</v>
      </c>
      <c r="K1219" s="60">
        <v>13.98</v>
      </c>
      <c r="L1219" s="56">
        <v>11.96</v>
      </c>
      <c r="M1219" s="14">
        <f>K1219-L1219</f>
        <v>2.0199999999999996</v>
      </c>
      <c r="N1219" s="15">
        <f>IFERROR(M1219/K1219,0)</f>
        <v>0.1444921316165951</v>
      </c>
      <c r="O1219" s="14">
        <f>IFERROR(L1219/J1219,0)</f>
        <v>1.8231707317073174</v>
      </c>
      <c r="P1219" s="14">
        <f>IFERROR(L1219/G1219,0)</f>
        <v>0.79733333333333622</v>
      </c>
    </row>
    <row r="1220" spans="1:18" x14ac:dyDescent="0.3">
      <c r="A1220" s="9" t="s">
        <v>2913</v>
      </c>
      <c r="B1220" s="9" t="s">
        <v>538</v>
      </c>
      <c r="C1220" s="9" t="s">
        <v>184</v>
      </c>
      <c r="D1220" s="52">
        <v>46176</v>
      </c>
      <c r="E1220" s="48">
        <v>0.54027777777777775</v>
      </c>
      <c r="F1220" s="48">
        <v>0.55555555555555558</v>
      </c>
      <c r="G1220" s="43">
        <f>(F1220-E1220)*1440</f>
        <v>22.000000000000082</v>
      </c>
      <c r="H1220" s="9" t="s">
        <v>2952</v>
      </c>
      <c r="I1220" s="9" t="s">
        <v>2953</v>
      </c>
      <c r="J1220" s="44">
        <v>26.72</v>
      </c>
      <c r="K1220" s="60">
        <v>15.95</v>
      </c>
      <c r="L1220" s="56">
        <v>10.77</v>
      </c>
      <c r="M1220" s="14">
        <f>K1220-L1220</f>
        <v>5.18</v>
      </c>
      <c r="N1220" s="15">
        <f>IFERROR(M1220/K1220,0)</f>
        <v>0.32476489028213168</v>
      </c>
      <c r="O1220" s="14">
        <f>IFERROR(L1220/J1220,0)</f>
        <v>0.40306886227544908</v>
      </c>
      <c r="P1220" s="14">
        <f>IFERROR(L1220/G1220,0)</f>
        <v>0.48954545454545273</v>
      </c>
    </row>
    <row r="1221" spans="1:18" x14ac:dyDescent="0.3">
      <c r="A1221" s="9" t="s">
        <v>2922</v>
      </c>
      <c r="B1221" s="9" t="s">
        <v>18</v>
      </c>
      <c r="C1221" s="9" t="s">
        <v>184</v>
      </c>
      <c r="D1221" s="52">
        <v>46176</v>
      </c>
      <c r="E1221" s="48">
        <v>0.8847222222222223</v>
      </c>
      <c r="F1221" s="48">
        <v>0.89722222222222225</v>
      </c>
      <c r="G1221" s="43">
        <f>(F1221-E1221)*1440</f>
        <v>17.999999999999936</v>
      </c>
      <c r="H1221" s="9" t="s">
        <v>2974</v>
      </c>
      <c r="I1221" s="9" t="s">
        <v>2975</v>
      </c>
      <c r="J1221" s="44">
        <v>14.08</v>
      </c>
      <c r="K1221" s="60">
        <v>8.9499999999999993</v>
      </c>
      <c r="L1221" s="56">
        <v>6.61</v>
      </c>
      <c r="M1221" s="14">
        <f>K1221-L1221</f>
        <v>2.339999999999999</v>
      </c>
      <c r="N1221" s="15">
        <f>IFERROR(M1221/K1221,0)</f>
        <v>0.26145251396648034</v>
      </c>
      <c r="O1221" s="14">
        <f>IFERROR(L1221/J1221,0)</f>
        <v>0.46946022727272729</v>
      </c>
      <c r="P1221" s="14">
        <f>IFERROR(L1221/G1221,0)</f>
        <v>0.36722222222222356</v>
      </c>
    </row>
    <row r="1222" spans="1:18" x14ac:dyDescent="0.3">
      <c r="A1222" s="9" t="s">
        <v>2917</v>
      </c>
      <c r="B1222" s="9" t="s">
        <v>18</v>
      </c>
      <c r="C1222" s="9" t="s">
        <v>184</v>
      </c>
      <c r="D1222" s="52">
        <v>46176</v>
      </c>
      <c r="E1222" s="48">
        <v>0.63194444444444442</v>
      </c>
      <c r="F1222" s="48">
        <v>0.6430555555555556</v>
      </c>
      <c r="G1222" s="43">
        <f>(F1222-E1222)*1440</f>
        <v>16.000000000000103</v>
      </c>
      <c r="H1222" s="9" t="s">
        <v>2627</v>
      </c>
      <c r="I1222" s="9" t="s">
        <v>550</v>
      </c>
      <c r="J1222" s="44">
        <v>12.69</v>
      </c>
      <c r="K1222" s="60">
        <v>10.95</v>
      </c>
      <c r="L1222" s="56">
        <v>7.12</v>
      </c>
      <c r="M1222" s="14">
        <f>K1222-L1222</f>
        <v>3.8299999999999992</v>
      </c>
      <c r="N1222" s="15">
        <f>IFERROR(M1222/K1222,0)</f>
        <v>0.34977168949771686</v>
      </c>
      <c r="O1222" s="14">
        <f>IFERROR(L1222/J1222,0)</f>
        <v>0.56107171000788025</v>
      </c>
      <c r="P1222" s="14">
        <f>IFERROR(L1222/G1222,0)</f>
        <v>0.44499999999999712</v>
      </c>
    </row>
    <row r="1223" spans="1:18" x14ac:dyDescent="0.3">
      <c r="A1223" s="9" t="s">
        <v>2968</v>
      </c>
      <c r="B1223" s="9" t="s">
        <v>26</v>
      </c>
      <c r="C1223" s="9" t="s">
        <v>27</v>
      </c>
      <c r="D1223" s="52">
        <v>46176</v>
      </c>
      <c r="E1223" s="48">
        <v>0.85763888888888884</v>
      </c>
      <c r="F1223" s="48">
        <v>0.87013888888888891</v>
      </c>
      <c r="G1223" s="43">
        <f>(F1223-E1223)*1440</f>
        <v>18.000000000000096</v>
      </c>
      <c r="H1223" s="9" t="s">
        <v>2152</v>
      </c>
      <c r="I1223" s="9" t="s">
        <v>221</v>
      </c>
      <c r="J1223" s="44">
        <v>11.4</v>
      </c>
      <c r="K1223" s="60">
        <v>10.41</v>
      </c>
      <c r="L1223" s="56">
        <v>7.81</v>
      </c>
      <c r="M1223" s="14">
        <f>K1223-L1223</f>
        <v>2.6000000000000005</v>
      </c>
      <c r="N1223" s="15">
        <f>IFERROR(M1223/K1223,0)</f>
        <v>0.24975984630163309</v>
      </c>
      <c r="O1223" s="14">
        <f>IFERROR(L1223/J1223,0)</f>
        <v>0.68508771929824552</v>
      </c>
      <c r="P1223" s="14">
        <f>IFERROR(L1223/G1223,0)</f>
        <v>0.43388888888888655</v>
      </c>
      <c r="R1223" s="57">
        <v>2.4</v>
      </c>
    </row>
    <row r="1224" spans="1:18" x14ac:dyDescent="0.3">
      <c r="A1224" s="9" t="s">
        <v>2915</v>
      </c>
      <c r="B1224" s="9" t="s">
        <v>18</v>
      </c>
      <c r="C1224" s="9" t="s">
        <v>184</v>
      </c>
      <c r="D1224" s="52">
        <v>46176</v>
      </c>
      <c r="E1224" s="48">
        <v>0.6</v>
      </c>
      <c r="F1224" s="48">
        <v>0.61458333333333337</v>
      </c>
      <c r="G1224" s="43">
        <f>(F1224-E1224)*1440</f>
        <v>21.000000000000085</v>
      </c>
      <c r="H1224" s="9" t="s">
        <v>2955</v>
      </c>
      <c r="I1224" s="9" t="s">
        <v>2956</v>
      </c>
      <c r="J1224" s="44">
        <v>12.72</v>
      </c>
      <c r="K1224" s="60">
        <v>13.99</v>
      </c>
      <c r="L1224" s="56">
        <v>9.09</v>
      </c>
      <c r="M1224" s="14">
        <f>K1224-L1224</f>
        <v>4.9000000000000004</v>
      </c>
      <c r="N1224" s="15">
        <f>IFERROR(M1224/K1224,0)</f>
        <v>0.35025017869907077</v>
      </c>
      <c r="O1224" s="14">
        <f>IFERROR(L1224/J1224,0)</f>
        <v>0.71462264150943389</v>
      </c>
      <c r="P1224" s="14">
        <f>IFERROR(L1224/G1224,0)</f>
        <v>0.43285714285714111</v>
      </c>
    </row>
    <row r="1225" spans="1:18" x14ac:dyDescent="0.3">
      <c r="A1225" s="9" t="s">
        <v>2914</v>
      </c>
      <c r="B1225" s="9" t="s">
        <v>18</v>
      </c>
      <c r="C1225" s="9" t="s">
        <v>184</v>
      </c>
      <c r="D1225" s="52">
        <v>46176</v>
      </c>
      <c r="E1225" s="48">
        <v>0.5854166666666667</v>
      </c>
      <c r="F1225" s="48">
        <v>0.59791666666666665</v>
      </c>
      <c r="G1225" s="43">
        <f>(F1225-E1225)*1440</f>
        <v>17.999999999999936</v>
      </c>
      <c r="H1225" s="9" t="s">
        <v>2145</v>
      </c>
      <c r="I1225" s="9" t="s">
        <v>2954</v>
      </c>
      <c r="J1225" s="44">
        <v>11.12</v>
      </c>
      <c r="K1225" s="60">
        <v>11.94</v>
      </c>
      <c r="L1225" s="56">
        <v>8.19</v>
      </c>
      <c r="M1225" s="14">
        <f>K1225-L1225</f>
        <v>3.75</v>
      </c>
      <c r="N1225" s="15">
        <f>IFERROR(M1225/K1225,0)</f>
        <v>0.314070351758794</v>
      </c>
      <c r="O1225" s="14">
        <f>IFERROR(L1225/J1225,0)</f>
        <v>0.73651079136690645</v>
      </c>
      <c r="P1225" s="14">
        <f>IFERROR(L1225/G1225,0)</f>
        <v>0.45500000000000157</v>
      </c>
    </row>
    <row r="1226" spans="1:18" x14ac:dyDescent="0.3">
      <c r="A1226" s="9" t="s">
        <v>2963</v>
      </c>
      <c r="B1226" s="9" t="s">
        <v>26</v>
      </c>
      <c r="C1226" s="9" t="s">
        <v>26</v>
      </c>
      <c r="D1226" s="52">
        <v>46176</v>
      </c>
      <c r="E1226" s="48">
        <v>0.66736111111111107</v>
      </c>
      <c r="F1226" s="48">
        <v>0.67986111111111114</v>
      </c>
      <c r="G1226" s="43">
        <f>(F1226-E1226)*1440</f>
        <v>18.000000000000096</v>
      </c>
      <c r="H1226" s="9" t="s">
        <v>2978</v>
      </c>
      <c r="I1226" s="9" t="s">
        <v>2979</v>
      </c>
      <c r="J1226" s="44">
        <v>6</v>
      </c>
      <c r="K1226" s="60">
        <v>7.1</v>
      </c>
      <c r="L1226" s="56">
        <v>5.32</v>
      </c>
      <c r="M1226" s="14">
        <f>K1226-L1226</f>
        <v>1.7799999999999994</v>
      </c>
      <c r="N1226" s="15">
        <f>IFERROR(M1226/K1226,0)</f>
        <v>0.25070422535211262</v>
      </c>
      <c r="O1226" s="14">
        <f>IFERROR(L1226/J1226,0)</f>
        <v>0.88666666666666671</v>
      </c>
      <c r="P1226" s="14">
        <f>IFERROR(L1226/G1226,0)</f>
        <v>0.29555555555555402</v>
      </c>
    </row>
    <row r="1227" spans="1:18" x14ac:dyDescent="0.3">
      <c r="A1227" s="9" t="s">
        <v>2961</v>
      </c>
      <c r="B1227" s="9" t="s">
        <v>26</v>
      </c>
      <c r="C1227" s="9" t="s">
        <v>26</v>
      </c>
      <c r="D1227" s="52">
        <v>46176</v>
      </c>
      <c r="E1227" s="48">
        <v>0.56597222222222221</v>
      </c>
      <c r="F1227" s="48">
        <v>0.57777777777777783</v>
      </c>
      <c r="G1227" s="43">
        <f>(F1227-E1227)*1440</f>
        <v>17.000000000000099</v>
      </c>
      <c r="H1227" s="9" t="s">
        <v>2976</v>
      </c>
      <c r="I1227" s="9" t="s">
        <v>1747</v>
      </c>
      <c r="J1227" s="44">
        <v>7.8</v>
      </c>
      <c r="K1227" s="60">
        <v>6.54</v>
      </c>
      <c r="L1227" s="56">
        <v>7</v>
      </c>
      <c r="M1227" s="14">
        <f>K1227-L1227</f>
        <v>-0.45999999999999996</v>
      </c>
      <c r="N1227" s="15">
        <f>IFERROR(M1227/K1227,0)</f>
        <v>-7.0336391437308868E-2</v>
      </c>
      <c r="O1227" s="14">
        <f>IFERROR(L1227/J1227,0)</f>
        <v>0.89743589743589747</v>
      </c>
      <c r="P1227" s="14">
        <f>IFERROR(L1227/G1227,0)</f>
        <v>0.41176470588235053</v>
      </c>
      <c r="R1227" s="57">
        <v>2.64</v>
      </c>
    </row>
    <row r="1228" spans="1:18" x14ac:dyDescent="0.3">
      <c r="A1228" s="9" t="s">
        <v>2964</v>
      </c>
      <c r="B1228" s="9" t="s">
        <v>26</v>
      </c>
      <c r="C1228" s="9" t="s">
        <v>26</v>
      </c>
      <c r="D1228" s="52">
        <v>46176</v>
      </c>
      <c r="E1228" s="48">
        <v>0.68263888888888891</v>
      </c>
      <c r="F1228" s="48">
        <v>0.69513888888888886</v>
      </c>
      <c r="G1228" s="43">
        <f>(F1228-E1228)*1440</f>
        <v>17.999999999999936</v>
      </c>
      <c r="H1228" s="9" t="s">
        <v>1719</v>
      </c>
      <c r="I1228" s="9" t="s">
        <v>2980</v>
      </c>
      <c r="J1228" s="44">
        <v>12.1</v>
      </c>
      <c r="K1228" s="60">
        <v>10.35</v>
      </c>
      <c r="L1228" s="56">
        <v>11.09</v>
      </c>
      <c r="M1228" s="14">
        <f>K1228-L1228</f>
        <v>-0.74000000000000021</v>
      </c>
      <c r="N1228" s="15">
        <f>IFERROR(M1228/K1228,0)</f>
        <v>-7.1497584541062822E-2</v>
      </c>
      <c r="O1228" s="14">
        <f>IFERROR(L1228/J1228,0)</f>
        <v>0.91652892561983468</v>
      </c>
      <c r="P1228" s="14">
        <f>IFERROR(L1228/G1228,0)</f>
        <v>0.61611111111111327</v>
      </c>
      <c r="R1228" s="57">
        <v>5.55</v>
      </c>
    </row>
    <row r="1229" spans="1:18" x14ac:dyDescent="0.3">
      <c r="A1229" s="9" t="s">
        <v>2965</v>
      </c>
      <c r="B1229" s="9" t="s">
        <v>26</v>
      </c>
      <c r="C1229" s="9" t="s">
        <v>26</v>
      </c>
      <c r="D1229" s="52">
        <v>46176</v>
      </c>
      <c r="E1229" s="48">
        <v>0.6958333333333333</v>
      </c>
      <c r="F1229" s="48">
        <v>0.71319444444444446</v>
      </c>
      <c r="G1229" s="43">
        <f>(F1229-E1229)*1440</f>
        <v>25.000000000000071</v>
      </c>
      <c r="H1229" s="9" t="s">
        <v>2981</v>
      </c>
      <c r="I1229" s="9" t="s">
        <v>754</v>
      </c>
      <c r="J1229" s="44">
        <v>8.6999999999999993</v>
      </c>
      <c r="K1229" s="60">
        <v>10.85</v>
      </c>
      <c r="L1229" s="56">
        <v>8.14</v>
      </c>
      <c r="M1229" s="14">
        <f>K1229-L1229</f>
        <v>2.7099999999999991</v>
      </c>
      <c r="N1229" s="15">
        <f>IFERROR(M1229/K1229,0)</f>
        <v>0.24976958525345613</v>
      </c>
      <c r="O1229" s="14">
        <f>IFERROR(L1229/J1229,0)</f>
        <v>0.93563218390804614</v>
      </c>
      <c r="P1229" s="14">
        <f>IFERROR(L1229/G1229,0)</f>
        <v>0.32559999999999911</v>
      </c>
    </row>
    <row r="1230" spans="1:18" x14ac:dyDescent="0.3">
      <c r="A1230" s="9" t="s">
        <v>2920</v>
      </c>
      <c r="B1230" s="9" t="s">
        <v>538</v>
      </c>
      <c r="C1230" s="9" t="s">
        <v>184</v>
      </c>
      <c r="D1230" s="52">
        <v>46176</v>
      </c>
      <c r="E1230" s="48">
        <v>0.81527777777777777</v>
      </c>
      <c r="F1230" s="48">
        <v>0.8354166666666667</v>
      </c>
      <c r="G1230" s="43">
        <f>(F1230-E1230)*1440</f>
        <v>29.000000000000057</v>
      </c>
      <c r="H1230" s="9" t="s">
        <v>2971</v>
      </c>
      <c r="I1230" s="9" t="s">
        <v>2972</v>
      </c>
      <c r="J1230" s="44">
        <v>16.47</v>
      </c>
      <c r="K1230" s="60">
        <v>20.95</v>
      </c>
      <c r="L1230" s="56">
        <v>15.75</v>
      </c>
      <c r="M1230" s="14">
        <f>K1230-L1230</f>
        <v>5.1999999999999993</v>
      </c>
      <c r="N1230" s="15">
        <f>IFERROR(M1230/K1230,0)</f>
        <v>0.24821002386634841</v>
      </c>
      <c r="O1230" s="14">
        <f>IFERROR(L1230/J1230,0)</f>
        <v>0.95628415300546454</v>
      </c>
      <c r="P1230" s="14">
        <f>IFERROR(L1230/G1230,0)</f>
        <v>0.54310344827586099</v>
      </c>
    </row>
    <row r="1231" spans="1:18" x14ac:dyDescent="0.3">
      <c r="A1231" s="9" t="s">
        <v>2918</v>
      </c>
      <c r="B1231" s="9" t="s">
        <v>538</v>
      </c>
      <c r="C1231" s="9" t="s">
        <v>184</v>
      </c>
      <c r="D1231" s="52">
        <v>46176</v>
      </c>
      <c r="E1231" s="48">
        <v>0.7368055555555556</v>
      </c>
      <c r="F1231" s="48">
        <v>0.75069444444444444</v>
      </c>
      <c r="G1231" s="43">
        <f>(F1231-E1231)*1440</f>
        <v>19.999999999999929</v>
      </c>
      <c r="H1231" s="9" t="s">
        <v>2958</v>
      </c>
      <c r="I1231" s="9" t="s">
        <v>1797</v>
      </c>
      <c r="J1231" s="44">
        <v>9.1</v>
      </c>
      <c r="K1231" s="60">
        <v>10.96</v>
      </c>
      <c r="L1231" s="56">
        <v>9.3699999999999992</v>
      </c>
      <c r="M1231" s="14">
        <f>K1231-L1231</f>
        <v>1.5900000000000016</v>
      </c>
      <c r="N1231" s="15">
        <f>IFERROR(M1231/K1231,0)</f>
        <v>0.14507299270073007</v>
      </c>
      <c r="O1231" s="14">
        <f>IFERROR(L1231/J1231,0)</f>
        <v>1.0296703296703296</v>
      </c>
      <c r="P1231" s="14">
        <f>IFERROR(L1231/G1231,0)</f>
        <v>0.46850000000000164</v>
      </c>
    </row>
    <row r="1232" spans="1:18" x14ac:dyDescent="0.3">
      <c r="A1232" s="9" t="s">
        <v>2966</v>
      </c>
      <c r="B1232" s="9" t="s">
        <v>26</v>
      </c>
      <c r="C1232" s="9" t="s">
        <v>26</v>
      </c>
      <c r="D1232" s="52">
        <v>46176</v>
      </c>
      <c r="E1232" s="48">
        <v>0.71736111111111101</v>
      </c>
      <c r="F1232" s="48">
        <v>0.73541666666666661</v>
      </c>
      <c r="G1232" s="43">
        <f>(F1232-E1232)*1440</f>
        <v>26.000000000000068</v>
      </c>
      <c r="H1232" s="9" t="s">
        <v>908</v>
      </c>
      <c r="I1232" s="9" t="s">
        <v>2982</v>
      </c>
      <c r="J1232" s="44">
        <v>9.3000000000000007</v>
      </c>
      <c r="K1232" s="60">
        <v>9.66</v>
      </c>
      <c r="L1232" s="56">
        <v>10.35</v>
      </c>
      <c r="M1232" s="14">
        <f>K1232-L1232</f>
        <v>-0.6899999999999995</v>
      </c>
      <c r="N1232" s="15">
        <f>IFERROR(M1232/K1232,0)</f>
        <v>-7.1428571428571369E-2</v>
      </c>
      <c r="O1232" s="14">
        <f>IFERROR(L1232/J1232,0)</f>
        <v>1.1129032258064515</v>
      </c>
      <c r="P1232" s="14">
        <f>IFERROR(L1232/G1232,0)</f>
        <v>0.39807692307692205</v>
      </c>
    </row>
    <row r="1233" spans="1:19" x14ac:dyDescent="0.3">
      <c r="A1233" s="9" t="s">
        <v>2916</v>
      </c>
      <c r="B1233" s="9" t="s">
        <v>538</v>
      </c>
      <c r="C1233" s="9" t="s">
        <v>184</v>
      </c>
      <c r="D1233" s="52">
        <v>46176</v>
      </c>
      <c r="E1233" s="48">
        <v>0.61805555555555558</v>
      </c>
      <c r="F1233" s="48">
        <v>0.62916666666666665</v>
      </c>
      <c r="G1233" s="43">
        <f>(F1233-E1233)*1440</f>
        <v>15.999999999999943</v>
      </c>
      <c r="H1233" s="9" t="s">
        <v>2957</v>
      </c>
      <c r="I1233" s="9" t="s">
        <v>1985</v>
      </c>
      <c r="J1233" s="44">
        <v>6.43</v>
      </c>
      <c r="K1233" s="60">
        <v>8.9499999999999993</v>
      </c>
      <c r="L1233" s="56">
        <v>7.63</v>
      </c>
      <c r="M1233" s="14">
        <f>K1233-L1233</f>
        <v>1.3199999999999994</v>
      </c>
      <c r="N1233" s="15">
        <f>IFERROR(M1233/K1233,0)</f>
        <v>0.14748603351955303</v>
      </c>
      <c r="O1233" s="14">
        <f>IFERROR(L1233/J1233,0)</f>
        <v>1.1866251944012443</v>
      </c>
      <c r="P1233" s="14">
        <f>IFERROR(L1233/G1233,0)</f>
        <v>0.47687500000000171</v>
      </c>
    </row>
    <row r="1234" spans="1:19" x14ac:dyDescent="0.3">
      <c r="A1234" s="9" t="s">
        <v>2919</v>
      </c>
      <c r="B1234" s="9" t="s">
        <v>538</v>
      </c>
      <c r="C1234" s="9" t="s">
        <v>184</v>
      </c>
      <c r="D1234" s="52">
        <v>46176</v>
      </c>
      <c r="E1234" s="48">
        <v>0.77430555555555547</v>
      </c>
      <c r="F1234" s="48">
        <v>0.79583333333333339</v>
      </c>
      <c r="G1234" s="43">
        <f>(F1234-E1234)*1440</f>
        <v>31.00000000000021</v>
      </c>
      <c r="H1234" s="9" t="s">
        <v>2959</v>
      </c>
      <c r="I1234" s="9" t="s">
        <v>2960</v>
      </c>
      <c r="J1234" s="44">
        <v>8.39</v>
      </c>
      <c r="K1234" s="60">
        <v>15.98</v>
      </c>
      <c r="L1234" s="56">
        <v>11.04</v>
      </c>
      <c r="M1234" s="14">
        <f>K1234-L1234</f>
        <v>4.9400000000000013</v>
      </c>
      <c r="N1234" s="15">
        <f>IFERROR(M1234/K1234,0)</f>
        <v>0.30913642052565715</v>
      </c>
      <c r="O1234" s="14">
        <f>IFERROR(L1234/J1234,0)</f>
        <v>1.3158522050059593</v>
      </c>
      <c r="P1234" s="14">
        <f>IFERROR(L1234/G1234,0)</f>
        <v>0.35612903225806208</v>
      </c>
    </row>
    <row r="1235" spans="1:19" x14ac:dyDescent="0.3">
      <c r="A1235" s="9" t="s">
        <v>2921</v>
      </c>
      <c r="B1235" s="9" t="s">
        <v>18</v>
      </c>
      <c r="C1235" s="9" t="s">
        <v>184</v>
      </c>
      <c r="D1235" s="52">
        <v>46176</v>
      </c>
      <c r="E1235" s="48">
        <v>0.84236111111111101</v>
      </c>
      <c r="F1235" s="48">
        <v>0.84861111111111109</v>
      </c>
      <c r="G1235" s="43">
        <f>(F1235-E1235)*1440</f>
        <v>9.0000000000001279</v>
      </c>
      <c r="H1235" s="9" t="s">
        <v>2973</v>
      </c>
      <c r="I1235" s="9" t="s">
        <v>698</v>
      </c>
      <c r="J1235" s="44">
        <v>2.86</v>
      </c>
      <c r="K1235" s="60">
        <v>5.96</v>
      </c>
      <c r="L1235" s="56">
        <v>4.71</v>
      </c>
      <c r="M1235" s="14">
        <f>K1235-L1235</f>
        <v>1.25</v>
      </c>
      <c r="N1235" s="15">
        <f>IFERROR(M1235/K1235,0)</f>
        <v>0.20973154362416108</v>
      </c>
      <c r="O1235" s="14">
        <f>IFERROR(L1235/J1235,0)</f>
        <v>1.6468531468531469</v>
      </c>
      <c r="P1235" s="14">
        <f>IFERROR(L1235/G1235,0)</f>
        <v>0.52333333333332588</v>
      </c>
    </row>
    <row r="1236" spans="1:19" x14ac:dyDescent="0.3">
      <c r="A1236" s="9" t="s">
        <v>2967</v>
      </c>
      <c r="B1236" s="9" t="s">
        <v>26</v>
      </c>
      <c r="C1236" s="9" t="s">
        <v>26</v>
      </c>
      <c r="D1236" s="52">
        <v>46176</v>
      </c>
      <c r="E1236" s="48">
        <v>0.75763888888888886</v>
      </c>
      <c r="F1236" s="48">
        <v>0.77083333333333337</v>
      </c>
      <c r="G1236" s="43">
        <f>(F1236-E1236)*1440</f>
        <v>19.000000000000092</v>
      </c>
      <c r="H1236" s="9" t="s">
        <v>2983</v>
      </c>
      <c r="I1236" s="9" t="s">
        <v>2205</v>
      </c>
      <c r="J1236" s="44">
        <v>3.4</v>
      </c>
      <c r="K1236" s="60">
        <v>6.47</v>
      </c>
      <c r="L1236" s="56">
        <v>6.07</v>
      </c>
      <c r="M1236" s="14">
        <f>K1236-L1236</f>
        <v>0.39999999999999947</v>
      </c>
      <c r="N1236" s="15">
        <f>IFERROR(M1236/K1236,0)</f>
        <v>6.1823802163832993E-2</v>
      </c>
      <c r="O1236" s="14">
        <f>IFERROR(L1236/J1236,0)</f>
        <v>1.7852941176470589</v>
      </c>
      <c r="P1236" s="14">
        <f>IFERROR(L1236/G1236,0)</f>
        <v>0.3194736842105248</v>
      </c>
      <c r="R1236" s="57">
        <v>3.59</v>
      </c>
    </row>
    <row r="1237" spans="1:19" x14ac:dyDescent="0.3">
      <c r="A1237" s="9" t="s">
        <v>2962</v>
      </c>
      <c r="B1237" s="9" t="s">
        <v>26</v>
      </c>
      <c r="C1237" s="9" t="s">
        <v>26</v>
      </c>
      <c r="D1237" s="52">
        <v>46176</v>
      </c>
      <c r="E1237" s="48">
        <v>0.58194444444444449</v>
      </c>
      <c r="F1237" s="48">
        <v>0.58611111111111114</v>
      </c>
      <c r="G1237" s="43">
        <f>(F1237-E1237)*1440</f>
        <v>5.9999999999999787</v>
      </c>
      <c r="H1237" s="9" t="s">
        <v>608</v>
      </c>
      <c r="I1237" s="9" t="s">
        <v>2977</v>
      </c>
      <c r="J1237" s="44">
        <v>2</v>
      </c>
      <c r="K1237" s="60">
        <v>3.7</v>
      </c>
      <c r="L1237" s="56">
        <v>4.3600000000000003</v>
      </c>
      <c r="M1237" s="14">
        <f>K1237-L1237</f>
        <v>-0.66000000000000014</v>
      </c>
      <c r="N1237" s="15">
        <f>IFERROR(M1237/K1237,0)</f>
        <v>-0.17837837837837842</v>
      </c>
      <c r="O1237" s="14">
        <f>IFERROR(L1237/J1237,0)</f>
        <v>2.1800000000000002</v>
      </c>
      <c r="P1237" s="14">
        <f>IFERROR(L1237/G1237,0)</f>
        <v>0.72666666666666935</v>
      </c>
      <c r="R1237" s="57">
        <v>0.88</v>
      </c>
    </row>
    <row r="1238" spans="1:19" x14ac:dyDescent="0.3">
      <c r="A1238" s="9" t="s">
        <v>2912</v>
      </c>
      <c r="B1238" s="9" t="s">
        <v>18</v>
      </c>
      <c r="C1238" s="9" t="s">
        <v>184</v>
      </c>
      <c r="D1238" s="52">
        <v>46176</v>
      </c>
      <c r="E1238" s="48">
        <v>0.53472222222222221</v>
      </c>
      <c r="F1238" s="48">
        <v>0.53749999999999998</v>
      </c>
      <c r="G1238" s="43">
        <f>(F1238-E1238)*1440</f>
        <v>3.9999999999999858</v>
      </c>
      <c r="H1238" s="9" t="s">
        <v>2950</v>
      </c>
      <c r="I1238" s="9" t="s">
        <v>2951</v>
      </c>
      <c r="J1238" s="44">
        <v>1.1399999999999999</v>
      </c>
      <c r="K1238" s="60">
        <v>6.96</v>
      </c>
      <c r="L1238" s="56">
        <v>5.38</v>
      </c>
      <c r="M1238" s="14">
        <f>K1238-L1238</f>
        <v>1.58</v>
      </c>
      <c r="N1238" s="15">
        <f>IFERROR(M1238/K1238,0)</f>
        <v>0.22701149425287356</v>
      </c>
      <c r="O1238" s="14">
        <f>IFERROR(L1238/J1238,0)</f>
        <v>4.7192982456140351</v>
      </c>
      <c r="P1238" s="14">
        <f>IFERROR(L1238/G1238,0)</f>
        <v>1.3450000000000049</v>
      </c>
    </row>
    <row r="1239" spans="1:19" x14ac:dyDescent="0.3">
      <c r="A1239" s="9" t="s">
        <v>2989</v>
      </c>
      <c r="B1239" s="9" t="s">
        <v>26</v>
      </c>
      <c r="C1239" s="9" t="s">
        <v>27</v>
      </c>
      <c r="D1239" s="52">
        <v>46177</v>
      </c>
      <c r="E1239" s="48">
        <v>0.71458333333333324</v>
      </c>
      <c r="F1239" s="48">
        <v>0.72777777777777775</v>
      </c>
      <c r="G1239" s="43">
        <f>(F1239-E1239)*1440</f>
        <v>19.000000000000092</v>
      </c>
      <c r="H1239" s="9" t="s">
        <v>530</v>
      </c>
      <c r="I1239" s="9" t="s">
        <v>3021</v>
      </c>
      <c r="J1239" s="44">
        <v>15.3</v>
      </c>
      <c r="K1239" s="60">
        <v>8.0399999999999991</v>
      </c>
      <c r="L1239" s="56">
        <v>6.03</v>
      </c>
      <c r="M1239" s="14">
        <f>K1239-L1239</f>
        <v>2.0099999999999989</v>
      </c>
      <c r="N1239" s="15">
        <f>IFERROR(M1239/K1239,0)</f>
        <v>0.24999999999999989</v>
      </c>
      <c r="O1239" s="14">
        <f>IFERROR(L1239/J1239,0)</f>
        <v>0.39411764705882352</v>
      </c>
      <c r="P1239" s="14">
        <f>IFERROR(L1239/G1239,0)</f>
        <v>0.31736842105263002</v>
      </c>
    </row>
    <row r="1240" spans="1:19" x14ac:dyDescent="0.3">
      <c r="A1240" s="9" t="s">
        <v>2994</v>
      </c>
      <c r="B1240" s="9" t="s">
        <v>18</v>
      </c>
      <c r="C1240" s="9" t="s">
        <v>196</v>
      </c>
      <c r="D1240" s="52">
        <v>46177</v>
      </c>
      <c r="E1240" s="48">
        <v>0.54583333333333328</v>
      </c>
      <c r="F1240" s="48">
        <v>0.56805555555555554</v>
      </c>
      <c r="G1240" s="43">
        <f>(F1240-E1240)*1440</f>
        <v>32.000000000000043</v>
      </c>
      <c r="H1240" s="9" t="s">
        <v>3026</v>
      </c>
      <c r="I1240" s="9" t="s">
        <v>1188</v>
      </c>
      <c r="J1240" s="44">
        <v>25.61</v>
      </c>
      <c r="K1240" s="60">
        <v>15.99</v>
      </c>
      <c r="L1240" s="56">
        <v>10.39</v>
      </c>
      <c r="M1240" s="14">
        <f>K1240-L1240</f>
        <v>5.6</v>
      </c>
      <c r="N1240" s="15">
        <f>IFERROR(M1240/K1240,0)</f>
        <v>0.35021888680425262</v>
      </c>
      <c r="O1240" s="14">
        <f>IFERROR(L1240/J1240,0)</f>
        <v>0.40570089808668491</v>
      </c>
      <c r="P1240" s="14">
        <f>IFERROR(L1240/G1240,0)</f>
        <v>0.32468749999999957</v>
      </c>
    </row>
    <row r="1241" spans="1:19" x14ac:dyDescent="0.3">
      <c r="A1241" s="9" t="s">
        <v>2998</v>
      </c>
      <c r="B1241" s="9" t="s">
        <v>18</v>
      </c>
      <c r="C1241" s="9" t="s">
        <v>184</v>
      </c>
      <c r="D1241" s="52">
        <v>46177</v>
      </c>
      <c r="E1241" s="48">
        <v>0.75763888888888886</v>
      </c>
      <c r="F1241" s="48">
        <v>0.76666666666666661</v>
      </c>
      <c r="G1241" s="43">
        <f>(F1241-E1241)*1440</f>
        <v>12.999999999999954</v>
      </c>
      <c r="H1241" s="9" t="s">
        <v>826</v>
      </c>
      <c r="I1241" s="9" t="s">
        <v>3029</v>
      </c>
      <c r="J1241" s="44">
        <v>11.73</v>
      </c>
      <c r="K1241" s="60">
        <v>7.96</v>
      </c>
      <c r="L1241" s="56">
        <v>5.46</v>
      </c>
      <c r="M1241" s="14">
        <f>K1241-L1241</f>
        <v>2.5</v>
      </c>
      <c r="N1241" s="15">
        <f>IFERROR(M1241/K1241,0)</f>
        <v>0.314070351758794</v>
      </c>
      <c r="O1241" s="14">
        <f>IFERROR(L1241/J1241,0)</f>
        <v>0.46547314578005111</v>
      </c>
      <c r="P1241" s="14">
        <f>IFERROR(L1241/G1241,0)</f>
        <v>0.42000000000000148</v>
      </c>
    </row>
    <row r="1242" spans="1:19" x14ac:dyDescent="0.3">
      <c r="A1242" s="9" t="s">
        <v>2995</v>
      </c>
      <c r="B1242" s="9" t="s">
        <v>18</v>
      </c>
      <c r="C1242" s="9" t="s">
        <v>184</v>
      </c>
      <c r="D1242" s="52">
        <v>46177</v>
      </c>
      <c r="E1242" s="48">
        <v>0.57361111111111118</v>
      </c>
      <c r="F1242" s="48">
        <v>0.58402777777777781</v>
      </c>
      <c r="G1242" s="43">
        <f>(F1242-E1242)*1440</f>
        <v>14.999999999999947</v>
      </c>
      <c r="H1242" s="9" t="s">
        <v>3027</v>
      </c>
      <c r="I1242" s="9" t="s">
        <v>1693</v>
      </c>
      <c r="J1242" s="44">
        <v>10.96</v>
      </c>
      <c r="K1242" s="60">
        <v>7.96</v>
      </c>
      <c r="L1242" s="56">
        <v>5.17</v>
      </c>
      <c r="M1242" s="14">
        <f>K1242-L1242</f>
        <v>2.79</v>
      </c>
      <c r="N1242" s="15">
        <f>IFERROR(M1242/K1242,0)</f>
        <v>0.35050251256281406</v>
      </c>
      <c r="O1242" s="14">
        <f>IFERROR(L1242/J1242,0)</f>
        <v>0.47171532846715325</v>
      </c>
      <c r="P1242" s="14">
        <f>IFERROR(L1242/G1242,0)</f>
        <v>0.3446666666666679</v>
      </c>
    </row>
    <row r="1243" spans="1:19" x14ac:dyDescent="0.3">
      <c r="A1243" s="9" t="s">
        <v>2987</v>
      </c>
      <c r="B1243" s="9" t="s">
        <v>26</v>
      </c>
      <c r="C1243" s="9" t="s">
        <v>27</v>
      </c>
      <c r="D1243" s="52">
        <v>46177</v>
      </c>
      <c r="E1243" s="48">
        <v>0.66111111111111109</v>
      </c>
      <c r="F1243" s="48">
        <v>0.68055555555555547</v>
      </c>
      <c r="G1243" s="43">
        <f>(F1243-E1243)*1440</f>
        <v>27.999999999999901</v>
      </c>
      <c r="H1243" s="9" t="s">
        <v>3018</v>
      </c>
      <c r="I1243" s="9" t="s">
        <v>3019</v>
      </c>
      <c r="J1243" s="44">
        <v>13.9</v>
      </c>
      <c r="K1243" s="60">
        <v>9.49</v>
      </c>
      <c r="L1243" s="56">
        <v>7.12</v>
      </c>
      <c r="M1243" s="14">
        <f>K1243-L1243</f>
        <v>2.37</v>
      </c>
      <c r="N1243" s="15">
        <f>IFERROR(M1243/K1243,0)</f>
        <v>0.24973656480505796</v>
      </c>
      <c r="O1243" s="14">
        <f>IFERROR(L1243/J1243,0)</f>
        <v>0.51223021582733808</v>
      </c>
      <c r="P1243" s="14">
        <f>IFERROR(L1243/G1243,0)</f>
        <v>0.25428571428571517</v>
      </c>
    </row>
    <row r="1244" spans="1:19" x14ac:dyDescent="0.3">
      <c r="A1244" s="9" t="s">
        <v>2986</v>
      </c>
      <c r="B1244" s="9" t="s">
        <v>26</v>
      </c>
      <c r="C1244" s="9" t="s">
        <v>26</v>
      </c>
      <c r="D1244" s="52">
        <v>46177</v>
      </c>
      <c r="E1244" s="48">
        <v>0.63402777777777775</v>
      </c>
      <c r="F1244" s="48">
        <v>0.64236111111111105</v>
      </c>
      <c r="G1244" s="43">
        <f>(F1244-E1244)*1440</f>
        <v>11.999999999999957</v>
      </c>
      <c r="H1244" s="9" t="s">
        <v>2861</v>
      </c>
      <c r="I1244" s="9" t="s">
        <v>2980</v>
      </c>
      <c r="J1244" s="44">
        <v>7.1</v>
      </c>
      <c r="K1244" s="60">
        <v>5.0199999999999996</v>
      </c>
      <c r="L1244" s="56">
        <v>3.76</v>
      </c>
      <c r="M1244" s="14">
        <f>K1244-L1244</f>
        <v>1.2599999999999998</v>
      </c>
      <c r="N1244" s="15">
        <f>IFERROR(M1244/K1244,0)</f>
        <v>0.25099601593625498</v>
      </c>
      <c r="O1244" s="14">
        <f>IFERROR(L1244/J1244,0)</f>
        <v>0.52957746478873235</v>
      </c>
      <c r="P1244" s="14">
        <f>IFERROR(L1244/G1244,0)</f>
        <v>0.31333333333333441</v>
      </c>
    </row>
    <row r="1245" spans="1:19" x14ac:dyDescent="0.3">
      <c r="A1245" s="9" t="s">
        <v>2996</v>
      </c>
      <c r="B1245" s="9" t="s">
        <v>18</v>
      </c>
      <c r="C1245" s="9" t="s">
        <v>184</v>
      </c>
      <c r="D1245" s="52">
        <v>46177</v>
      </c>
      <c r="E1245" s="48">
        <v>0.62361111111111112</v>
      </c>
      <c r="F1245" s="48">
        <v>0.62986111111111109</v>
      </c>
      <c r="G1245" s="43">
        <f>(F1245-E1245)*1440</f>
        <v>8.999999999999968</v>
      </c>
      <c r="H1245" s="9" t="s">
        <v>1725</v>
      </c>
      <c r="I1245" s="9" t="s">
        <v>214</v>
      </c>
      <c r="J1245" s="44">
        <v>6.02</v>
      </c>
      <c r="K1245" s="60">
        <v>4.95</v>
      </c>
      <c r="L1245" s="56">
        <v>3.22</v>
      </c>
      <c r="M1245" s="14">
        <f>K1245-L1245</f>
        <v>1.73</v>
      </c>
      <c r="N1245" s="15">
        <f>IFERROR(M1245/K1245,0)</f>
        <v>0.34949494949494947</v>
      </c>
      <c r="O1245" s="14">
        <f>IFERROR(L1245/J1245,0)</f>
        <v>0.53488372093023262</v>
      </c>
      <c r="P1245" s="14">
        <f>IFERROR(L1245/G1245,0)</f>
        <v>0.35777777777777908</v>
      </c>
    </row>
    <row r="1246" spans="1:19" x14ac:dyDescent="0.3">
      <c r="A1246" s="9" t="s">
        <v>3000</v>
      </c>
      <c r="B1246" s="9" t="s">
        <v>18</v>
      </c>
      <c r="C1246" s="9" t="s">
        <v>184</v>
      </c>
      <c r="D1246" s="52">
        <v>46177</v>
      </c>
      <c r="E1246" s="48">
        <v>0.78194444444444444</v>
      </c>
      <c r="F1246" s="48">
        <v>0.7909722222222223</v>
      </c>
      <c r="G1246" s="43">
        <f>(F1246-E1246)*1440</f>
        <v>13.000000000000114</v>
      </c>
      <c r="H1246" s="9" t="s">
        <v>214</v>
      </c>
      <c r="I1246" s="9" t="s">
        <v>2616</v>
      </c>
      <c r="J1246" s="44">
        <v>8.82</v>
      </c>
      <c r="K1246" s="60">
        <v>7.94</v>
      </c>
      <c r="L1246" s="56">
        <v>5.16</v>
      </c>
      <c r="M1246" s="14">
        <f>K1246-L1246</f>
        <v>2.7800000000000002</v>
      </c>
      <c r="N1246" s="15">
        <f>IFERROR(M1246/K1246,0)</f>
        <v>0.3501259445843829</v>
      </c>
      <c r="O1246" s="14">
        <f>IFERROR(L1246/J1246,0)</f>
        <v>0.58503401360544216</v>
      </c>
      <c r="P1246" s="14">
        <f>IFERROR(L1246/G1246,0)</f>
        <v>0.39692307692307344</v>
      </c>
      <c r="S1246" s="61">
        <v>1</v>
      </c>
    </row>
    <row r="1247" spans="1:19" x14ac:dyDescent="0.3">
      <c r="A1247" s="9" t="s">
        <v>2992</v>
      </c>
      <c r="B1247" s="9" t="s">
        <v>26</v>
      </c>
      <c r="C1247" s="9" t="s">
        <v>26</v>
      </c>
      <c r="D1247" s="52">
        <v>46177</v>
      </c>
      <c r="E1247" s="48">
        <v>0.8652777777777777</v>
      </c>
      <c r="F1247" s="48">
        <v>0.87361111111111101</v>
      </c>
      <c r="G1247" s="43">
        <f>(F1247-E1247)*1440</f>
        <v>11.999999999999957</v>
      </c>
      <c r="H1247" s="9" t="s">
        <v>1135</v>
      </c>
      <c r="I1247" s="9" t="s">
        <v>1741</v>
      </c>
      <c r="J1247" s="44">
        <v>10.9</v>
      </c>
      <c r="K1247" s="60">
        <v>6.24</v>
      </c>
      <c r="L1247" s="56">
        <v>6.44</v>
      </c>
      <c r="M1247" s="14">
        <f>K1247-L1247</f>
        <v>-0.20000000000000018</v>
      </c>
      <c r="N1247" s="15">
        <f>IFERROR(M1247/K1247,0)</f>
        <v>-3.2051282051282076E-2</v>
      </c>
      <c r="O1247" s="14">
        <f>IFERROR(L1247/J1247,0)</f>
        <v>0.59082568807339453</v>
      </c>
      <c r="P1247" s="14">
        <f>IFERROR(L1247/G1247,0)</f>
        <v>0.53666666666666862</v>
      </c>
    </row>
    <row r="1248" spans="1:19" x14ac:dyDescent="0.3">
      <c r="A1248" s="9" t="s">
        <v>2999</v>
      </c>
      <c r="B1248" s="9" t="s">
        <v>18</v>
      </c>
      <c r="C1248" s="9" t="s">
        <v>184</v>
      </c>
      <c r="D1248" s="52">
        <v>46177</v>
      </c>
      <c r="E1248" s="48">
        <v>0.76250000000000007</v>
      </c>
      <c r="F1248" s="48">
        <v>0.76944444444444438</v>
      </c>
      <c r="G1248" s="43">
        <f>(F1248-E1248)*1440</f>
        <v>9.9999999999998046</v>
      </c>
      <c r="H1248" s="9" t="s">
        <v>3030</v>
      </c>
      <c r="I1248" s="9" t="s">
        <v>234</v>
      </c>
      <c r="J1248" s="44">
        <v>6.7</v>
      </c>
      <c r="K1248" s="60">
        <v>4.8899999999999997</v>
      </c>
      <c r="L1248" s="56">
        <v>4.1100000000000003</v>
      </c>
      <c r="M1248" s="14">
        <f>K1248-L1248</f>
        <v>0.77999999999999936</v>
      </c>
      <c r="N1248" s="15">
        <f>IFERROR(M1248/K1248,0)</f>
        <v>0.15950920245398761</v>
      </c>
      <c r="O1248" s="14">
        <f>IFERROR(L1248/J1248,0)</f>
        <v>0.61343283582089558</v>
      </c>
      <c r="P1248" s="14">
        <f>IFERROR(L1248/G1248,0)</f>
        <v>0.41100000000000808</v>
      </c>
    </row>
    <row r="1249" spans="1:18" x14ac:dyDescent="0.3">
      <c r="A1249" s="9" t="s">
        <v>2970</v>
      </c>
      <c r="B1249" s="9" t="s">
        <v>26</v>
      </c>
      <c r="C1249" s="9" t="s">
        <v>26</v>
      </c>
      <c r="D1249" s="52">
        <v>46177</v>
      </c>
      <c r="E1249" s="48">
        <v>0.59861111111111109</v>
      </c>
      <c r="F1249" s="48">
        <v>0.60416666666666663</v>
      </c>
      <c r="G1249" s="43">
        <f>(F1249-E1249)*1440</f>
        <v>7.9999999999999716</v>
      </c>
      <c r="H1249" s="9" t="s">
        <v>3017</v>
      </c>
      <c r="I1249" s="9" t="s">
        <v>243</v>
      </c>
      <c r="J1249" s="44">
        <v>5.6</v>
      </c>
      <c r="K1249" s="60">
        <v>4.76</v>
      </c>
      <c r="L1249" s="56">
        <v>3.57</v>
      </c>
      <c r="M1249" s="14">
        <f>K1249-L1249</f>
        <v>1.19</v>
      </c>
      <c r="N1249" s="15">
        <f>IFERROR(M1249/K1249,0)</f>
        <v>0.25</v>
      </c>
      <c r="O1249" s="14">
        <f>IFERROR(L1249/J1249,0)</f>
        <v>0.63750000000000007</v>
      </c>
      <c r="P1249" s="14">
        <f>IFERROR(L1249/G1249,0)</f>
        <v>0.44625000000000159</v>
      </c>
    </row>
    <row r="1250" spans="1:18" x14ac:dyDescent="0.3">
      <c r="A1250" s="9" t="s">
        <v>2985</v>
      </c>
      <c r="B1250" s="9" t="s">
        <v>26</v>
      </c>
      <c r="C1250" s="9" t="s">
        <v>26</v>
      </c>
      <c r="D1250" s="52">
        <v>46177</v>
      </c>
      <c r="E1250" s="48">
        <v>0.61319444444444449</v>
      </c>
      <c r="F1250" s="48">
        <v>0.62291666666666667</v>
      </c>
      <c r="G1250" s="43">
        <f>(F1250-E1250)*1440</f>
        <v>13.99999999999995</v>
      </c>
      <c r="H1250" s="9" t="s">
        <v>3016</v>
      </c>
      <c r="I1250" s="9" t="s">
        <v>1257</v>
      </c>
      <c r="J1250" s="44">
        <v>7.9</v>
      </c>
      <c r="K1250" s="60">
        <v>4.8099999999999996</v>
      </c>
      <c r="L1250" s="56">
        <v>5.15</v>
      </c>
      <c r="M1250" s="14">
        <f>K1250-L1250</f>
        <v>-0.34000000000000075</v>
      </c>
      <c r="N1250" s="15">
        <f>IFERROR(M1250/K1250,0)</f>
        <v>-7.0686070686070843E-2</v>
      </c>
      <c r="O1250" s="14">
        <f>IFERROR(L1250/J1250,0)</f>
        <v>0.65189873417721522</v>
      </c>
      <c r="P1250" s="14">
        <f>IFERROR(L1250/G1250,0)</f>
        <v>0.36785714285714421</v>
      </c>
    </row>
    <row r="1251" spans="1:18" x14ac:dyDescent="0.3">
      <c r="A1251" s="9" t="s">
        <v>2988</v>
      </c>
      <c r="B1251" s="9" t="s">
        <v>26</v>
      </c>
      <c r="C1251" s="9" t="s">
        <v>27</v>
      </c>
      <c r="D1251" s="52">
        <v>46177</v>
      </c>
      <c r="E1251" s="48">
        <v>0.68680555555555556</v>
      </c>
      <c r="F1251" s="48">
        <v>0.70000000000000007</v>
      </c>
      <c r="G1251" s="43">
        <f>(F1251-E1251)*1440</f>
        <v>19.000000000000092</v>
      </c>
      <c r="H1251" s="9" t="s">
        <v>3020</v>
      </c>
      <c r="I1251" s="9" t="s">
        <v>611</v>
      </c>
      <c r="J1251" s="44">
        <v>7.1</v>
      </c>
      <c r="K1251" s="60">
        <v>6.9</v>
      </c>
      <c r="L1251" s="56">
        <v>5.17</v>
      </c>
      <c r="M1251" s="14">
        <f>K1251-L1251</f>
        <v>1.7300000000000004</v>
      </c>
      <c r="N1251" s="15">
        <f>IFERROR(M1251/K1251,0)</f>
        <v>0.25072463768115949</v>
      </c>
      <c r="O1251" s="14">
        <f>IFERROR(L1251/J1251,0)</f>
        <v>0.72816901408450707</v>
      </c>
      <c r="P1251" s="14">
        <f>IFERROR(L1251/G1251,0)</f>
        <v>0.27210526315789341</v>
      </c>
    </row>
    <row r="1252" spans="1:18" x14ac:dyDescent="0.3">
      <c r="A1252" s="9" t="s">
        <v>2984</v>
      </c>
      <c r="B1252" s="9" t="s">
        <v>26</v>
      </c>
      <c r="C1252" s="9" t="s">
        <v>26</v>
      </c>
      <c r="D1252" s="52">
        <v>46177</v>
      </c>
      <c r="E1252" s="48">
        <v>0.60486111111111118</v>
      </c>
      <c r="F1252" s="48">
        <v>0.6118055555555556</v>
      </c>
      <c r="G1252" s="43">
        <f>(F1252-E1252)*1440</f>
        <v>9.9999999999999645</v>
      </c>
      <c r="H1252" s="9" t="s">
        <v>243</v>
      </c>
      <c r="I1252" s="9" t="s">
        <v>3015</v>
      </c>
      <c r="J1252" s="44">
        <v>5.0999999999999996</v>
      </c>
      <c r="K1252" s="60">
        <v>5.2</v>
      </c>
      <c r="L1252" s="56">
        <v>3.9</v>
      </c>
      <c r="M1252" s="14">
        <f>K1252-L1252</f>
        <v>1.3000000000000003</v>
      </c>
      <c r="N1252" s="15">
        <f>IFERROR(M1252/K1252,0)</f>
        <v>0.25000000000000006</v>
      </c>
      <c r="O1252" s="14">
        <f>IFERROR(L1252/J1252,0)</f>
        <v>0.76470588235294124</v>
      </c>
      <c r="P1252" s="14">
        <f>IFERROR(L1252/G1252,0)</f>
        <v>0.3900000000000014</v>
      </c>
    </row>
    <row r="1253" spans="1:18" x14ac:dyDescent="0.3">
      <c r="A1253" s="9" t="s">
        <v>2990</v>
      </c>
      <c r="B1253" s="9" t="s">
        <v>26</v>
      </c>
      <c r="C1253" s="9" t="s">
        <v>27</v>
      </c>
      <c r="D1253" s="52">
        <v>46177</v>
      </c>
      <c r="E1253" s="48">
        <v>0.74097222222222225</v>
      </c>
      <c r="F1253" s="48">
        <v>0.75</v>
      </c>
      <c r="G1253" s="43">
        <f>(F1253-E1253)*1440</f>
        <v>12.999999999999954</v>
      </c>
      <c r="H1253" s="9" t="s">
        <v>3022</v>
      </c>
      <c r="I1253" s="9" t="s">
        <v>2659</v>
      </c>
      <c r="J1253" s="44">
        <v>6.4</v>
      </c>
      <c r="K1253" s="60">
        <v>6.69</v>
      </c>
      <c r="L1253" s="56">
        <v>5.0199999999999996</v>
      </c>
      <c r="M1253" s="14">
        <f>K1253-L1253</f>
        <v>1.6700000000000008</v>
      </c>
      <c r="N1253" s="15">
        <f>IFERROR(M1253/K1253,0)</f>
        <v>0.24962630792227217</v>
      </c>
      <c r="O1253" s="14">
        <f>IFERROR(L1253/J1253,0)</f>
        <v>0.78437499999999993</v>
      </c>
      <c r="P1253" s="14">
        <f>IFERROR(L1253/G1253,0)</f>
        <v>0.38615384615384751</v>
      </c>
    </row>
    <row r="1254" spans="1:18" x14ac:dyDescent="0.3">
      <c r="A1254" s="9" t="s">
        <v>3002</v>
      </c>
      <c r="B1254" s="9" t="s">
        <v>18</v>
      </c>
      <c r="C1254" s="9" t="s">
        <v>196</v>
      </c>
      <c r="D1254" s="52">
        <v>46177</v>
      </c>
      <c r="E1254" s="48">
        <v>0.84375</v>
      </c>
      <c r="F1254" s="48">
        <v>0.85277777777777775</v>
      </c>
      <c r="G1254" s="43">
        <f>(F1254-E1254)*1440</f>
        <v>12.999999999999954</v>
      </c>
      <c r="H1254" s="9" t="s">
        <v>589</v>
      </c>
      <c r="I1254" s="9" t="s">
        <v>3033</v>
      </c>
      <c r="J1254" s="44">
        <v>4.95</v>
      </c>
      <c r="K1254" s="60">
        <v>6.09</v>
      </c>
      <c r="L1254" s="56">
        <v>4.0199999999999996</v>
      </c>
      <c r="M1254" s="14">
        <f>K1254-L1254</f>
        <v>2.0700000000000003</v>
      </c>
      <c r="N1254" s="15">
        <f>IFERROR(M1254/K1254,0)</f>
        <v>0.33990147783251234</v>
      </c>
      <c r="O1254" s="14">
        <f>IFERROR(L1254/J1254,0)</f>
        <v>0.81212121212121202</v>
      </c>
      <c r="P1254" s="14">
        <f>IFERROR(L1254/G1254,0)</f>
        <v>0.30923076923077031</v>
      </c>
    </row>
    <row r="1255" spans="1:18" x14ac:dyDescent="0.3">
      <c r="A1255" s="9" t="s">
        <v>2997</v>
      </c>
      <c r="B1255" s="9" t="s">
        <v>18</v>
      </c>
      <c r="C1255" s="9" t="s">
        <v>184</v>
      </c>
      <c r="D1255" s="52">
        <v>46177</v>
      </c>
      <c r="E1255" s="48">
        <v>0.7284722222222223</v>
      </c>
      <c r="F1255" s="48">
        <v>0.73402777777777783</v>
      </c>
      <c r="G1255" s="43">
        <f>(F1255-E1255)*1440</f>
        <v>7.9999999999999716</v>
      </c>
      <c r="H1255" s="9" t="s">
        <v>3028</v>
      </c>
      <c r="I1255" s="9" t="s">
        <v>1361</v>
      </c>
      <c r="J1255" s="44">
        <v>3.98</v>
      </c>
      <c r="K1255" s="60">
        <v>4.96</v>
      </c>
      <c r="L1255" s="56">
        <v>3.3</v>
      </c>
      <c r="M1255" s="14">
        <f>K1255-L1255</f>
        <v>1.6600000000000001</v>
      </c>
      <c r="N1255" s="15">
        <f>IFERROR(M1255/K1255,0)</f>
        <v>0.33467741935483875</v>
      </c>
      <c r="O1255" s="14">
        <f>IFERROR(L1255/J1255,0)</f>
        <v>0.82914572864321601</v>
      </c>
      <c r="P1255" s="14">
        <f>IFERROR(L1255/G1255,0)</f>
        <v>0.41250000000000142</v>
      </c>
    </row>
    <row r="1256" spans="1:18" x14ac:dyDescent="0.3">
      <c r="A1256" s="9" t="s">
        <v>3001</v>
      </c>
      <c r="B1256" s="9" t="s">
        <v>18</v>
      </c>
      <c r="C1256" s="9" t="s">
        <v>196</v>
      </c>
      <c r="D1256" s="52">
        <v>46177</v>
      </c>
      <c r="E1256" s="48">
        <v>0.82708333333333339</v>
      </c>
      <c r="F1256" s="48">
        <v>0.8354166666666667</v>
      </c>
      <c r="G1256" s="43">
        <f>(F1256-E1256)*1440</f>
        <v>11.999999999999957</v>
      </c>
      <c r="H1256" s="9" t="s">
        <v>3031</v>
      </c>
      <c r="I1256" s="9" t="s">
        <v>3032</v>
      </c>
      <c r="J1256" s="44">
        <v>10.46</v>
      </c>
      <c r="K1256" s="60">
        <v>14.97</v>
      </c>
      <c r="L1256" s="56">
        <v>9.73</v>
      </c>
      <c r="M1256" s="14">
        <f>K1256-L1256</f>
        <v>5.24</v>
      </c>
      <c r="N1256" s="15">
        <f>IFERROR(M1256/K1256,0)</f>
        <v>0.35003340013360051</v>
      </c>
      <c r="O1256" s="14">
        <f>IFERROR(L1256/J1256,0)</f>
        <v>0.9302103250478011</v>
      </c>
      <c r="P1256" s="14">
        <f>IFERROR(L1256/G1256,0)</f>
        <v>0.81083333333333629</v>
      </c>
    </row>
    <row r="1257" spans="1:18" x14ac:dyDescent="0.3">
      <c r="A1257" s="9" t="s">
        <v>2969</v>
      </c>
      <c r="B1257" s="9" t="s">
        <v>26</v>
      </c>
      <c r="C1257" s="9" t="s">
        <v>27</v>
      </c>
      <c r="D1257" s="52">
        <v>46177</v>
      </c>
      <c r="E1257" s="48">
        <v>0.59444444444444444</v>
      </c>
      <c r="F1257" s="48">
        <v>0.59722222222222221</v>
      </c>
      <c r="G1257" s="43">
        <f>(F1257-E1257)*1440</f>
        <v>3.9999999999999858</v>
      </c>
      <c r="H1257" s="9" t="s">
        <v>3014</v>
      </c>
      <c r="I1257" s="9" t="s">
        <v>2784</v>
      </c>
      <c r="J1257" s="44">
        <v>2.1</v>
      </c>
      <c r="K1257" s="60">
        <v>4.62</v>
      </c>
      <c r="L1257" s="56">
        <v>3.81</v>
      </c>
      <c r="M1257" s="14">
        <f>K1257-L1257</f>
        <v>0.81</v>
      </c>
      <c r="N1257" s="15">
        <f>IFERROR(M1257/K1257,0)</f>
        <v>0.17532467532467533</v>
      </c>
      <c r="O1257" s="14">
        <f>IFERROR(L1257/J1257,0)</f>
        <v>1.8142857142857143</v>
      </c>
      <c r="P1257" s="14">
        <f>IFERROR(L1257/G1257,0)</f>
        <v>0.95250000000000334</v>
      </c>
      <c r="R1257" s="57">
        <v>0.77</v>
      </c>
    </row>
    <row r="1258" spans="1:18" x14ac:dyDescent="0.3">
      <c r="A1258" s="9" t="s">
        <v>2991</v>
      </c>
      <c r="B1258" s="9" t="s">
        <v>26</v>
      </c>
      <c r="C1258" s="9" t="s">
        <v>26</v>
      </c>
      <c r="D1258" s="52">
        <v>46177</v>
      </c>
      <c r="E1258" s="48">
        <v>0.75208333333333333</v>
      </c>
      <c r="F1258" s="48">
        <v>0.75624999999999998</v>
      </c>
      <c r="G1258" s="43">
        <f>(F1258-E1258)*1440</f>
        <v>5.9999999999999787</v>
      </c>
      <c r="H1258" s="9" t="s">
        <v>3023</v>
      </c>
      <c r="I1258" s="9" t="s">
        <v>3024</v>
      </c>
      <c r="J1258" s="44">
        <v>1.6</v>
      </c>
      <c r="K1258" s="60">
        <v>3.08</v>
      </c>
      <c r="L1258" s="56">
        <v>3.3</v>
      </c>
      <c r="M1258" s="14">
        <f>K1258-L1258</f>
        <v>-0.21999999999999975</v>
      </c>
      <c r="N1258" s="15">
        <f>IFERROR(M1258/K1258,0)</f>
        <v>-7.1428571428571341E-2</v>
      </c>
      <c r="O1258" s="14">
        <f>IFERROR(L1258/J1258,0)</f>
        <v>2.0624999999999996</v>
      </c>
      <c r="P1258" s="14">
        <f>IFERROR(L1258/G1258,0)</f>
        <v>0.55000000000000193</v>
      </c>
    </row>
    <row r="1259" spans="1:18" x14ac:dyDescent="0.3">
      <c r="A1259" s="9" t="s">
        <v>2993</v>
      </c>
      <c r="B1259" s="9" t="s">
        <v>18</v>
      </c>
      <c r="C1259" s="9" t="s">
        <v>196</v>
      </c>
      <c r="D1259" s="52">
        <v>46177</v>
      </c>
      <c r="E1259" s="48">
        <v>0.54236111111111118</v>
      </c>
      <c r="F1259" s="48">
        <v>0.54583333333333328</v>
      </c>
      <c r="G1259" s="43">
        <f>(F1259-E1259)*1440</f>
        <v>4.9999999999998224</v>
      </c>
      <c r="H1259" s="9" t="s">
        <v>1221</v>
      </c>
      <c r="I1259" s="9" t="s">
        <v>3025</v>
      </c>
      <c r="J1259" s="44">
        <v>1.53</v>
      </c>
      <c r="K1259" s="60">
        <v>7.99</v>
      </c>
      <c r="L1259" s="56">
        <v>5.87</v>
      </c>
      <c r="M1259" s="14">
        <f>K1259-L1259</f>
        <v>2.12</v>
      </c>
      <c r="N1259" s="15">
        <f>IFERROR(M1259/K1259,0)</f>
        <v>0.26533166458072593</v>
      </c>
      <c r="O1259" s="14">
        <f>IFERROR(L1259/J1259,0)</f>
        <v>3.8366013071895426</v>
      </c>
      <c r="P1259" s="14">
        <f>IFERROR(L1259/G1259,0)</f>
        <v>1.1740000000000417</v>
      </c>
    </row>
    <row r="1260" spans="1:18" x14ac:dyDescent="0.3">
      <c r="A1260" s="9" t="s">
        <v>3009</v>
      </c>
      <c r="B1260" s="9" t="s">
        <v>26</v>
      </c>
      <c r="C1260" s="9" t="s">
        <v>27</v>
      </c>
      <c r="D1260" s="52">
        <v>46178</v>
      </c>
      <c r="E1260" s="48">
        <v>0.55694444444444446</v>
      </c>
      <c r="F1260" s="48">
        <v>0.57916666666666672</v>
      </c>
      <c r="G1260" s="43">
        <f>(F1260-E1260)*1440</f>
        <v>32.000000000000043</v>
      </c>
      <c r="H1260" s="9" t="s">
        <v>709</v>
      </c>
      <c r="I1260" s="9" t="s">
        <v>2681</v>
      </c>
      <c r="J1260" s="44">
        <v>21.9</v>
      </c>
      <c r="K1260" s="60">
        <v>14.42</v>
      </c>
      <c r="L1260" s="56">
        <v>10.81</v>
      </c>
      <c r="M1260" s="14">
        <f>K1260-L1260</f>
        <v>3.6099999999999994</v>
      </c>
      <c r="N1260" s="15">
        <f>IFERROR(M1260/K1260,0)</f>
        <v>0.25034674063800272</v>
      </c>
      <c r="O1260" s="14">
        <f>IFERROR(L1260/J1260,0)</f>
        <v>0.4936073059360731</v>
      </c>
      <c r="P1260" s="14">
        <f>IFERROR(L1260/G1260,0)</f>
        <v>0.33781249999999957</v>
      </c>
    </row>
    <row r="1261" spans="1:18" x14ac:dyDescent="0.3">
      <c r="A1261" s="9" t="s">
        <v>3012</v>
      </c>
      <c r="B1261" s="9" t="s">
        <v>26</v>
      </c>
      <c r="C1261" s="9" t="s">
        <v>27</v>
      </c>
      <c r="D1261" s="52">
        <v>46178</v>
      </c>
      <c r="E1261" s="48">
        <v>0.67013888888888884</v>
      </c>
      <c r="F1261" s="48">
        <v>0.68333333333333324</v>
      </c>
      <c r="G1261" s="43">
        <f>(F1261-E1261)*1440</f>
        <v>18.999999999999932</v>
      </c>
      <c r="H1261" s="9" t="s">
        <v>3071</v>
      </c>
      <c r="I1261" s="9" t="s">
        <v>2215</v>
      </c>
      <c r="J1261" s="44">
        <v>13.7</v>
      </c>
      <c r="K1261" s="60">
        <v>9.5399999999999991</v>
      </c>
      <c r="L1261" s="56">
        <v>7.25</v>
      </c>
      <c r="M1261" s="14">
        <f>K1261-L1261</f>
        <v>2.2899999999999991</v>
      </c>
      <c r="N1261" s="15">
        <f>IFERROR(M1261/K1261,0)</f>
        <v>0.24004192872117394</v>
      </c>
      <c r="O1261" s="14">
        <f>IFERROR(L1261/J1261,0)</f>
        <v>0.52919708029197088</v>
      </c>
      <c r="P1261" s="14">
        <f>IFERROR(L1261/G1261,0)</f>
        <v>0.38157894736842241</v>
      </c>
      <c r="Q1261" s="64">
        <v>0.4</v>
      </c>
    </row>
    <row r="1262" spans="1:18" x14ac:dyDescent="0.3">
      <c r="A1262" s="9" t="s">
        <v>3004</v>
      </c>
      <c r="B1262" s="9" t="s">
        <v>18</v>
      </c>
      <c r="C1262" s="9" t="s">
        <v>184</v>
      </c>
      <c r="D1262" s="52">
        <v>46178</v>
      </c>
      <c r="E1262" s="48">
        <v>0.625</v>
      </c>
      <c r="F1262" s="48">
        <v>0.6333333333333333</v>
      </c>
      <c r="G1262" s="43">
        <f>(F1262-E1262)*1440</f>
        <v>11.999999999999957</v>
      </c>
      <c r="H1262" s="9" t="s">
        <v>766</v>
      </c>
      <c r="I1262" s="9" t="s">
        <v>3063</v>
      </c>
      <c r="J1262" s="44">
        <v>7.7</v>
      </c>
      <c r="K1262" s="60">
        <v>5.93</v>
      </c>
      <c r="L1262" s="56">
        <v>4.18</v>
      </c>
      <c r="M1262" s="14">
        <f>K1262-L1262</f>
        <v>1.75</v>
      </c>
      <c r="N1262" s="15">
        <f>IFERROR(M1262/K1262,0)</f>
        <v>0.29510961214165266</v>
      </c>
      <c r="O1262" s="14">
        <f>IFERROR(L1262/J1262,0)</f>
        <v>0.54285714285714282</v>
      </c>
      <c r="P1262" s="14">
        <f>IFERROR(L1262/G1262,0)</f>
        <v>0.34833333333333455</v>
      </c>
    </row>
    <row r="1263" spans="1:18" x14ac:dyDescent="0.3">
      <c r="A1263" s="9" t="s">
        <v>3034</v>
      </c>
      <c r="B1263" s="9" t="s">
        <v>26</v>
      </c>
      <c r="C1263" s="9" t="s">
        <v>27</v>
      </c>
      <c r="D1263" s="52">
        <v>46178</v>
      </c>
      <c r="E1263" s="48">
        <v>0.74861111111111101</v>
      </c>
      <c r="F1263" s="48">
        <v>0.75486111111111109</v>
      </c>
      <c r="G1263" s="43">
        <f>(F1263-E1263)*1440</f>
        <v>9.0000000000001279</v>
      </c>
      <c r="H1263" s="9" t="s">
        <v>3072</v>
      </c>
      <c r="I1263" s="9" t="s">
        <v>2785</v>
      </c>
      <c r="J1263" s="44">
        <v>6.5</v>
      </c>
      <c r="K1263" s="60">
        <v>5.01</v>
      </c>
      <c r="L1263" s="56">
        <v>3.76</v>
      </c>
      <c r="M1263" s="14">
        <f>K1263-L1263</f>
        <v>1.25</v>
      </c>
      <c r="N1263" s="15">
        <f>IFERROR(M1263/K1263,0)</f>
        <v>0.24950099800399203</v>
      </c>
      <c r="O1263" s="14">
        <f>IFERROR(L1263/J1263,0)</f>
        <v>0.57846153846153847</v>
      </c>
      <c r="P1263" s="14">
        <f>IFERROR(L1263/G1263,0)</f>
        <v>0.41777777777777181</v>
      </c>
    </row>
    <row r="1264" spans="1:18" x14ac:dyDescent="0.3">
      <c r="A1264" s="9" t="s">
        <v>3040</v>
      </c>
      <c r="B1264" s="9" t="s">
        <v>26</v>
      </c>
      <c r="C1264" s="9" t="s">
        <v>27</v>
      </c>
      <c r="D1264" s="52">
        <v>46178</v>
      </c>
      <c r="E1264" s="48">
        <v>0.87986111111111109</v>
      </c>
      <c r="F1264" s="48">
        <v>0.89374999999999993</v>
      </c>
      <c r="G1264" s="43">
        <f>(F1264-E1264)*1440</f>
        <v>19.999999999999929</v>
      </c>
      <c r="H1264" s="9" t="s">
        <v>1763</v>
      </c>
      <c r="I1264" s="9" t="s">
        <v>3077</v>
      </c>
      <c r="J1264" s="44">
        <v>10.6</v>
      </c>
      <c r="K1264" s="60">
        <v>4.17</v>
      </c>
      <c r="L1264" s="56">
        <v>6.25</v>
      </c>
      <c r="M1264" s="14">
        <f>K1264-L1264</f>
        <v>-2.08</v>
      </c>
      <c r="N1264" s="15">
        <f>IFERROR(M1264/K1264,0)</f>
        <v>-0.49880095923261392</v>
      </c>
      <c r="O1264" s="14">
        <f>IFERROR(L1264/J1264,0)</f>
        <v>0.589622641509434</v>
      </c>
      <c r="P1264" s="14">
        <f>IFERROR(L1264/G1264,0)</f>
        <v>0.31250000000000111</v>
      </c>
    </row>
    <row r="1265" spans="1:18" x14ac:dyDescent="0.3">
      <c r="A1265" s="9" t="s">
        <v>3039</v>
      </c>
      <c r="B1265" s="9" t="s">
        <v>26</v>
      </c>
      <c r="C1265" s="9" t="s">
        <v>26</v>
      </c>
      <c r="D1265" s="52">
        <v>46178</v>
      </c>
      <c r="E1265" s="48">
        <v>0.83750000000000002</v>
      </c>
      <c r="F1265" s="48">
        <v>0.8520833333333333</v>
      </c>
      <c r="G1265" s="43">
        <f>(F1265-E1265)*1440</f>
        <v>20.999999999999925</v>
      </c>
      <c r="H1265" s="9" t="s">
        <v>558</v>
      </c>
      <c r="I1265" s="9" t="s">
        <v>1120</v>
      </c>
      <c r="J1265" s="44">
        <v>13.8</v>
      </c>
      <c r="K1265" s="60">
        <v>7.75</v>
      </c>
      <c r="L1265" s="56">
        <v>8.3000000000000007</v>
      </c>
      <c r="M1265" s="14">
        <f>K1265-L1265</f>
        <v>-0.55000000000000071</v>
      </c>
      <c r="N1265" s="15">
        <f>IFERROR(M1265/K1265,0)</f>
        <v>-7.0967741935483969E-2</v>
      </c>
      <c r="O1265" s="14">
        <f>IFERROR(L1265/J1265,0)</f>
        <v>0.60144927536231885</v>
      </c>
      <c r="P1265" s="14">
        <f>IFERROR(L1265/G1265,0)</f>
        <v>0.39523809523809666</v>
      </c>
    </row>
    <row r="1266" spans="1:18" x14ac:dyDescent="0.3">
      <c r="A1266" s="9" t="s">
        <v>3038</v>
      </c>
      <c r="B1266" s="9" t="s">
        <v>26</v>
      </c>
      <c r="C1266" s="9" t="s">
        <v>27</v>
      </c>
      <c r="D1266" s="52">
        <v>46178</v>
      </c>
      <c r="E1266" s="48">
        <v>0.7895833333333333</v>
      </c>
      <c r="F1266" s="48">
        <v>0.79861111111111116</v>
      </c>
      <c r="G1266" s="43">
        <f>(F1266-E1266)*1440</f>
        <v>13.000000000000114</v>
      </c>
      <c r="H1266" s="9" t="s">
        <v>1916</v>
      </c>
      <c r="I1266" s="9" t="s">
        <v>3076</v>
      </c>
      <c r="J1266" s="44">
        <v>8.8000000000000007</v>
      </c>
      <c r="K1266" s="60">
        <v>7.1</v>
      </c>
      <c r="L1266" s="56">
        <v>5.32</v>
      </c>
      <c r="M1266" s="14">
        <f>K1266-L1266</f>
        <v>1.7799999999999994</v>
      </c>
      <c r="N1266" s="15">
        <f>IFERROR(M1266/K1266,0)</f>
        <v>0.25070422535211262</v>
      </c>
      <c r="O1266" s="14">
        <f>IFERROR(L1266/J1266,0)</f>
        <v>0.6045454545454545</v>
      </c>
      <c r="P1266" s="14">
        <f>IFERROR(L1266/G1266,0)</f>
        <v>0.40923076923076568</v>
      </c>
    </row>
    <row r="1267" spans="1:18" x14ac:dyDescent="0.3">
      <c r="A1267" s="9" t="s">
        <v>3003</v>
      </c>
      <c r="B1267" s="9" t="s">
        <v>18</v>
      </c>
      <c r="C1267" s="9" t="s">
        <v>184</v>
      </c>
      <c r="D1267" s="52">
        <v>46178</v>
      </c>
      <c r="E1267" s="48">
        <v>0.6069444444444444</v>
      </c>
      <c r="F1267" s="48">
        <v>0.62361111111111112</v>
      </c>
      <c r="G1267" s="43">
        <f>(F1267-E1267)*1440</f>
        <v>24.000000000000075</v>
      </c>
      <c r="H1267" s="9" t="s">
        <v>2786</v>
      </c>
      <c r="I1267" s="9" t="s">
        <v>766</v>
      </c>
      <c r="J1267" s="44">
        <v>14.18</v>
      </c>
      <c r="K1267" s="60">
        <v>12.95</v>
      </c>
      <c r="L1267" s="56">
        <v>9.44</v>
      </c>
      <c r="M1267" s="14">
        <f>K1267-L1267</f>
        <v>3.51</v>
      </c>
      <c r="N1267" s="15">
        <f>IFERROR(M1267/K1267,0)</f>
        <v>0.27104247104247103</v>
      </c>
      <c r="O1267" s="14">
        <f>IFERROR(L1267/J1267,0)</f>
        <v>0.66572637517630462</v>
      </c>
      <c r="P1267" s="14">
        <f>IFERROR(L1267/G1267,0)</f>
        <v>0.39333333333333209</v>
      </c>
    </row>
    <row r="1268" spans="1:18" x14ac:dyDescent="0.3">
      <c r="A1268" s="9" t="s">
        <v>3005</v>
      </c>
      <c r="B1268" s="9" t="s">
        <v>18</v>
      </c>
      <c r="C1268" s="9" t="s">
        <v>196</v>
      </c>
      <c r="D1268" s="52">
        <v>46178</v>
      </c>
      <c r="E1268" s="48">
        <v>0.68333333333333324</v>
      </c>
      <c r="F1268" s="48">
        <v>0.69444444444444453</v>
      </c>
      <c r="G1268" s="43">
        <f>(F1268-E1268)*1440</f>
        <v>16.000000000000263</v>
      </c>
      <c r="H1268" s="9" t="s">
        <v>3064</v>
      </c>
      <c r="I1268" s="9" t="s">
        <v>1877</v>
      </c>
      <c r="J1268" s="44">
        <v>8.8699999999999992</v>
      </c>
      <c r="K1268" s="60">
        <v>8.9700000000000006</v>
      </c>
      <c r="L1268" s="56">
        <v>6.03</v>
      </c>
      <c r="M1268" s="14">
        <f>K1268-L1268</f>
        <v>2.9400000000000004</v>
      </c>
      <c r="N1268" s="15">
        <f>IFERROR(M1268/K1268,0)</f>
        <v>0.32775919732441472</v>
      </c>
      <c r="O1268" s="14">
        <f>IFERROR(L1268/J1268,0)</f>
        <v>0.67981961668545665</v>
      </c>
      <c r="P1268" s="14">
        <f>IFERROR(L1268/G1268,0)</f>
        <v>0.3768749999999938</v>
      </c>
    </row>
    <row r="1269" spans="1:18" x14ac:dyDescent="0.3">
      <c r="A1269" s="9" t="s">
        <v>3006</v>
      </c>
      <c r="B1269" s="9" t="s">
        <v>18</v>
      </c>
      <c r="C1269" s="9" t="s">
        <v>184</v>
      </c>
      <c r="D1269" s="52">
        <v>46178</v>
      </c>
      <c r="E1269" s="48">
        <v>0.6958333333333333</v>
      </c>
      <c r="F1269" s="48">
        <v>0.70208333333333339</v>
      </c>
      <c r="G1269" s="43">
        <f>(F1269-E1269)*1440</f>
        <v>9.0000000000001279</v>
      </c>
      <c r="H1269" s="9" t="s">
        <v>1293</v>
      </c>
      <c r="I1269" s="9" t="s">
        <v>3065</v>
      </c>
      <c r="J1269" s="44">
        <v>4.96</v>
      </c>
      <c r="K1269" s="60">
        <v>4.95</v>
      </c>
      <c r="L1269" s="56">
        <v>3.65</v>
      </c>
      <c r="M1269" s="14">
        <f>K1269-L1269</f>
        <v>1.3000000000000003</v>
      </c>
      <c r="N1269" s="15">
        <f>IFERROR(M1269/K1269,0)</f>
        <v>0.26262626262626265</v>
      </c>
      <c r="O1269" s="14">
        <f>IFERROR(L1269/J1269,0)</f>
        <v>0.73588709677419351</v>
      </c>
      <c r="P1269" s="14">
        <f>IFERROR(L1269/G1269,0)</f>
        <v>0.40555555555554978</v>
      </c>
    </row>
    <row r="1270" spans="1:18" x14ac:dyDescent="0.3">
      <c r="A1270" s="9" t="s">
        <v>3007</v>
      </c>
      <c r="B1270" s="9" t="s">
        <v>18</v>
      </c>
      <c r="C1270" s="9" t="s">
        <v>184</v>
      </c>
      <c r="D1270" s="52">
        <v>46178</v>
      </c>
      <c r="E1270" s="48">
        <v>0.70624999999999993</v>
      </c>
      <c r="F1270" s="48">
        <v>0.71597222222222223</v>
      </c>
      <c r="G1270" s="43">
        <f>(F1270-E1270)*1440</f>
        <v>14.00000000000011</v>
      </c>
      <c r="H1270" s="9" t="s">
        <v>679</v>
      </c>
      <c r="I1270" s="9" t="s">
        <v>2040</v>
      </c>
      <c r="J1270" s="44">
        <v>7.04</v>
      </c>
      <c r="K1270" s="60">
        <v>6.96</v>
      </c>
      <c r="L1270" s="56">
        <v>5.96</v>
      </c>
      <c r="M1270" s="14">
        <f>K1270-L1270</f>
        <v>1</v>
      </c>
      <c r="N1270" s="15">
        <f>IFERROR(M1270/K1270,0)</f>
        <v>0.14367816091954022</v>
      </c>
      <c r="O1270" s="14">
        <f>IFERROR(L1270/J1270,0)</f>
        <v>0.84659090909090906</v>
      </c>
      <c r="P1270" s="14">
        <f>IFERROR(L1270/G1270,0)</f>
        <v>0.42571428571428238</v>
      </c>
    </row>
    <row r="1271" spans="1:18" x14ac:dyDescent="0.3">
      <c r="A1271" s="9" t="s">
        <v>3008</v>
      </c>
      <c r="B1271" s="9" t="s">
        <v>18</v>
      </c>
      <c r="C1271" s="9" t="s">
        <v>196</v>
      </c>
      <c r="D1271" s="52">
        <v>46178</v>
      </c>
      <c r="E1271" s="48">
        <v>0.81666666666666676</v>
      </c>
      <c r="F1271" s="48">
        <v>0.8256944444444444</v>
      </c>
      <c r="G1271" s="43">
        <f>(F1271-E1271)*1440</f>
        <v>12.999999999999794</v>
      </c>
      <c r="H1271" s="9" t="s">
        <v>3066</v>
      </c>
      <c r="I1271" s="9" t="s">
        <v>3067</v>
      </c>
      <c r="J1271" s="44">
        <v>9.43</v>
      </c>
      <c r="K1271" s="60">
        <v>9.99</v>
      </c>
      <c r="L1271" s="56">
        <v>8.4700000000000006</v>
      </c>
      <c r="M1271" s="14">
        <f>K1271-L1271</f>
        <v>1.5199999999999996</v>
      </c>
      <c r="N1271" s="15">
        <f>IFERROR(M1271/K1271,0)</f>
        <v>0.15215215215215211</v>
      </c>
      <c r="O1271" s="14">
        <f>IFERROR(L1271/J1271,0)</f>
        <v>0.89819724284199376</v>
      </c>
      <c r="P1271" s="14">
        <f>IFERROR(L1271/G1271,0)</f>
        <v>0.65153846153847195</v>
      </c>
    </row>
    <row r="1272" spans="1:18" x14ac:dyDescent="0.3">
      <c r="A1272" s="9" t="s">
        <v>3013</v>
      </c>
      <c r="B1272" s="9" t="s">
        <v>26</v>
      </c>
      <c r="C1272" s="9" t="s">
        <v>26</v>
      </c>
      <c r="D1272" s="52">
        <v>46178</v>
      </c>
      <c r="E1272" s="48">
        <v>0.73611111111111116</v>
      </c>
      <c r="F1272" s="48">
        <v>0.74305555555555547</v>
      </c>
      <c r="G1272" s="43">
        <f>(F1272-E1272)*1440</f>
        <v>9.9999999999998046</v>
      </c>
      <c r="H1272" s="9" t="s">
        <v>2009</v>
      </c>
      <c r="I1272" s="9" t="s">
        <v>243</v>
      </c>
      <c r="J1272" s="44">
        <v>6.4</v>
      </c>
      <c r="K1272" s="60">
        <v>8.18</v>
      </c>
      <c r="L1272" s="56">
        <v>6.13</v>
      </c>
      <c r="M1272" s="14">
        <f>K1272-L1272</f>
        <v>2.0499999999999998</v>
      </c>
      <c r="N1272" s="15">
        <f>IFERROR(M1272/K1272,0)</f>
        <v>0.25061124694376524</v>
      </c>
      <c r="O1272" s="14">
        <f>IFERROR(L1272/J1272,0)</f>
        <v>0.95781249999999996</v>
      </c>
      <c r="P1272" s="14">
        <f>IFERROR(L1272/G1272,0)</f>
        <v>0.61300000000001198</v>
      </c>
    </row>
    <row r="1273" spans="1:18" x14ac:dyDescent="0.3">
      <c r="A1273" s="9" t="s">
        <v>3037</v>
      </c>
      <c r="B1273" s="9" t="s">
        <v>26</v>
      </c>
      <c r="C1273" s="9" t="s">
        <v>26</v>
      </c>
      <c r="D1273" s="52">
        <v>46178</v>
      </c>
      <c r="E1273" s="48">
        <v>0.78125</v>
      </c>
      <c r="F1273" s="48">
        <v>0.78680555555555554</v>
      </c>
      <c r="G1273" s="43">
        <f>(F1273-E1273)*1440</f>
        <v>7.9999999999999716</v>
      </c>
      <c r="H1273" s="9" t="s">
        <v>698</v>
      </c>
      <c r="I1273" s="9" t="s">
        <v>3075</v>
      </c>
      <c r="J1273" s="44">
        <v>3</v>
      </c>
      <c r="K1273" s="60">
        <v>4.5</v>
      </c>
      <c r="L1273" s="56">
        <v>3.37</v>
      </c>
      <c r="M1273" s="14">
        <f>K1273-L1273</f>
        <v>1.1299999999999999</v>
      </c>
      <c r="N1273" s="15">
        <f>IFERROR(M1273/K1273,0)</f>
        <v>0.25111111111111106</v>
      </c>
      <c r="O1273" s="14">
        <f>IFERROR(L1273/J1273,0)</f>
        <v>1.1233333333333333</v>
      </c>
      <c r="P1273" s="14">
        <f>IFERROR(L1273/G1273,0)</f>
        <v>0.42125000000000151</v>
      </c>
    </row>
    <row r="1274" spans="1:18" x14ac:dyDescent="0.3">
      <c r="A1274" s="9" t="s">
        <v>3011</v>
      </c>
      <c r="B1274" s="9" t="s">
        <v>26</v>
      </c>
      <c r="C1274" s="9" t="s">
        <v>26</v>
      </c>
      <c r="D1274" s="52">
        <v>46178</v>
      </c>
      <c r="E1274" s="48">
        <v>0.59444444444444444</v>
      </c>
      <c r="F1274" s="48">
        <v>0.60277777777777775</v>
      </c>
      <c r="G1274" s="43">
        <f>(F1274-E1274)*1440</f>
        <v>11.999999999999957</v>
      </c>
      <c r="H1274" s="9" t="s">
        <v>3070</v>
      </c>
      <c r="I1274" s="9" t="s">
        <v>616</v>
      </c>
      <c r="J1274" s="44">
        <v>3.6</v>
      </c>
      <c r="K1274" s="60">
        <v>5.52</v>
      </c>
      <c r="L1274" s="56">
        <v>4.1399999999999997</v>
      </c>
      <c r="M1274" s="14">
        <f>K1274-L1274</f>
        <v>1.38</v>
      </c>
      <c r="N1274" s="15">
        <f>IFERROR(M1274/K1274,0)</f>
        <v>0.25</v>
      </c>
      <c r="O1274" s="14">
        <f>IFERROR(L1274/J1274,0)</f>
        <v>1.1499999999999999</v>
      </c>
      <c r="P1274" s="14">
        <f>IFERROR(L1274/G1274,0)</f>
        <v>0.34500000000000119</v>
      </c>
    </row>
    <row r="1275" spans="1:18" x14ac:dyDescent="0.3">
      <c r="A1275" s="9" t="s">
        <v>3035</v>
      </c>
      <c r="B1275" s="9" t="s">
        <v>26</v>
      </c>
      <c r="C1275" s="9" t="s">
        <v>26</v>
      </c>
      <c r="D1275" s="52">
        <v>46178</v>
      </c>
      <c r="E1275" s="48">
        <v>0.7597222222222223</v>
      </c>
      <c r="F1275" s="48">
        <v>0.76666666666666661</v>
      </c>
      <c r="G1275" s="43">
        <f>(F1275-E1275)*1440</f>
        <v>9.9999999999998046</v>
      </c>
      <c r="H1275" s="9" t="s">
        <v>2785</v>
      </c>
      <c r="I1275" s="9" t="s">
        <v>3073</v>
      </c>
      <c r="J1275" s="44">
        <v>3.6</v>
      </c>
      <c r="K1275" s="60">
        <v>7.06</v>
      </c>
      <c r="L1275" s="56">
        <v>5.29</v>
      </c>
      <c r="M1275" s="14">
        <f>K1275-L1275</f>
        <v>1.7699999999999996</v>
      </c>
      <c r="N1275" s="15">
        <f>IFERROR(M1275/K1275,0)</f>
        <v>0.25070821529745035</v>
      </c>
      <c r="O1275" s="14">
        <f>IFERROR(L1275/J1275,0)</f>
        <v>1.4694444444444443</v>
      </c>
      <c r="P1275" s="14">
        <f>IFERROR(L1275/G1275,0)</f>
        <v>0.52900000000001035</v>
      </c>
    </row>
    <row r="1276" spans="1:18" x14ac:dyDescent="0.3">
      <c r="A1276" s="9" t="s">
        <v>3036</v>
      </c>
      <c r="B1276" s="9" t="s">
        <v>26</v>
      </c>
      <c r="C1276" s="9" t="s">
        <v>27</v>
      </c>
      <c r="D1276" s="52">
        <v>46178</v>
      </c>
      <c r="E1276" s="48">
        <v>0.77222222222222225</v>
      </c>
      <c r="F1276" s="48">
        <v>0.77777777777777779</v>
      </c>
      <c r="G1276" s="43">
        <f>(F1276-E1276)*1440</f>
        <v>7.9999999999999716</v>
      </c>
      <c r="H1276" s="9" t="s">
        <v>3074</v>
      </c>
      <c r="I1276" s="9" t="s">
        <v>905</v>
      </c>
      <c r="J1276" s="44">
        <v>2.9</v>
      </c>
      <c r="K1276" s="60">
        <v>4.16</v>
      </c>
      <c r="L1276" s="56">
        <v>5.2</v>
      </c>
      <c r="M1276" s="14">
        <f>K1276-L1276</f>
        <v>-1.04</v>
      </c>
      <c r="N1276" s="15">
        <f>IFERROR(M1276/K1276,0)</f>
        <v>-0.25</v>
      </c>
      <c r="O1276" s="14">
        <f>IFERROR(L1276/J1276,0)</f>
        <v>1.7931034482758621</v>
      </c>
      <c r="P1276" s="14">
        <f>IFERROR(L1276/G1276,0)</f>
        <v>0.65000000000000235</v>
      </c>
      <c r="R1276" s="57">
        <v>3.08</v>
      </c>
    </row>
    <row r="1277" spans="1:18" x14ac:dyDescent="0.3">
      <c r="A1277" s="9" t="s">
        <v>3010</v>
      </c>
      <c r="B1277" s="9" t="s">
        <v>26</v>
      </c>
      <c r="C1277" s="9" t="s">
        <v>26</v>
      </c>
      <c r="D1277" s="52">
        <v>46178</v>
      </c>
      <c r="E1277" s="48">
        <v>0.58472222222222225</v>
      </c>
      <c r="F1277" s="48">
        <v>0.59236111111111112</v>
      </c>
      <c r="G1277" s="43">
        <f>(F1277-E1277)*1440</f>
        <v>10.999999999999961</v>
      </c>
      <c r="H1277" s="9" t="s">
        <v>3068</v>
      </c>
      <c r="I1277" s="9" t="s">
        <v>3069</v>
      </c>
      <c r="J1277" s="44">
        <v>2.5</v>
      </c>
      <c r="K1277" s="60">
        <v>5.85</v>
      </c>
      <c r="L1277" s="56">
        <v>4.83</v>
      </c>
      <c r="M1277" s="14">
        <f>K1277-L1277</f>
        <v>1.0199999999999996</v>
      </c>
      <c r="N1277" s="15">
        <f>IFERROR(M1277/K1277,0)</f>
        <v>0.17435897435897429</v>
      </c>
      <c r="O1277" s="14">
        <f>IFERROR(L1277/J1277,0)</f>
        <v>1.9319999999999999</v>
      </c>
      <c r="P1277" s="14">
        <f>IFERROR(L1277/G1277,0)</f>
        <v>0.43909090909091064</v>
      </c>
    </row>
    <row r="1278" spans="1:18" x14ac:dyDescent="0.3">
      <c r="A1278" s="9" t="s">
        <v>3056</v>
      </c>
      <c r="B1278" s="9" t="s">
        <v>18</v>
      </c>
      <c r="C1278" s="9" t="s">
        <v>184</v>
      </c>
      <c r="D1278" s="52">
        <v>46179</v>
      </c>
      <c r="E1278" s="48">
        <v>0.54999999999999993</v>
      </c>
      <c r="F1278" s="48">
        <v>0.57222222222222219</v>
      </c>
      <c r="G1278" s="43">
        <f>(F1278-E1278)*1440</f>
        <v>32.000000000000043</v>
      </c>
      <c r="H1278" s="9" t="s">
        <v>3093</v>
      </c>
      <c r="I1278" s="9" t="s">
        <v>219</v>
      </c>
      <c r="J1278" s="44">
        <v>34.25</v>
      </c>
      <c r="K1278" s="60">
        <v>18.95</v>
      </c>
      <c r="L1278" s="56">
        <v>14.47</v>
      </c>
      <c r="M1278" s="14">
        <f>K1278-L1278</f>
        <v>4.4799999999999986</v>
      </c>
      <c r="N1278" s="15">
        <f>IFERROR(M1278/K1278,0)</f>
        <v>0.23641160949868067</v>
      </c>
      <c r="O1278" s="14">
        <f>IFERROR(L1278/J1278,0)</f>
        <v>0.42248175182481756</v>
      </c>
      <c r="P1278" s="14">
        <f>IFERROR(L1278/G1278,0)</f>
        <v>0.45218749999999941</v>
      </c>
    </row>
    <row r="1279" spans="1:18" x14ac:dyDescent="0.3">
      <c r="A1279" s="9" t="s">
        <v>3055</v>
      </c>
      <c r="B1279" s="9" t="s">
        <v>26</v>
      </c>
      <c r="C1279" s="9" t="s">
        <v>27</v>
      </c>
      <c r="D1279" s="52">
        <v>46179</v>
      </c>
      <c r="E1279" s="48">
        <v>0.84652777777777777</v>
      </c>
      <c r="F1279" s="48">
        <v>0.85833333333333339</v>
      </c>
      <c r="G1279" s="43">
        <f>(F1279-E1279)*1440</f>
        <v>17.000000000000099</v>
      </c>
      <c r="H1279" s="9" t="s">
        <v>3091</v>
      </c>
      <c r="I1279" s="9" t="s">
        <v>3092</v>
      </c>
      <c r="J1279" s="44">
        <v>13.9</v>
      </c>
      <c r="K1279" s="60">
        <v>9.94</v>
      </c>
      <c r="L1279" s="56">
        <v>7.45</v>
      </c>
      <c r="M1279" s="14">
        <f>K1279-L1279</f>
        <v>2.4899999999999993</v>
      </c>
      <c r="N1279" s="15">
        <f>IFERROR(M1279/K1279,0)</f>
        <v>0.25050301810865183</v>
      </c>
      <c r="O1279" s="14">
        <f>IFERROR(L1279/J1279,0)</f>
        <v>0.53597122302158273</v>
      </c>
      <c r="P1279" s="14">
        <f>IFERROR(L1279/G1279,0)</f>
        <v>0.4382352941176445</v>
      </c>
      <c r="R1279" s="57">
        <v>0.9</v>
      </c>
    </row>
    <row r="1280" spans="1:18" x14ac:dyDescent="0.3">
      <c r="A1280" s="9" t="s">
        <v>3057</v>
      </c>
      <c r="B1280" s="9" t="s">
        <v>18</v>
      </c>
      <c r="C1280" s="9" t="s">
        <v>184</v>
      </c>
      <c r="D1280" s="52">
        <v>46179</v>
      </c>
      <c r="E1280" s="48">
        <v>0.6020833333333333</v>
      </c>
      <c r="F1280" s="48">
        <v>0.61458333333333337</v>
      </c>
      <c r="G1280" s="43">
        <f>(F1280-E1280)*1440</f>
        <v>18.000000000000096</v>
      </c>
      <c r="H1280" s="9" t="s">
        <v>3094</v>
      </c>
      <c r="I1280" s="9" t="s">
        <v>3095</v>
      </c>
      <c r="J1280" s="44">
        <v>10.54</v>
      </c>
      <c r="K1280" s="60">
        <v>8.93</v>
      </c>
      <c r="L1280" s="56">
        <v>5.8</v>
      </c>
      <c r="M1280" s="14">
        <f>K1280-L1280</f>
        <v>3.13</v>
      </c>
      <c r="N1280" s="15">
        <f>IFERROR(M1280/K1280,0)</f>
        <v>0.35050391937290032</v>
      </c>
      <c r="O1280" s="14">
        <f>IFERROR(L1280/J1280,0)</f>
        <v>0.55028462998102468</v>
      </c>
      <c r="P1280" s="14">
        <f>IFERROR(L1280/G1280,0)</f>
        <v>0.32222222222222052</v>
      </c>
    </row>
    <row r="1281" spans="1:19" x14ac:dyDescent="0.3">
      <c r="A1281" s="9" t="s">
        <v>3044</v>
      </c>
      <c r="B1281" s="9" t="s">
        <v>26</v>
      </c>
      <c r="C1281" s="9" t="s">
        <v>26</v>
      </c>
      <c r="D1281" s="52">
        <v>46179</v>
      </c>
      <c r="E1281" s="48">
        <v>0.62777777777777777</v>
      </c>
      <c r="F1281" s="48">
        <v>0.63472222222222219</v>
      </c>
      <c r="G1281" s="43">
        <f>(F1281-E1281)*1440</f>
        <v>9.9999999999999645</v>
      </c>
      <c r="H1281" s="9" t="s">
        <v>818</v>
      </c>
      <c r="I1281" s="9" t="s">
        <v>550</v>
      </c>
      <c r="J1281" s="44">
        <v>6.3</v>
      </c>
      <c r="K1281" s="60">
        <v>4.7699999999999996</v>
      </c>
      <c r="L1281" s="56">
        <v>3.58</v>
      </c>
      <c r="M1281" s="14">
        <f>K1281-L1281</f>
        <v>1.1899999999999995</v>
      </c>
      <c r="N1281" s="15">
        <f>IFERROR(M1281/K1281,0)</f>
        <v>0.24947589098532486</v>
      </c>
      <c r="O1281" s="14">
        <f>IFERROR(L1281/J1281,0)</f>
        <v>0.56825396825396823</v>
      </c>
      <c r="P1281" s="14">
        <f>IFERROR(L1281/G1281,0)</f>
        <v>0.35800000000000126</v>
      </c>
    </row>
    <row r="1282" spans="1:19" x14ac:dyDescent="0.3">
      <c r="A1282" s="9" t="s">
        <v>3045</v>
      </c>
      <c r="B1282" s="9" t="s">
        <v>26</v>
      </c>
      <c r="C1282" s="9" t="s">
        <v>26</v>
      </c>
      <c r="D1282" s="52">
        <v>46179</v>
      </c>
      <c r="E1282" s="48">
        <v>0.66111111111111109</v>
      </c>
      <c r="F1282" s="48">
        <v>0.67361111111111116</v>
      </c>
      <c r="G1282" s="43">
        <f>(F1282-E1282)*1440</f>
        <v>18.000000000000096</v>
      </c>
      <c r="H1282" s="9" t="s">
        <v>609</v>
      </c>
      <c r="I1282" s="9" t="s">
        <v>2923</v>
      </c>
      <c r="J1282" s="44">
        <v>7.5</v>
      </c>
      <c r="K1282" s="60">
        <v>5.92</v>
      </c>
      <c r="L1282" s="56">
        <v>4.4400000000000004</v>
      </c>
      <c r="M1282" s="14">
        <f>K1282-L1282</f>
        <v>1.4799999999999995</v>
      </c>
      <c r="N1282" s="15">
        <f>IFERROR(M1282/K1282,0)</f>
        <v>0.24999999999999992</v>
      </c>
      <c r="O1282" s="14">
        <f>IFERROR(L1282/J1282,0)</f>
        <v>0.59200000000000008</v>
      </c>
      <c r="P1282" s="14">
        <f>IFERROR(L1282/G1282,0)</f>
        <v>0.24666666666666537</v>
      </c>
    </row>
    <row r="1283" spans="1:19" x14ac:dyDescent="0.3">
      <c r="A1283" s="9" t="s">
        <v>3052</v>
      </c>
      <c r="B1283" s="9" t="s">
        <v>26</v>
      </c>
      <c r="C1283" s="9" t="s">
        <v>26</v>
      </c>
      <c r="D1283" s="52">
        <v>46179</v>
      </c>
      <c r="E1283" s="48">
        <v>0.80972222222222223</v>
      </c>
      <c r="F1283" s="48">
        <v>0.81944444444444453</v>
      </c>
      <c r="G1283" s="43">
        <f>(F1283-E1283)*1440</f>
        <v>14.00000000000011</v>
      </c>
      <c r="H1283" s="9" t="s">
        <v>2623</v>
      </c>
      <c r="I1283" s="9" t="s">
        <v>3088</v>
      </c>
      <c r="J1283" s="44">
        <v>8.5</v>
      </c>
      <c r="K1283" s="60">
        <v>6.73</v>
      </c>
      <c r="L1283" s="56">
        <v>5.17</v>
      </c>
      <c r="M1283" s="14">
        <f>K1283-L1283</f>
        <v>1.5600000000000005</v>
      </c>
      <c r="N1283" s="15">
        <f>IFERROR(M1283/K1283,0)</f>
        <v>0.23179791976225861</v>
      </c>
      <c r="O1283" s="14">
        <f>IFERROR(L1283/J1283,0)</f>
        <v>0.6082352941176471</v>
      </c>
      <c r="P1283" s="14">
        <f>IFERROR(L1283/G1283,0)</f>
        <v>0.36928571428571139</v>
      </c>
    </row>
    <row r="1284" spans="1:19" x14ac:dyDescent="0.3">
      <c r="A1284" s="9" t="s">
        <v>3048</v>
      </c>
      <c r="B1284" s="9" t="s">
        <v>26</v>
      </c>
      <c r="C1284" s="9" t="s">
        <v>27</v>
      </c>
      <c r="D1284" s="52">
        <v>46179</v>
      </c>
      <c r="E1284" s="48">
        <v>0.69374999999999998</v>
      </c>
      <c r="F1284" s="48">
        <v>0.70486111111111116</v>
      </c>
      <c r="G1284" s="43">
        <f>(F1284-E1284)*1440</f>
        <v>16.000000000000103</v>
      </c>
      <c r="H1284" s="9" t="s">
        <v>3084</v>
      </c>
      <c r="I1284" s="9" t="s">
        <v>3085</v>
      </c>
      <c r="J1284" s="44">
        <v>11.1</v>
      </c>
      <c r="K1284" s="60">
        <v>9.73</v>
      </c>
      <c r="L1284" s="56">
        <v>7.3</v>
      </c>
      <c r="M1284" s="14">
        <f>K1284-L1284</f>
        <v>2.4300000000000006</v>
      </c>
      <c r="N1284" s="15">
        <f>IFERROR(M1284/K1284,0)</f>
        <v>0.24974306269270302</v>
      </c>
      <c r="O1284" s="14">
        <f>IFERROR(L1284/J1284,0)</f>
        <v>0.65765765765765771</v>
      </c>
      <c r="P1284" s="14">
        <f>IFERROR(L1284/G1284,0)</f>
        <v>0.45624999999999705</v>
      </c>
      <c r="R1284" s="57">
        <v>2.25</v>
      </c>
    </row>
    <row r="1285" spans="1:19" x14ac:dyDescent="0.3">
      <c r="A1285" s="9" t="s">
        <v>3047</v>
      </c>
      <c r="B1285" s="9" t="s">
        <v>26</v>
      </c>
      <c r="C1285" s="9" t="s">
        <v>26</v>
      </c>
      <c r="D1285" s="52">
        <v>46179</v>
      </c>
      <c r="E1285" s="48">
        <v>0.68194444444444446</v>
      </c>
      <c r="F1285" s="48">
        <v>0.69097222222222221</v>
      </c>
      <c r="G1285" s="43">
        <f>(F1285-E1285)*1440</f>
        <v>12.999999999999954</v>
      </c>
      <c r="H1285" s="9" t="s">
        <v>2166</v>
      </c>
      <c r="I1285" s="9" t="s">
        <v>3083</v>
      </c>
      <c r="J1285" s="44">
        <v>8.1</v>
      </c>
      <c r="K1285" s="60">
        <v>7.44</v>
      </c>
      <c r="L1285" s="56">
        <v>5.58</v>
      </c>
      <c r="M1285" s="14">
        <f>K1285-L1285</f>
        <v>1.8600000000000003</v>
      </c>
      <c r="N1285" s="15">
        <f>IFERROR(M1285/K1285,0)</f>
        <v>0.25000000000000006</v>
      </c>
      <c r="O1285" s="14">
        <f>IFERROR(L1285/J1285,0)</f>
        <v>0.68888888888888888</v>
      </c>
      <c r="P1285" s="14">
        <f>IFERROR(L1285/G1285,0)</f>
        <v>0.42923076923077075</v>
      </c>
      <c r="R1285" s="57">
        <v>0.67</v>
      </c>
    </row>
    <row r="1286" spans="1:19" x14ac:dyDescent="0.3">
      <c r="A1286" s="9" t="s">
        <v>3041</v>
      </c>
      <c r="B1286" s="9" t="s">
        <v>26</v>
      </c>
      <c r="C1286" s="9" t="s">
        <v>26</v>
      </c>
      <c r="D1286" s="52">
        <v>46179</v>
      </c>
      <c r="E1286" s="48">
        <v>0.58472222222222225</v>
      </c>
      <c r="F1286" s="48">
        <v>0.59375</v>
      </c>
      <c r="G1286" s="43">
        <f>(F1286-E1286)*1440</f>
        <v>12.999999999999954</v>
      </c>
      <c r="H1286" s="9" t="s">
        <v>3078</v>
      </c>
      <c r="I1286" s="9" t="s">
        <v>3079</v>
      </c>
      <c r="J1286" s="44">
        <v>6.9</v>
      </c>
      <c r="K1286" s="60">
        <v>6.52</v>
      </c>
      <c r="L1286" s="56">
        <v>4.8899999999999997</v>
      </c>
      <c r="M1286" s="14">
        <f>K1286-L1286</f>
        <v>1.63</v>
      </c>
      <c r="N1286" s="15">
        <f>IFERROR(M1286/K1286,0)</f>
        <v>0.25</v>
      </c>
      <c r="O1286" s="14">
        <f>IFERROR(L1286/J1286,0)</f>
        <v>0.70869565217391295</v>
      </c>
      <c r="P1286" s="14">
        <f>IFERROR(L1286/G1286,0)</f>
        <v>0.37615384615384745</v>
      </c>
    </row>
    <row r="1287" spans="1:19" x14ac:dyDescent="0.3">
      <c r="A1287" s="9" t="s">
        <v>3053</v>
      </c>
      <c r="B1287" s="9" t="s">
        <v>26</v>
      </c>
      <c r="C1287" s="9" t="s">
        <v>27</v>
      </c>
      <c r="D1287" s="52">
        <v>46179</v>
      </c>
      <c r="E1287" s="48">
        <v>0.82291666666666663</v>
      </c>
      <c r="F1287" s="48">
        <v>0.8305555555555556</v>
      </c>
      <c r="G1287" s="43">
        <f>(F1287-E1287)*1440</f>
        <v>11.000000000000121</v>
      </c>
      <c r="H1287" s="9" t="s">
        <v>2861</v>
      </c>
      <c r="I1287" s="9" t="s">
        <v>3089</v>
      </c>
      <c r="J1287" s="44">
        <v>7.3</v>
      </c>
      <c r="K1287" s="60">
        <v>6.92</v>
      </c>
      <c r="L1287" s="56">
        <v>5.19</v>
      </c>
      <c r="M1287" s="14">
        <f>K1287-L1287</f>
        <v>1.7299999999999995</v>
      </c>
      <c r="N1287" s="15">
        <f>IFERROR(M1287/K1287,0)</f>
        <v>0.24999999999999994</v>
      </c>
      <c r="O1287" s="14">
        <f>IFERROR(L1287/J1287,0)</f>
        <v>0.71095890410958906</v>
      </c>
      <c r="P1287" s="14">
        <f>IFERROR(L1287/G1287,0)</f>
        <v>0.4718181818181767</v>
      </c>
      <c r="R1287" s="57">
        <v>1.1499999999999999</v>
      </c>
    </row>
    <row r="1288" spans="1:19" x14ac:dyDescent="0.3">
      <c r="A1288" s="9" t="s">
        <v>3051</v>
      </c>
      <c r="B1288" s="9" t="s">
        <v>26</v>
      </c>
      <c r="C1288" s="9" t="s">
        <v>26</v>
      </c>
      <c r="D1288" s="52">
        <v>46179</v>
      </c>
      <c r="E1288" s="48">
        <v>0.76180555555555562</v>
      </c>
      <c r="F1288" s="48">
        <v>0.77777777777777779</v>
      </c>
      <c r="G1288" s="43">
        <f>(F1288-E1288)*1440</f>
        <v>22.999999999999918</v>
      </c>
      <c r="H1288" s="9" t="s">
        <v>1120</v>
      </c>
      <c r="I1288" s="9" t="s">
        <v>853</v>
      </c>
      <c r="J1288" s="44">
        <v>15.1</v>
      </c>
      <c r="K1288" s="60">
        <v>15.11</v>
      </c>
      <c r="L1288" s="56">
        <v>11.67</v>
      </c>
      <c r="M1288" s="14">
        <f>K1288-L1288</f>
        <v>3.4399999999999995</v>
      </c>
      <c r="N1288" s="15">
        <f>IFERROR(M1288/K1288,0)</f>
        <v>0.22766379880873591</v>
      </c>
      <c r="O1288" s="14">
        <f>IFERROR(L1288/J1288,0)</f>
        <v>0.77284768211920529</v>
      </c>
      <c r="P1288" s="14">
        <f>IFERROR(L1288/G1288,0)</f>
        <v>0.50739130434782787</v>
      </c>
      <c r="R1288" s="57">
        <v>2.6</v>
      </c>
    </row>
    <row r="1289" spans="1:19" x14ac:dyDescent="0.3">
      <c r="A1289" s="9" t="s">
        <v>3049</v>
      </c>
      <c r="B1289" s="9" t="s">
        <v>26</v>
      </c>
      <c r="C1289" s="9" t="s">
        <v>26</v>
      </c>
      <c r="D1289" s="52">
        <v>46179</v>
      </c>
      <c r="E1289" s="48">
        <v>0.72986111111111107</v>
      </c>
      <c r="F1289" s="48">
        <v>0.73819444444444438</v>
      </c>
      <c r="G1289" s="43">
        <f>(F1289-E1289)*1440</f>
        <v>11.999999999999957</v>
      </c>
      <c r="H1289" s="9" t="s">
        <v>3086</v>
      </c>
      <c r="I1289" s="9" t="s">
        <v>3087</v>
      </c>
      <c r="J1289" s="44">
        <v>8.1</v>
      </c>
      <c r="K1289" s="60">
        <v>8.81</v>
      </c>
      <c r="L1289" s="56">
        <v>6.95</v>
      </c>
      <c r="M1289" s="14">
        <f>K1289-L1289</f>
        <v>1.8600000000000003</v>
      </c>
      <c r="N1289" s="15">
        <f>IFERROR(M1289/K1289,0)</f>
        <v>0.21112372304199775</v>
      </c>
      <c r="O1289" s="14">
        <f>IFERROR(L1289/J1289,0)</f>
        <v>0.85802469135802473</v>
      </c>
      <c r="P1289" s="14">
        <f>IFERROR(L1289/G1289,0)</f>
        <v>0.57916666666666872</v>
      </c>
      <c r="R1289" s="57">
        <v>2.65</v>
      </c>
    </row>
    <row r="1290" spans="1:19" x14ac:dyDescent="0.3">
      <c r="A1290" s="9" t="s">
        <v>3050</v>
      </c>
      <c r="B1290" s="9" t="s">
        <v>26</v>
      </c>
      <c r="C1290" s="9" t="s">
        <v>27</v>
      </c>
      <c r="D1290" s="52">
        <v>46179</v>
      </c>
      <c r="E1290" s="48">
        <v>0.73958333333333337</v>
      </c>
      <c r="F1290" s="48">
        <v>0.74930555555555556</v>
      </c>
      <c r="G1290" s="43">
        <f>(F1290-E1290)*1440</f>
        <v>13.99999999999995</v>
      </c>
      <c r="H1290" s="9" t="s">
        <v>1320</v>
      </c>
      <c r="I1290" s="9" t="s">
        <v>611</v>
      </c>
      <c r="J1290" s="44">
        <v>7</v>
      </c>
      <c r="K1290" s="60">
        <v>8.1300000000000008</v>
      </c>
      <c r="L1290" s="56">
        <v>6.1</v>
      </c>
      <c r="M1290" s="14">
        <f>K1290-L1290</f>
        <v>2.0300000000000011</v>
      </c>
      <c r="N1290" s="15">
        <f>IFERROR(M1290/K1290,0)</f>
        <v>0.24969249692496936</v>
      </c>
      <c r="O1290" s="14">
        <f>IFERROR(L1290/J1290,0)</f>
        <v>0.87142857142857133</v>
      </c>
      <c r="P1290" s="14">
        <f>IFERROR(L1290/G1290,0)</f>
        <v>0.43571428571428722</v>
      </c>
    </row>
    <row r="1291" spans="1:19" x14ac:dyDescent="0.3">
      <c r="A1291" s="9" t="s">
        <v>3059</v>
      </c>
      <c r="B1291" s="9" t="s">
        <v>18</v>
      </c>
      <c r="C1291" s="9" t="s">
        <v>184</v>
      </c>
      <c r="D1291" s="52">
        <v>46179</v>
      </c>
      <c r="E1291" s="48">
        <v>0.71527777777777779</v>
      </c>
      <c r="F1291" s="48">
        <v>0.72083333333333333</v>
      </c>
      <c r="G1291" s="43">
        <f>(F1291-E1291)*1440</f>
        <v>7.9999999999999716</v>
      </c>
      <c r="H1291" s="9" t="s">
        <v>243</v>
      </c>
      <c r="I1291" s="9" t="s">
        <v>1179</v>
      </c>
      <c r="J1291" s="44">
        <v>4.67</v>
      </c>
      <c r="K1291" s="60">
        <v>5.35</v>
      </c>
      <c r="L1291" s="56">
        <v>5.2</v>
      </c>
      <c r="M1291" s="14">
        <f>K1291-L1291</f>
        <v>0.14999999999999947</v>
      </c>
      <c r="N1291" s="15">
        <f>IFERROR(M1291/K1291,0)</f>
        <v>2.8037383177569996E-2</v>
      </c>
      <c r="O1291" s="14">
        <f>IFERROR(L1291/J1291,0)</f>
        <v>1.1134903640256959</v>
      </c>
      <c r="P1291" s="14">
        <f>IFERROR(L1291/G1291,0)</f>
        <v>0.65000000000000235</v>
      </c>
      <c r="S1291" s="61">
        <v>1</v>
      </c>
    </row>
    <row r="1292" spans="1:19" x14ac:dyDescent="0.3">
      <c r="A1292" s="9" t="s">
        <v>3042</v>
      </c>
      <c r="B1292" s="9" t="s">
        <v>26</v>
      </c>
      <c r="C1292" s="9" t="s">
        <v>26</v>
      </c>
      <c r="D1292" s="52">
        <v>46179</v>
      </c>
      <c r="E1292" s="48">
        <v>0.59444444444444444</v>
      </c>
      <c r="F1292" s="48">
        <v>0.60138888888888886</v>
      </c>
      <c r="G1292" s="43">
        <f>(F1292-E1292)*1440</f>
        <v>9.9999999999999645</v>
      </c>
      <c r="H1292" s="9" t="s">
        <v>3080</v>
      </c>
      <c r="I1292" s="9" t="s">
        <v>1174</v>
      </c>
      <c r="J1292" s="44">
        <v>2.7</v>
      </c>
      <c r="K1292" s="60">
        <v>4.4000000000000004</v>
      </c>
      <c r="L1292" s="56">
        <v>3.3</v>
      </c>
      <c r="M1292" s="14">
        <f>K1292-L1292</f>
        <v>1.1000000000000005</v>
      </c>
      <c r="N1292" s="15">
        <f>IFERROR(M1292/K1292,0)</f>
        <v>0.25000000000000011</v>
      </c>
      <c r="O1292" s="14">
        <f>IFERROR(L1292/J1292,0)</f>
        <v>1.2222222222222221</v>
      </c>
      <c r="P1292" s="14">
        <f>IFERROR(L1292/G1292,0)</f>
        <v>0.33000000000000118</v>
      </c>
    </row>
    <row r="1293" spans="1:19" x14ac:dyDescent="0.3">
      <c r="A1293" s="9" t="s">
        <v>3058</v>
      </c>
      <c r="B1293" s="9" t="s">
        <v>18</v>
      </c>
      <c r="C1293" s="9" t="s">
        <v>196</v>
      </c>
      <c r="D1293" s="52">
        <v>46179</v>
      </c>
      <c r="E1293" s="48">
        <v>0.70347222222222217</v>
      </c>
      <c r="F1293" s="48">
        <v>0.71250000000000002</v>
      </c>
      <c r="G1293" s="43">
        <f>(F1293-E1293)*1440</f>
        <v>13.000000000000114</v>
      </c>
      <c r="H1293" s="9" t="s">
        <v>2222</v>
      </c>
      <c r="I1293" s="9" t="s">
        <v>2942</v>
      </c>
      <c r="J1293" s="44">
        <v>3.36</v>
      </c>
      <c r="K1293" s="60">
        <v>4.9800000000000004</v>
      </c>
      <c r="L1293" s="56">
        <v>4.22</v>
      </c>
      <c r="M1293" s="14">
        <f>K1293-L1293</f>
        <v>0.76000000000000068</v>
      </c>
      <c r="N1293" s="15">
        <f>IFERROR(M1293/K1293,0)</f>
        <v>0.15261044176706839</v>
      </c>
      <c r="O1293" s="14">
        <f>IFERROR(L1293/J1293,0)</f>
        <v>1.2559523809523809</v>
      </c>
      <c r="P1293" s="14">
        <f>IFERROR(L1293/G1293,0)</f>
        <v>0.32461538461538175</v>
      </c>
    </row>
    <row r="1294" spans="1:19" x14ac:dyDescent="0.3">
      <c r="A1294" s="9" t="s">
        <v>3054</v>
      </c>
      <c r="B1294" s="9" t="s">
        <v>26</v>
      </c>
      <c r="C1294" s="9" t="s">
        <v>27</v>
      </c>
      <c r="D1294" s="52">
        <v>46179</v>
      </c>
      <c r="E1294" s="48">
        <v>0.8340277777777777</v>
      </c>
      <c r="F1294" s="48">
        <v>0.83819444444444446</v>
      </c>
      <c r="G1294" s="43">
        <f>(F1294-E1294)*1440</f>
        <v>6.0000000000001386</v>
      </c>
      <c r="H1294" s="9" t="s">
        <v>3090</v>
      </c>
      <c r="I1294" s="9" t="s">
        <v>584</v>
      </c>
      <c r="J1294" s="44">
        <v>2.2000000000000002</v>
      </c>
      <c r="K1294" s="60">
        <v>4.24</v>
      </c>
      <c r="L1294" s="56">
        <v>3.18</v>
      </c>
      <c r="M1294" s="14">
        <f>K1294-L1294</f>
        <v>1.06</v>
      </c>
      <c r="N1294" s="15">
        <f>IFERROR(M1294/K1294,0)</f>
        <v>0.25</v>
      </c>
      <c r="O1294" s="14">
        <f>IFERROR(L1294/J1294,0)</f>
        <v>1.4454545454545453</v>
      </c>
      <c r="P1294" s="14">
        <f>IFERROR(L1294/G1294,0)</f>
        <v>0.52999999999998781</v>
      </c>
    </row>
    <row r="1295" spans="1:19" x14ac:dyDescent="0.3">
      <c r="A1295" s="9" t="s">
        <v>3043</v>
      </c>
      <c r="B1295" s="9" t="s">
        <v>26</v>
      </c>
      <c r="C1295" s="9" t="s">
        <v>26</v>
      </c>
      <c r="D1295" s="52">
        <v>46179</v>
      </c>
      <c r="E1295" s="48">
        <v>0.62013888888888891</v>
      </c>
      <c r="F1295" s="48">
        <v>0.625</v>
      </c>
      <c r="G1295" s="43">
        <f>(F1295-E1295)*1440</f>
        <v>6.9999999999999751</v>
      </c>
      <c r="H1295" s="9" t="s">
        <v>3081</v>
      </c>
      <c r="I1295" s="9" t="s">
        <v>675</v>
      </c>
      <c r="J1295" s="44">
        <v>2.1</v>
      </c>
      <c r="K1295" s="60">
        <v>4.4000000000000004</v>
      </c>
      <c r="L1295" s="56">
        <v>3.3</v>
      </c>
      <c r="M1295" s="14">
        <f>K1295-L1295</f>
        <v>1.1000000000000005</v>
      </c>
      <c r="N1295" s="15">
        <f>IFERROR(M1295/K1295,0)</f>
        <v>0.25000000000000011</v>
      </c>
      <c r="O1295" s="14">
        <f>IFERROR(L1295/J1295,0)</f>
        <v>1.5714285714285712</v>
      </c>
      <c r="P1295" s="14">
        <f>IFERROR(L1295/G1295,0)</f>
        <v>0.47142857142857308</v>
      </c>
    </row>
    <row r="1296" spans="1:19" x14ac:dyDescent="0.3">
      <c r="A1296" s="9" t="s">
        <v>3046</v>
      </c>
      <c r="B1296" s="9" t="s">
        <v>26</v>
      </c>
      <c r="C1296" s="9" t="s">
        <v>27</v>
      </c>
      <c r="D1296" s="52">
        <v>46179</v>
      </c>
      <c r="E1296" s="48">
        <v>0.67708333333333337</v>
      </c>
      <c r="F1296" s="48">
        <v>0.68055555555555547</v>
      </c>
      <c r="G1296" s="43">
        <f>(F1296-E1296)*1440</f>
        <v>4.9999999999998224</v>
      </c>
      <c r="H1296" s="9" t="s">
        <v>908</v>
      </c>
      <c r="I1296" s="9" t="s">
        <v>3082</v>
      </c>
      <c r="J1296" s="44">
        <v>2.2000000000000002</v>
      </c>
      <c r="K1296" s="60">
        <v>6.55</v>
      </c>
      <c r="L1296" s="56">
        <v>4.91</v>
      </c>
      <c r="M1296" s="14">
        <f>K1296-L1296</f>
        <v>1.6399999999999997</v>
      </c>
      <c r="N1296" s="15">
        <f>IFERROR(M1296/K1296,0)</f>
        <v>0.25038167938931294</v>
      </c>
      <c r="O1296" s="14">
        <f>IFERROR(L1296/J1296,0)</f>
        <v>2.2318181818181819</v>
      </c>
      <c r="P1296" s="14">
        <f>IFERROR(L1296/G1296,0)</f>
        <v>0.98200000000003496</v>
      </c>
    </row>
    <row r="1297" spans="1:16" x14ac:dyDescent="0.3">
      <c r="A1297" s="9" t="s">
        <v>3060</v>
      </c>
      <c r="B1297" s="9" t="s">
        <v>18</v>
      </c>
      <c r="C1297" s="9" t="s">
        <v>184</v>
      </c>
      <c r="D1297" s="52">
        <v>46180</v>
      </c>
      <c r="E1297" s="48">
        <v>0.55138888888888882</v>
      </c>
      <c r="F1297" s="48">
        <v>0.56805555555555554</v>
      </c>
      <c r="G1297" s="43">
        <f>(F1297-E1297)*1440</f>
        <v>24.000000000000075</v>
      </c>
      <c r="H1297" s="9" t="s">
        <v>3297</v>
      </c>
      <c r="I1297" s="9" t="s">
        <v>892</v>
      </c>
      <c r="J1297" s="44">
        <v>27.81</v>
      </c>
      <c r="K1297" s="60">
        <v>15.96</v>
      </c>
      <c r="L1297" s="56">
        <v>11.89</v>
      </c>
      <c r="M1297" s="14">
        <f>K1297-L1297</f>
        <v>4.07</v>
      </c>
      <c r="N1297" s="15">
        <f>IFERROR(M1297/K1297,0)</f>
        <v>0.2550125313283208</v>
      </c>
      <c r="O1297" s="14">
        <f>IFERROR(L1297/J1297,0)</f>
        <v>0.42754404890327224</v>
      </c>
      <c r="P1297" s="14">
        <f>IFERROR(L1297/G1297,0)</f>
        <v>0.49541666666666517</v>
      </c>
    </row>
    <row r="1298" spans="1:16" x14ac:dyDescent="0.3">
      <c r="A1298" s="9" t="s">
        <v>3102</v>
      </c>
      <c r="B1298" s="9" t="s">
        <v>26</v>
      </c>
      <c r="C1298" s="9" t="s">
        <v>27</v>
      </c>
      <c r="D1298" s="52">
        <v>46180</v>
      </c>
      <c r="E1298" s="48">
        <v>0.59583333333333333</v>
      </c>
      <c r="F1298" s="48">
        <v>0.60416666666666663</v>
      </c>
      <c r="G1298" s="43">
        <f>(F1298-E1298)*1440</f>
        <v>11.999999999999957</v>
      </c>
      <c r="H1298" s="9" t="s">
        <v>3302</v>
      </c>
      <c r="I1298" s="9" t="s">
        <v>2484</v>
      </c>
      <c r="J1298" s="44">
        <v>10.5</v>
      </c>
      <c r="K1298" s="60">
        <v>6.72</v>
      </c>
      <c r="L1298" s="56">
        <v>5.04</v>
      </c>
      <c r="M1298" s="14">
        <f>K1298-L1298</f>
        <v>1.6799999999999997</v>
      </c>
      <c r="N1298" s="15">
        <f>IFERROR(M1298/K1298,0)</f>
        <v>0.24999999999999997</v>
      </c>
      <c r="O1298" s="14">
        <f>IFERROR(L1298/J1298,0)</f>
        <v>0.48</v>
      </c>
      <c r="P1298" s="14">
        <f>IFERROR(L1298/G1298,0)</f>
        <v>0.42000000000000148</v>
      </c>
    </row>
    <row r="1299" spans="1:16" x14ac:dyDescent="0.3">
      <c r="A1299" s="9" t="s">
        <v>3112</v>
      </c>
      <c r="B1299" s="9" t="s">
        <v>26</v>
      </c>
      <c r="C1299" s="9" t="s">
        <v>27</v>
      </c>
      <c r="D1299" s="52">
        <v>46180</v>
      </c>
      <c r="E1299" s="48">
        <v>0.88055555555555554</v>
      </c>
      <c r="F1299" s="48">
        <v>0.89444444444444438</v>
      </c>
      <c r="G1299" s="43">
        <f>(F1299-E1299)*1440</f>
        <v>19.999999999999929</v>
      </c>
      <c r="H1299" s="9" t="s">
        <v>1763</v>
      </c>
      <c r="I1299" s="9" t="s">
        <v>2618</v>
      </c>
      <c r="J1299" s="44">
        <v>13.9</v>
      </c>
      <c r="K1299" s="60">
        <v>8.9600000000000009</v>
      </c>
      <c r="L1299" s="56">
        <v>6.72</v>
      </c>
      <c r="M1299" s="14">
        <f>K1299-L1299</f>
        <v>2.2400000000000011</v>
      </c>
      <c r="N1299" s="15">
        <f>IFERROR(M1299/K1299,0)</f>
        <v>0.25000000000000011</v>
      </c>
      <c r="O1299" s="14">
        <f>IFERROR(L1299/J1299,0)</f>
        <v>0.4834532374100719</v>
      </c>
      <c r="P1299" s="14">
        <f>IFERROR(L1299/G1299,0)</f>
        <v>0.33600000000000119</v>
      </c>
    </row>
    <row r="1300" spans="1:16" x14ac:dyDescent="0.3">
      <c r="A1300" s="9" t="s">
        <v>3096</v>
      </c>
      <c r="B1300" s="9" t="s">
        <v>18</v>
      </c>
      <c r="C1300" s="9" t="s">
        <v>184</v>
      </c>
      <c r="D1300" s="52">
        <v>46180</v>
      </c>
      <c r="E1300" s="48">
        <v>0.62986111111111109</v>
      </c>
      <c r="F1300" s="48">
        <v>0.63750000000000007</v>
      </c>
      <c r="G1300" s="43">
        <f>(F1300-E1300)*1440</f>
        <v>11.000000000000121</v>
      </c>
      <c r="H1300" s="9" t="s">
        <v>3299</v>
      </c>
      <c r="I1300" s="9" t="s">
        <v>2852</v>
      </c>
      <c r="J1300" s="44">
        <v>9.5299999999999994</v>
      </c>
      <c r="K1300" s="60">
        <v>7.95</v>
      </c>
      <c r="L1300" s="56">
        <v>5.17</v>
      </c>
      <c r="M1300" s="14">
        <f>K1300-L1300</f>
        <v>2.7800000000000002</v>
      </c>
      <c r="N1300" s="15">
        <f>IFERROR(M1300/K1300,0)</f>
        <v>0.349685534591195</v>
      </c>
      <c r="O1300" s="14">
        <f>IFERROR(L1300/J1300,0)</f>
        <v>0.54249737670514164</v>
      </c>
      <c r="P1300" s="14">
        <f>IFERROR(L1300/G1300,0)</f>
        <v>0.46999999999999481</v>
      </c>
    </row>
    <row r="1301" spans="1:16" x14ac:dyDescent="0.3">
      <c r="A1301" s="9" t="s">
        <v>3109</v>
      </c>
      <c r="B1301" s="9" t="s">
        <v>26</v>
      </c>
      <c r="C1301" s="9" t="s">
        <v>26</v>
      </c>
      <c r="D1301" s="52">
        <v>46180</v>
      </c>
      <c r="E1301" s="48">
        <v>0.80347222222222225</v>
      </c>
      <c r="F1301" s="48">
        <v>0.81111111111111101</v>
      </c>
      <c r="G1301" s="43">
        <f>(F1301-E1301)*1440</f>
        <v>10.999999999999801</v>
      </c>
      <c r="H1301" s="9" t="s">
        <v>1361</v>
      </c>
      <c r="I1301" s="9" t="s">
        <v>214</v>
      </c>
      <c r="J1301" s="44">
        <v>8</v>
      </c>
      <c r="K1301" s="60">
        <v>5.52</v>
      </c>
      <c r="L1301" s="56">
        <v>4.3600000000000003</v>
      </c>
      <c r="M1301" s="14">
        <f>K1301-L1301</f>
        <v>1.1599999999999993</v>
      </c>
      <c r="N1301" s="15">
        <f>IFERROR(M1301/K1301,0)</f>
        <v>0.21014492753623176</v>
      </c>
      <c r="O1301" s="14">
        <f>IFERROR(L1301/J1301,0)</f>
        <v>0.54500000000000004</v>
      </c>
      <c r="P1301" s="14">
        <f>IFERROR(L1301/G1301,0)</f>
        <v>0.39636363636364358</v>
      </c>
    </row>
    <row r="1302" spans="1:16" x14ac:dyDescent="0.3">
      <c r="A1302" s="9" t="s">
        <v>3111</v>
      </c>
      <c r="B1302" s="9" t="s">
        <v>26</v>
      </c>
      <c r="C1302" s="9" t="s">
        <v>26</v>
      </c>
      <c r="D1302" s="52">
        <v>46180</v>
      </c>
      <c r="E1302" s="48">
        <v>0.83333333333333337</v>
      </c>
      <c r="F1302" s="48">
        <v>0.84652777777777777</v>
      </c>
      <c r="G1302" s="43">
        <f>(F1302-E1302)*1440</f>
        <v>18.999999999999932</v>
      </c>
      <c r="H1302" s="9" t="s">
        <v>852</v>
      </c>
      <c r="I1302" s="9" t="s">
        <v>3305</v>
      </c>
      <c r="J1302" s="44">
        <v>10.3</v>
      </c>
      <c r="K1302" s="60">
        <v>6.33</v>
      </c>
      <c r="L1302" s="56">
        <v>5.93</v>
      </c>
      <c r="M1302" s="14">
        <f>K1302-L1302</f>
        <v>0.40000000000000036</v>
      </c>
      <c r="N1302" s="15">
        <f>IFERROR(M1302/K1302,0)</f>
        <v>6.3191153238546655E-2</v>
      </c>
      <c r="O1302" s="14">
        <f>IFERROR(L1302/J1302,0)</f>
        <v>0.5757281553398057</v>
      </c>
      <c r="P1302" s="14">
        <f>IFERROR(L1302/G1302,0)</f>
        <v>0.31210526315789583</v>
      </c>
    </row>
    <row r="1303" spans="1:16" x14ac:dyDescent="0.3">
      <c r="A1303" s="9" t="s">
        <v>3110</v>
      </c>
      <c r="B1303" s="9" t="s">
        <v>26</v>
      </c>
      <c r="C1303" s="9" t="s">
        <v>26</v>
      </c>
      <c r="D1303" s="52">
        <v>46180</v>
      </c>
      <c r="E1303" s="48">
        <v>0.81944444444444453</v>
      </c>
      <c r="F1303" s="48">
        <v>0.82916666666666661</v>
      </c>
      <c r="G1303" s="43">
        <f>(F1303-E1303)*1440</f>
        <v>13.99999999999979</v>
      </c>
      <c r="H1303" s="9" t="s">
        <v>1774</v>
      </c>
      <c r="I1303" s="9" t="s">
        <v>908</v>
      </c>
      <c r="J1303" s="44">
        <v>7.1</v>
      </c>
      <c r="K1303" s="60">
        <v>5.95</v>
      </c>
      <c r="L1303" s="56">
        <v>4.46</v>
      </c>
      <c r="M1303" s="14">
        <f>K1303-L1303</f>
        <v>1.4900000000000002</v>
      </c>
      <c r="N1303" s="15">
        <f>IFERROR(M1303/K1303,0)</f>
        <v>0.25042016806722694</v>
      </c>
      <c r="O1303" s="14">
        <f>IFERROR(L1303/J1303,0)</f>
        <v>0.62816901408450709</v>
      </c>
      <c r="P1303" s="14">
        <f>IFERROR(L1303/G1303,0)</f>
        <v>0.31857142857143333</v>
      </c>
    </row>
    <row r="1304" spans="1:16" x14ac:dyDescent="0.3">
      <c r="A1304" s="9" t="s">
        <v>3105</v>
      </c>
      <c r="B1304" s="9" t="s">
        <v>26</v>
      </c>
      <c r="C1304" s="9" t="s">
        <v>26</v>
      </c>
      <c r="D1304" s="52">
        <v>46180</v>
      </c>
      <c r="E1304" s="48">
        <v>0.73888888888888893</v>
      </c>
      <c r="F1304" s="48">
        <v>0.75</v>
      </c>
      <c r="G1304" s="43">
        <f>(F1304-E1304)*1440</f>
        <v>15.999999999999943</v>
      </c>
      <c r="H1304" s="9" t="s">
        <v>648</v>
      </c>
      <c r="I1304" s="9" t="s">
        <v>1952</v>
      </c>
      <c r="J1304" s="44">
        <v>8.3000000000000007</v>
      </c>
      <c r="K1304" s="60">
        <v>4.8899999999999997</v>
      </c>
      <c r="L1304" s="56">
        <v>5.24</v>
      </c>
      <c r="M1304" s="14">
        <f>K1304-L1304</f>
        <v>-0.35000000000000053</v>
      </c>
      <c r="N1304" s="15">
        <f>IFERROR(M1304/K1304,0)</f>
        <v>-7.1574642126789476E-2</v>
      </c>
      <c r="O1304" s="14">
        <f>IFERROR(L1304/J1304,0)</f>
        <v>0.63132530120481922</v>
      </c>
      <c r="P1304" s="14">
        <f>IFERROR(L1304/G1304,0)</f>
        <v>0.32750000000000118</v>
      </c>
    </row>
    <row r="1305" spans="1:16" x14ac:dyDescent="0.3">
      <c r="A1305" s="9" t="s">
        <v>3061</v>
      </c>
      <c r="B1305" s="9" t="s">
        <v>18</v>
      </c>
      <c r="C1305" s="9" t="s">
        <v>184</v>
      </c>
      <c r="D1305" s="52">
        <v>46180</v>
      </c>
      <c r="E1305" s="48">
        <v>0.57777777777777783</v>
      </c>
      <c r="F1305" s="48">
        <v>0.58472222222222225</v>
      </c>
      <c r="G1305" s="43">
        <f>(F1305-E1305)*1440</f>
        <v>9.9999999999999645</v>
      </c>
      <c r="H1305" s="9" t="s">
        <v>672</v>
      </c>
      <c r="I1305" s="9" t="s">
        <v>1313</v>
      </c>
      <c r="J1305" s="44">
        <v>7.5</v>
      </c>
      <c r="K1305" s="60">
        <v>5.94</v>
      </c>
      <c r="L1305" s="56">
        <v>4.9000000000000004</v>
      </c>
      <c r="M1305" s="14">
        <f>K1305-L1305</f>
        <v>1.04</v>
      </c>
      <c r="N1305" s="15">
        <f>IFERROR(M1305/K1305,0)</f>
        <v>0.17508417508417509</v>
      </c>
      <c r="O1305" s="14">
        <f>IFERROR(L1305/J1305,0)</f>
        <v>0.65333333333333343</v>
      </c>
      <c r="P1305" s="14">
        <f>IFERROR(L1305/G1305,0)</f>
        <v>0.49000000000000177</v>
      </c>
    </row>
    <row r="1306" spans="1:16" x14ac:dyDescent="0.3">
      <c r="A1306" s="9" t="s">
        <v>3098</v>
      </c>
      <c r="B1306" s="9" t="s">
        <v>18</v>
      </c>
      <c r="C1306" s="9" t="s">
        <v>184</v>
      </c>
      <c r="D1306" s="52">
        <v>46180</v>
      </c>
      <c r="E1306" s="48">
        <v>0.6958333333333333</v>
      </c>
      <c r="F1306" s="48">
        <v>0.7104166666666667</v>
      </c>
      <c r="G1306" s="43">
        <f>(F1306-E1306)*1440</f>
        <v>21.000000000000085</v>
      </c>
      <c r="H1306" s="9" t="s">
        <v>1718</v>
      </c>
      <c r="I1306" s="9" t="s">
        <v>584</v>
      </c>
      <c r="J1306" s="44">
        <v>8.8800000000000008</v>
      </c>
      <c r="K1306" s="60">
        <v>8.94</v>
      </c>
      <c r="L1306" s="56">
        <v>5.81</v>
      </c>
      <c r="M1306" s="14">
        <f>K1306-L1306</f>
        <v>3.13</v>
      </c>
      <c r="N1306" s="15">
        <f>IFERROR(M1306/K1306,0)</f>
        <v>0.35011185682326623</v>
      </c>
      <c r="O1306" s="14">
        <f>IFERROR(L1306/J1306,0)</f>
        <v>0.6542792792792792</v>
      </c>
      <c r="P1306" s="14">
        <f>IFERROR(L1306/G1306,0)</f>
        <v>0.27666666666666551</v>
      </c>
    </row>
    <row r="1307" spans="1:16" x14ac:dyDescent="0.3">
      <c r="A1307" s="9" t="s">
        <v>3097</v>
      </c>
      <c r="B1307" s="9" t="s">
        <v>18</v>
      </c>
      <c r="C1307" s="9" t="s">
        <v>184</v>
      </c>
      <c r="D1307" s="52">
        <v>46180</v>
      </c>
      <c r="E1307" s="48">
        <v>0.64374999999999993</v>
      </c>
      <c r="F1307" s="48">
        <v>0.65208333333333335</v>
      </c>
      <c r="G1307" s="43">
        <f>(F1307-E1307)*1440</f>
        <v>12.000000000000117</v>
      </c>
      <c r="H1307" s="9" t="s">
        <v>1951</v>
      </c>
      <c r="I1307" s="9" t="s">
        <v>729</v>
      </c>
      <c r="J1307" s="44">
        <v>7.36</v>
      </c>
      <c r="K1307" s="60">
        <v>7.96</v>
      </c>
      <c r="L1307" s="56">
        <v>5.17</v>
      </c>
      <c r="M1307" s="14">
        <f>K1307-L1307</f>
        <v>2.79</v>
      </c>
      <c r="N1307" s="15">
        <f>IFERROR(M1307/K1307,0)</f>
        <v>0.35050251256281406</v>
      </c>
      <c r="O1307" s="14">
        <f>IFERROR(L1307/J1307,0)</f>
        <v>0.70244565217391297</v>
      </c>
      <c r="P1307" s="14">
        <f>IFERROR(L1307/G1307,0)</f>
        <v>0.43083333333332913</v>
      </c>
    </row>
    <row r="1308" spans="1:16" x14ac:dyDescent="0.3">
      <c r="A1308" s="9" t="s">
        <v>3099</v>
      </c>
      <c r="B1308" s="9" t="s">
        <v>538</v>
      </c>
      <c r="C1308" s="9" t="s">
        <v>196</v>
      </c>
      <c r="D1308" s="52">
        <v>46180</v>
      </c>
      <c r="E1308" s="48">
        <v>0.71736111111111101</v>
      </c>
      <c r="F1308" s="48">
        <v>0.72916666666666663</v>
      </c>
      <c r="G1308" s="43">
        <f>(F1308-E1308)*1440</f>
        <v>17.000000000000099</v>
      </c>
      <c r="H1308" s="9" t="s">
        <v>530</v>
      </c>
      <c r="I1308" s="9" t="s">
        <v>3300</v>
      </c>
      <c r="J1308" s="44">
        <v>8.39</v>
      </c>
      <c r="K1308" s="60">
        <v>8.99</v>
      </c>
      <c r="L1308" s="56">
        <v>5.95</v>
      </c>
      <c r="M1308" s="14">
        <f>K1308-L1308</f>
        <v>3.04</v>
      </c>
      <c r="N1308" s="15">
        <f>IFERROR(M1308/K1308,0)</f>
        <v>0.33815350389321469</v>
      </c>
      <c r="O1308" s="14">
        <f>IFERROR(L1308/J1308,0)</f>
        <v>0.70917759237187128</v>
      </c>
      <c r="P1308" s="14">
        <f>IFERROR(L1308/G1308,0)</f>
        <v>0.34999999999999798</v>
      </c>
    </row>
    <row r="1309" spans="1:16" x14ac:dyDescent="0.3">
      <c r="A1309" s="9" t="s">
        <v>3106</v>
      </c>
      <c r="B1309" s="9" t="s">
        <v>26</v>
      </c>
      <c r="C1309" s="9" t="s">
        <v>26</v>
      </c>
      <c r="D1309" s="52">
        <v>46180</v>
      </c>
      <c r="E1309" s="48">
        <v>0.75208333333333333</v>
      </c>
      <c r="F1309" s="48">
        <v>0.76666666666666661</v>
      </c>
      <c r="G1309" s="43">
        <f>(F1309-E1309)*1440</f>
        <v>20.999999999999925</v>
      </c>
      <c r="H1309" s="9" t="s">
        <v>1883</v>
      </c>
      <c r="I1309" s="9" t="s">
        <v>1945</v>
      </c>
      <c r="J1309" s="44">
        <v>7.9</v>
      </c>
      <c r="K1309" s="60">
        <v>7.68</v>
      </c>
      <c r="L1309" s="56">
        <v>5.76</v>
      </c>
      <c r="M1309" s="14">
        <f>K1309-L1309</f>
        <v>1.92</v>
      </c>
      <c r="N1309" s="15">
        <f>IFERROR(M1309/K1309,0)</f>
        <v>0.25</v>
      </c>
      <c r="O1309" s="14">
        <f>IFERROR(L1309/J1309,0)</f>
        <v>0.7291139240506328</v>
      </c>
      <c r="P1309" s="14">
        <f>IFERROR(L1309/G1309,0)</f>
        <v>0.27428571428571524</v>
      </c>
    </row>
    <row r="1310" spans="1:16" x14ac:dyDescent="0.3">
      <c r="A1310" s="9" t="s">
        <v>3103</v>
      </c>
      <c r="B1310" s="9" t="s">
        <v>26</v>
      </c>
      <c r="C1310" s="9" t="s">
        <v>26</v>
      </c>
      <c r="D1310" s="52">
        <v>46180</v>
      </c>
      <c r="E1310" s="48">
        <v>0.60763888888888895</v>
      </c>
      <c r="F1310" s="48">
        <v>0.61805555555555558</v>
      </c>
      <c r="G1310" s="43">
        <f>(F1310-E1310)*1440</f>
        <v>14.999999999999947</v>
      </c>
      <c r="H1310" s="9" t="s">
        <v>589</v>
      </c>
      <c r="I1310" s="9" t="s">
        <v>3303</v>
      </c>
      <c r="J1310" s="44">
        <v>10</v>
      </c>
      <c r="K1310" s="60">
        <v>7.25</v>
      </c>
      <c r="L1310" s="56">
        <v>7.62</v>
      </c>
      <c r="M1310" s="14">
        <f>K1310-L1310</f>
        <v>-0.37000000000000011</v>
      </c>
      <c r="N1310" s="15">
        <f>IFERROR(M1310/K1310,0)</f>
        <v>-5.1034482758620707E-2</v>
      </c>
      <c r="O1310" s="14">
        <f>IFERROR(L1310/J1310,0)</f>
        <v>0.76200000000000001</v>
      </c>
      <c r="P1310" s="14">
        <f>IFERROR(L1310/G1310,0)</f>
        <v>0.50800000000000178</v>
      </c>
    </row>
    <row r="1311" spans="1:16" x14ac:dyDescent="0.3">
      <c r="A1311" s="9" t="s">
        <v>3062</v>
      </c>
      <c r="B1311" s="9" t="s">
        <v>18</v>
      </c>
      <c r="C1311" s="9" t="s">
        <v>184</v>
      </c>
      <c r="D1311" s="52">
        <v>46180</v>
      </c>
      <c r="E1311" s="48">
        <v>0.61458333333333337</v>
      </c>
      <c r="F1311" s="48">
        <v>0.62222222222222223</v>
      </c>
      <c r="G1311" s="43">
        <f>(F1311-E1311)*1440</f>
        <v>10.999999999999961</v>
      </c>
      <c r="H1311" s="9" t="s">
        <v>3298</v>
      </c>
      <c r="I1311" s="9" t="s">
        <v>581</v>
      </c>
      <c r="J1311" s="44">
        <v>8.1300000000000008</v>
      </c>
      <c r="K1311" s="60">
        <v>6.93</v>
      </c>
      <c r="L1311" s="56">
        <v>6.54</v>
      </c>
      <c r="M1311" s="14">
        <f>K1311-L1311</f>
        <v>0.38999999999999968</v>
      </c>
      <c r="N1311" s="15">
        <f>IFERROR(M1311/K1311,0)</f>
        <v>5.6277056277056231E-2</v>
      </c>
      <c r="O1311" s="14">
        <f>IFERROR(L1311/J1311,0)</f>
        <v>0.80442804428044268</v>
      </c>
      <c r="P1311" s="14">
        <f>IFERROR(L1311/G1311,0)</f>
        <v>0.59454545454545671</v>
      </c>
    </row>
    <row r="1312" spans="1:16" x14ac:dyDescent="0.3">
      <c r="A1312" s="9" t="s">
        <v>3108</v>
      </c>
      <c r="B1312" s="9" t="s">
        <v>26</v>
      </c>
      <c r="C1312" s="9" t="s">
        <v>26</v>
      </c>
      <c r="D1312" s="52">
        <v>46180</v>
      </c>
      <c r="E1312" s="48">
        <v>0.77638888888888891</v>
      </c>
      <c r="F1312" s="48">
        <v>0.78402777777777777</v>
      </c>
      <c r="G1312" s="43">
        <f>(F1312-E1312)*1440</f>
        <v>10.999999999999961</v>
      </c>
      <c r="H1312" s="9" t="s">
        <v>1840</v>
      </c>
      <c r="I1312" s="9" t="s">
        <v>759</v>
      </c>
      <c r="J1312" s="44">
        <v>4.9000000000000004</v>
      </c>
      <c r="K1312" s="60">
        <v>4.3899999999999997</v>
      </c>
      <c r="L1312" s="56">
        <v>4.12</v>
      </c>
      <c r="M1312" s="14">
        <f>K1312-L1312</f>
        <v>0.26999999999999957</v>
      </c>
      <c r="N1312" s="15">
        <f>IFERROR(M1312/K1312,0)</f>
        <v>6.1503416856491938E-2</v>
      </c>
      <c r="O1312" s="14">
        <f>IFERROR(L1312/J1312,0)</f>
        <v>0.84081632653061222</v>
      </c>
      <c r="P1312" s="14">
        <f>IFERROR(L1312/G1312,0)</f>
        <v>0.3745454545454559</v>
      </c>
    </row>
    <row r="1313" spans="1:18" x14ac:dyDescent="0.3">
      <c r="A1313" s="9" t="s">
        <v>3104</v>
      </c>
      <c r="B1313" s="9" t="s">
        <v>26</v>
      </c>
      <c r="C1313" s="9" t="s">
        <v>27</v>
      </c>
      <c r="D1313" s="52">
        <v>46180</v>
      </c>
      <c r="E1313" s="48">
        <v>0.68402777777777779</v>
      </c>
      <c r="F1313" s="48">
        <v>0.69374999999999998</v>
      </c>
      <c r="G1313" s="43">
        <f>(F1313-E1313)*1440</f>
        <v>13.99999999999995</v>
      </c>
      <c r="H1313" s="9" t="s">
        <v>2549</v>
      </c>
      <c r="I1313" s="9" t="s">
        <v>3304</v>
      </c>
      <c r="J1313" s="44">
        <v>9.5</v>
      </c>
      <c r="K1313" s="60">
        <v>10.97</v>
      </c>
      <c r="L1313" s="56">
        <v>8.23</v>
      </c>
      <c r="M1313" s="14">
        <f>K1313-L1313</f>
        <v>2.74</v>
      </c>
      <c r="N1313" s="15">
        <f>IFERROR(M1313/K1313,0)</f>
        <v>0.24977210574293529</v>
      </c>
      <c r="O1313" s="14">
        <f>IFERROR(L1313/J1313,0)</f>
        <v>0.86631578947368426</v>
      </c>
      <c r="P1313" s="14">
        <f>IFERROR(L1313/G1313,0)</f>
        <v>0.58785714285714497</v>
      </c>
      <c r="R1313" s="57">
        <v>4.12</v>
      </c>
    </row>
    <row r="1314" spans="1:18" x14ac:dyDescent="0.3">
      <c r="A1314" s="9" t="s">
        <v>3101</v>
      </c>
      <c r="B1314" s="9" t="s">
        <v>18</v>
      </c>
      <c r="C1314" s="9" t="s">
        <v>196</v>
      </c>
      <c r="D1314" s="52">
        <v>46180</v>
      </c>
      <c r="E1314" s="48">
        <v>0.8534722222222223</v>
      </c>
      <c r="F1314" s="48">
        <v>0.85902777777777783</v>
      </c>
      <c r="G1314" s="43">
        <f>(F1314-E1314)*1440</f>
        <v>7.9999999999999716</v>
      </c>
      <c r="H1314" s="9" t="s">
        <v>225</v>
      </c>
      <c r="I1314" s="9" t="s">
        <v>1120</v>
      </c>
      <c r="J1314" s="44">
        <v>4.2300000000000004</v>
      </c>
      <c r="K1314" s="60">
        <v>5.98</v>
      </c>
      <c r="L1314" s="56">
        <v>4.12</v>
      </c>
      <c r="M1314" s="14">
        <f>K1314-L1314</f>
        <v>1.8600000000000003</v>
      </c>
      <c r="N1314" s="15">
        <f>IFERROR(M1314/K1314,0)</f>
        <v>0.31103678929765888</v>
      </c>
      <c r="O1314" s="14">
        <f>IFERROR(L1314/J1314,0)</f>
        <v>0.97399527186761226</v>
      </c>
      <c r="P1314" s="14">
        <f>IFERROR(L1314/G1314,0)</f>
        <v>0.51500000000000179</v>
      </c>
    </row>
    <row r="1315" spans="1:18" x14ac:dyDescent="0.3">
      <c r="A1315" s="9" t="s">
        <v>3107</v>
      </c>
      <c r="B1315" s="9" t="s">
        <v>26</v>
      </c>
      <c r="C1315" s="9" t="s">
        <v>26</v>
      </c>
      <c r="D1315" s="52">
        <v>46180</v>
      </c>
      <c r="E1315" s="48">
        <v>0.76874999999999993</v>
      </c>
      <c r="F1315" s="48">
        <v>0.77430555555555547</v>
      </c>
      <c r="G1315" s="43">
        <f>(F1315-E1315)*1440</f>
        <v>7.9999999999999716</v>
      </c>
      <c r="H1315" s="9" t="s">
        <v>729</v>
      </c>
      <c r="I1315" s="9" t="s">
        <v>2558</v>
      </c>
      <c r="J1315" s="44">
        <v>3.5</v>
      </c>
      <c r="K1315" s="60">
        <v>4</v>
      </c>
      <c r="L1315" s="56">
        <v>4.29</v>
      </c>
      <c r="M1315" s="14">
        <f>K1315-L1315</f>
        <v>-0.29000000000000004</v>
      </c>
      <c r="N1315" s="15">
        <f>IFERROR(M1315/K1315,0)</f>
        <v>-7.2500000000000009E-2</v>
      </c>
      <c r="O1315" s="14">
        <f>IFERROR(L1315/J1315,0)</f>
        <v>1.2257142857142858</v>
      </c>
      <c r="P1315" s="14">
        <f>IFERROR(L1315/G1315,0)</f>
        <v>0.53625000000000189</v>
      </c>
      <c r="R1315" s="57">
        <v>1.32</v>
      </c>
    </row>
    <row r="1316" spans="1:18" x14ac:dyDescent="0.3">
      <c r="A1316" s="9" t="s">
        <v>3100</v>
      </c>
      <c r="B1316" s="9" t="s">
        <v>18</v>
      </c>
      <c r="C1316" s="9" t="s">
        <v>184</v>
      </c>
      <c r="D1316" s="52">
        <v>46180</v>
      </c>
      <c r="E1316" s="48">
        <v>0.81180555555555556</v>
      </c>
      <c r="F1316" s="48">
        <v>0.81527777777777777</v>
      </c>
      <c r="G1316" s="43">
        <f>(F1316-E1316)*1440</f>
        <v>4.9999999999999822</v>
      </c>
      <c r="H1316" s="9" t="s">
        <v>214</v>
      </c>
      <c r="I1316" s="9" t="s">
        <v>3301</v>
      </c>
      <c r="J1316" s="44">
        <v>1.65</v>
      </c>
      <c r="K1316" s="60">
        <v>6.95</v>
      </c>
      <c r="L1316" s="56">
        <v>4.7300000000000004</v>
      </c>
      <c r="M1316" s="14">
        <f>K1316-L1316</f>
        <v>2.2199999999999998</v>
      </c>
      <c r="N1316" s="15">
        <f>IFERROR(M1316/K1316,0)</f>
        <v>0.31942446043165462</v>
      </c>
      <c r="O1316" s="14">
        <f>IFERROR(L1316/J1316,0)</f>
        <v>2.8666666666666671</v>
      </c>
      <c r="P1316" s="14">
        <f>IFERROR(L1316/G1316,0)</f>
        <v>0.94600000000000339</v>
      </c>
    </row>
    <row r="1317" spans="1:18" x14ac:dyDescent="0.3">
      <c r="A1317" s="9" t="s">
        <v>3113</v>
      </c>
      <c r="B1317" s="9" t="s">
        <v>26</v>
      </c>
      <c r="C1317" s="9" t="s">
        <v>27</v>
      </c>
      <c r="D1317" s="52">
        <v>46181</v>
      </c>
      <c r="E1317" s="48">
        <v>0.5493055555555556</v>
      </c>
      <c r="F1317" s="48">
        <v>0.56597222222222221</v>
      </c>
      <c r="G1317" s="43">
        <f>(F1317-E1317)*1440</f>
        <v>23.999999999999915</v>
      </c>
      <c r="H1317" s="9" t="s">
        <v>876</v>
      </c>
      <c r="I1317" s="9" t="s">
        <v>1120</v>
      </c>
      <c r="J1317" s="44">
        <v>15.2</v>
      </c>
      <c r="K1317" s="60">
        <v>11.61</v>
      </c>
      <c r="L1317" s="56">
        <v>8.7100000000000009</v>
      </c>
      <c r="M1317" s="14">
        <f>K1317-L1317</f>
        <v>2.8999999999999986</v>
      </c>
      <c r="N1317" s="15">
        <f>IFERROR(M1317/K1317,0)</f>
        <v>0.24978466838931945</v>
      </c>
      <c r="O1317" s="14">
        <f>IFERROR(L1317/J1317,0)</f>
        <v>0.57302631578947372</v>
      </c>
      <c r="P1317" s="14">
        <f>IFERROR(L1317/G1317,0)</f>
        <v>0.362916666666668</v>
      </c>
      <c r="R1317" s="57">
        <v>1.96</v>
      </c>
    </row>
    <row r="1318" spans="1:18" x14ac:dyDescent="0.3">
      <c r="A1318" s="9" t="s">
        <v>3114</v>
      </c>
      <c r="B1318" s="9" t="s">
        <v>26</v>
      </c>
      <c r="C1318" s="9" t="s">
        <v>26</v>
      </c>
      <c r="D1318" s="52">
        <v>46181</v>
      </c>
      <c r="E1318" s="48">
        <v>0.56597222222222221</v>
      </c>
      <c r="F1318" s="48">
        <v>0.58402777777777781</v>
      </c>
      <c r="G1318" s="43">
        <f>(F1318-E1318)*1440</f>
        <v>26.000000000000068</v>
      </c>
      <c r="H1318" s="9" t="s">
        <v>1120</v>
      </c>
      <c r="I1318" s="9" t="s">
        <v>2151</v>
      </c>
      <c r="J1318" s="44">
        <v>9.9</v>
      </c>
      <c r="K1318" s="60">
        <v>7.2</v>
      </c>
      <c r="L1318" s="56">
        <v>7.71</v>
      </c>
      <c r="M1318" s="14">
        <f>K1318-L1318</f>
        <v>-0.50999999999999979</v>
      </c>
      <c r="N1318" s="15">
        <f>IFERROR(M1318/K1318,0)</f>
        <v>-7.0833333333333304E-2</v>
      </c>
      <c r="O1318" s="14">
        <f>IFERROR(L1318/J1318,0)</f>
        <v>0.77878787878787881</v>
      </c>
      <c r="P1318" s="14">
        <f>IFERROR(L1318/G1318,0)</f>
        <v>0.29653846153846075</v>
      </c>
    </row>
    <row r="1319" spans="1:18" x14ac:dyDescent="0.3">
      <c r="A1319" s="9" t="s">
        <v>3115</v>
      </c>
      <c r="B1319" s="9" t="s">
        <v>26</v>
      </c>
      <c r="C1319" s="9" t="s">
        <v>27</v>
      </c>
      <c r="D1319" s="52">
        <v>46181</v>
      </c>
      <c r="E1319" s="48">
        <v>0.5854166666666667</v>
      </c>
      <c r="F1319" s="48">
        <v>0.59652777777777777</v>
      </c>
      <c r="G1319" s="43">
        <f>(F1319-E1319)*1440</f>
        <v>15.999999999999943</v>
      </c>
      <c r="H1319" s="9" t="s">
        <v>3306</v>
      </c>
      <c r="I1319" s="9" t="s">
        <v>242</v>
      </c>
      <c r="J1319" s="44">
        <v>7</v>
      </c>
      <c r="K1319" s="60">
        <v>7.22</v>
      </c>
      <c r="L1319" s="56">
        <v>5.41</v>
      </c>
      <c r="M1319" s="14">
        <f>K1319-L1319</f>
        <v>1.8099999999999996</v>
      </c>
      <c r="N1319" s="15">
        <f>IFERROR(M1319/K1319,0)</f>
        <v>0.25069252077562321</v>
      </c>
      <c r="O1319" s="14">
        <f>IFERROR(L1319/J1319,0)</f>
        <v>0.77285714285714291</v>
      </c>
      <c r="P1319" s="14">
        <f>IFERROR(L1319/G1319,0)</f>
        <v>0.33812500000000123</v>
      </c>
      <c r="R1319" s="57">
        <v>0.66</v>
      </c>
    </row>
    <row r="1320" spans="1:18" x14ac:dyDescent="0.3">
      <c r="A1320" s="9" t="s">
        <v>3116</v>
      </c>
      <c r="B1320" s="9" t="s">
        <v>26</v>
      </c>
      <c r="C1320" s="9" t="s">
        <v>27</v>
      </c>
      <c r="D1320" s="52">
        <v>46181</v>
      </c>
      <c r="E1320" s="48">
        <v>0.6</v>
      </c>
      <c r="F1320" s="48">
        <v>0.6069444444444444</v>
      </c>
      <c r="G1320" s="43">
        <f>(F1320-E1320)*1440</f>
        <v>9.9999999999999645</v>
      </c>
      <c r="H1320" s="9" t="s">
        <v>3307</v>
      </c>
      <c r="I1320" s="9" t="s">
        <v>698</v>
      </c>
      <c r="J1320" s="44">
        <v>3.9</v>
      </c>
      <c r="K1320" s="60">
        <v>4.24</v>
      </c>
      <c r="L1320" s="56">
        <v>3.18</v>
      </c>
      <c r="M1320" s="14">
        <f>K1320-L1320</f>
        <v>1.06</v>
      </c>
      <c r="N1320" s="15">
        <f>IFERROR(M1320/K1320,0)</f>
        <v>0.25</v>
      </c>
      <c r="O1320" s="14">
        <f>IFERROR(L1320/J1320,0)</f>
        <v>0.81538461538461549</v>
      </c>
      <c r="P1320" s="14">
        <f>IFERROR(L1320/G1320,0)</f>
        <v>0.31800000000000117</v>
      </c>
    </row>
    <row r="1321" spans="1:18" x14ac:dyDescent="0.3">
      <c r="A1321" s="9" t="s">
        <v>3117</v>
      </c>
      <c r="B1321" s="9" t="s">
        <v>26</v>
      </c>
      <c r="C1321" s="9" t="s">
        <v>26</v>
      </c>
      <c r="D1321" s="52">
        <v>46181</v>
      </c>
      <c r="E1321" s="48">
        <v>0.60763888888888895</v>
      </c>
      <c r="F1321" s="48">
        <v>0.61736111111111114</v>
      </c>
      <c r="G1321" s="43">
        <f>(F1321-E1321)*1440</f>
        <v>13.99999999999995</v>
      </c>
      <c r="H1321" s="9" t="s">
        <v>698</v>
      </c>
      <c r="I1321" s="9" t="s">
        <v>3308</v>
      </c>
      <c r="J1321" s="44">
        <v>8.3000000000000007</v>
      </c>
      <c r="K1321" s="60">
        <v>4.16</v>
      </c>
      <c r="L1321" s="56">
        <v>4.84</v>
      </c>
      <c r="M1321" s="14">
        <f>K1321-L1321</f>
        <v>-0.67999999999999972</v>
      </c>
      <c r="N1321" s="15">
        <f>IFERROR(M1321/K1321,0)</f>
        <v>-0.16346153846153838</v>
      </c>
      <c r="O1321" s="14">
        <f>IFERROR(L1321/J1321,0)</f>
        <v>0.58313253012048183</v>
      </c>
      <c r="P1321" s="14">
        <f>IFERROR(L1321/G1321,0)</f>
        <v>0.34571428571428692</v>
      </c>
    </row>
    <row r="1322" spans="1:18" x14ac:dyDescent="0.3">
      <c r="A1322" s="9" t="s">
        <v>3118</v>
      </c>
      <c r="B1322" s="9" t="s">
        <v>26</v>
      </c>
      <c r="C1322" s="9" t="s">
        <v>26</v>
      </c>
      <c r="D1322" s="52">
        <v>46181</v>
      </c>
      <c r="E1322" s="48">
        <v>0.62430555555555556</v>
      </c>
      <c r="F1322" s="48">
        <v>0.62986111111111109</v>
      </c>
      <c r="G1322" s="43">
        <f>(F1322-E1322)*1440</f>
        <v>7.9999999999999716</v>
      </c>
      <c r="H1322" s="9" t="s">
        <v>551</v>
      </c>
      <c r="I1322" s="9" t="s">
        <v>3309</v>
      </c>
      <c r="J1322" s="44">
        <v>4.9000000000000004</v>
      </c>
      <c r="K1322" s="60">
        <v>3.99</v>
      </c>
      <c r="L1322" s="56">
        <v>4.2699999999999996</v>
      </c>
      <c r="M1322" s="14">
        <f>K1322-L1322</f>
        <v>-0.27999999999999936</v>
      </c>
      <c r="N1322" s="15">
        <f>IFERROR(M1322/K1322,0)</f>
        <v>-7.0175438596491058E-2</v>
      </c>
      <c r="O1322" s="14">
        <f>IFERROR(L1322/J1322,0)</f>
        <v>0.87142857142857133</v>
      </c>
      <c r="P1322" s="14">
        <f>IFERROR(L1322/G1322,0)</f>
        <v>0.53375000000000183</v>
      </c>
      <c r="R1322" s="57">
        <v>0.95</v>
      </c>
    </row>
    <row r="1323" spans="1:18" x14ac:dyDescent="0.3">
      <c r="A1323" s="9" t="s">
        <v>3119</v>
      </c>
      <c r="B1323" s="9" t="s">
        <v>26</v>
      </c>
      <c r="C1323" s="9" t="s">
        <v>27</v>
      </c>
      <c r="D1323" s="52">
        <v>46181</v>
      </c>
      <c r="E1323" s="48">
        <v>0.66111111111111109</v>
      </c>
      <c r="F1323" s="48">
        <v>0.67013888888888884</v>
      </c>
      <c r="G1323" s="43">
        <f>(F1323-E1323)*1440</f>
        <v>12.999999999999954</v>
      </c>
      <c r="H1323" s="9" t="s">
        <v>665</v>
      </c>
      <c r="I1323" s="9" t="s">
        <v>3310</v>
      </c>
      <c r="J1323" s="44">
        <v>8</v>
      </c>
      <c r="K1323" s="60">
        <v>5.82</v>
      </c>
      <c r="L1323" s="56">
        <v>4.3600000000000003</v>
      </c>
      <c r="M1323" s="14">
        <f>K1323-L1323</f>
        <v>1.46</v>
      </c>
      <c r="N1323" s="15">
        <f>IFERROR(M1323/K1323,0)</f>
        <v>0.25085910652920962</v>
      </c>
      <c r="O1323" s="14">
        <f>IFERROR(L1323/J1323,0)</f>
        <v>0.54500000000000004</v>
      </c>
      <c r="P1323" s="14">
        <f>IFERROR(L1323/G1323,0)</f>
        <v>0.33538461538461661</v>
      </c>
    </row>
    <row r="1324" spans="1:18" x14ac:dyDescent="0.3">
      <c r="A1324" s="9" t="s">
        <v>3120</v>
      </c>
      <c r="B1324" s="9" t="s">
        <v>26</v>
      </c>
      <c r="C1324" s="9" t="s">
        <v>26</v>
      </c>
      <c r="D1324" s="52">
        <v>46181</v>
      </c>
      <c r="E1324" s="48">
        <v>0.6743055555555556</v>
      </c>
      <c r="F1324" s="48">
        <v>0.68125000000000002</v>
      </c>
      <c r="G1324" s="43">
        <f>(F1324-E1324)*1440</f>
        <v>9.9999999999999645</v>
      </c>
      <c r="H1324" s="9" t="s">
        <v>3311</v>
      </c>
      <c r="I1324" s="9" t="s">
        <v>3312</v>
      </c>
      <c r="J1324" s="44">
        <v>3.9</v>
      </c>
      <c r="K1324" s="60">
        <v>3.08</v>
      </c>
      <c r="L1324" s="56">
        <v>3.63</v>
      </c>
      <c r="M1324" s="14">
        <f>K1324-L1324</f>
        <v>-0.54999999999999982</v>
      </c>
      <c r="N1324" s="15">
        <f>IFERROR(M1324/K1324,0)</f>
        <v>-0.17857142857142852</v>
      </c>
      <c r="O1324" s="14">
        <f>IFERROR(L1324/J1324,0)</f>
        <v>0.93076923076923079</v>
      </c>
      <c r="P1324" s="14">
        <f>IFERROR(L1324/G1324,0)</f>
        <v>0.36300000000000127</v>
      </c>
    </row>
    <row r="1325" spans="1:18" x14ac:dyDescent="0.3">
      <c r="A1325" s="9" t="s">
        <v>3121</v>
      </c>
      <c r="B1325" s="9" t="s">
        <v>26</v>
      </c>
      <c r="C1325" s="9" t="s">
        <v>27</v>
      </c>
      <c r="D1325" s="52">
        <v>46181</v>
      </c>
      <c r="E1325" s="48">
        <v>0.68125000000000002</v>
      </c>
      <c r="F1325" s="48">
        <v>0.68958333333333333</v>
      </c>
      <c r="G1325" s="43">
        <f>(F1325-E1325)*1440</f>
        <v>11.999999999999957</v>
      </c>
      <c r="H1325" s="9" t="s">
        <v>3312</v>
      </c>
      <c r="I1325" s="9" t="s">
        <v>3313</v>
      </c>
      <c r="J1325" s="44">
        <v>6.6</v>
      </c>
      <c r="K1325" s="60">
        <v>5.76</v>
      </c>
      <c r="L1325" s="56">
        <v>4.32</v>
      </c>
      <c r="M1325" s="14">
        <f>K1325-L1325</f>
        <v>1.4399999999999995</v>
      </c>
      <c r="N1325" s="15">
        <f>IFERROR(M1325/K1325,0)</f>
        <v>0.24999999999999992</v>
      </c>
      <c r="O1325" s="14">
        <f>IFERROR(L1325/J1325,0)</f>
        <v>0.65454545454545465</v>
      </c>
      <c r="P1325" s="14">
        <f>IFERROR(L1325/G1325,0)</f>
        <v>0.36000000000000132</v>
      </c>
    </row>
    <row r="1326" spans="1:18" x14ac:dyDescent="0.3">
      <c r="A1326" s="9" t="s">
        <v>3122</v>
      </c>
      <c r="B1326" s="9" t="s">
        <v>26</v>
      </c>
      <c r="C1326" s="9" t="s">
        <v>26</v>
      </c>
      <c r="D1326" s="52">
        <v>46181</v>
      </c>
      <c r="E1326" s="48">
        <v>0.69513888888888886</v>
      </c>
      <c r="F1326" s="48">
        <v>0.70416666666666661</v>
      </c>
      <c r="G1326" s="43">
        <f>(F1326-E1326)*1440</f>
        <v>12.999999999999954</v>
      </c>
      <c r="H1326" s="9" t="s">
        <v>3314</v>
      </c>
      <c r="I1326" s="9" t="s">
        <v>2147</v>
      </c>
      <c r="J1326" s="44">
        <v>6</v>
      </c>
      <c r="K1326" s="60">
        <v>6.08</v>
      </c>
      <c r="L1326" s="56">
        <v>4.5599999999999996</v>
      </c>
      <c r="M1326" s="14">
        <f>K1326-L1326</f>
        <v>1.5200000000000005</v>
      </c>
      <c r="N1326" s="15">
        <f>IFERROR(M1326/K1326,0)</f>
        <v>0.25000000000000006</v>
      </c>
      <c r="O1326" s="14">
        <f>IFERROR(L1326/J1326,0)</f>
        <v>0.7599999999999999</v>
      </c>
      <c r="P1326" s="14">
        <f>IFERROR(L1326/G1326,0)</f>
        <v>0.350769230769232</v>
      </c>
      <c r="R1326" s="57">
        <v>0.54</v>
      </c>
    </row>
    <row r="1327" spans="1:18" x14ac:dyDescent="0.3">
      <c r="A1327" s="9" t="s">
        <v>3123</v>
      </c>
      <c r="B1327" s="9" t="s">
        <v>26</v>
      </c>
      <c r="C1327" s="9" t="s">
        <v>27</v>
      </c>
      <c r="D1327" s="52">
        <v>46181</v>
      </c>
      <c r="E1327" s="48">
        <v>0.81527777777777777</v>
      </c>
      <c r="F1327" s="48">
        <v>0.8222222222222223</v>
      </c>
      <c r="G1327" s="43">
        <f>(F1327-E1327)*1440</f>
        <v>10.000000000000124</v>
      </c>
      <c r="H1327" s="9" t="s">
        <v>3315</v>
      </c>
      <c r="I1327" s="9" t="s">
        <v>2513</v>
      </c>
      <c r="J1327" s="44">
        <v>5.3</v>
      </c>
      <c r="K1327" s="60">
        <v>6.61</v>
      </c>
      <c r="L1327" s="56">
        <v>5.51</v>
      </c>
      <c r="M1327" s="14">
        <f>K1327-L1327</f>
        <v>1.1000000000000005</v>
      </c>
      <c r="N1327" s="15">
        <f>IFERROR(M1327/K1327,0)</f>
        <v>0.16641452344931928</v>
      </c>
      <c r="O1327" s="14">
        <f>IFERROR(L1327/J1327,0)</f>
        <v>1.0396226415094341</v>
      </c>
      <c r="P1327" s="14">
        <f>IFERROR(L1327/G1327,0)</f>
        <v>0.55099999999999316</v>
      </c>
      <c r="R1327" s="57">
        <v>2.09</v>
      </c>
    </row>
    <row r="1328" spans="1:18" x14ac:dyDescent="0.3">
      <c r="A1328" s="9" t="s">
        <v>3124</v>
      </c>
      <c r="B1328" s="9" t="s">
        <v>26</v>
      </c>
      <c r="C1328" s="9" t="s">
        <v>26</v>
      </c>
      <c r="D1328" s="52">
        <v>46181</v>
      </c>
      <c r="E1328" s="48">
        <v>0.83819444444444446</v>
      </c>
      <c r="F1328" s="48">
        <v>0.84583333333333333</v>
      </c>
      <c r="G1328" s="43">
        <f>(F1328-E1328)*1440</f>
        <v>10.999999999999961</v>
      </c>
      <c r="H1328" s="9" t="s">
        <v>3316</v>
      </c>
      <c r="I1328" s="9" t="s">
        <v>3317</v>
      </c>
      <c r="J1328" s="44">
        <v>9.9</v>
      </c>
      <c r="K1328" s="60">
        <v>6.43</v>
      </c>
      <c r="L1328" s="56">
        <v>4.82</v>
      </c>
      <c r="M1328" s="14">
        <f>K1328-L1328</f>
        <v>1.6099999999999994</v>
      </c>
      <c r="N1328" s="15">
        <f>IFERROR(M1328/K1328,0)</f>
        <v>0.25038880248833584</v>
      </c>
      <c r="O1328" s="14">
        <f>IFERROR(L1328/J1328,0)</f>
        <v>0.4868686868686869</v>
      </c>
      <c r="P1328" s="14">
        <f>IFERROR(L1328/G1328,0)</f>
        <v>0.43818181818181978</v>
      </c>
    </row>
    <row r="1329" spans="1:18" x14ac:dyDescent="0.3">
      <c r="A1329" s="9" t="s">
        <v>3125</v>
      </c>
      <c r="B1329" s="9" t="s">
        <v>26</v>
      </c>
      <c r="C1329" s="9" t="s">
        <v>26</v>
      </c>
      <c r="D1329" s="52">
        <v>46181</v>
      </c>
      <c r="E1329" s="48">
        <v>0.84722222222222221</v>
      </c>
      <c r="F1329" s="48">
        <v>0.85486111111111107</v>
      </c>
      <c r="G1329" s="43">
        <f>(F1329-E1329)*1440</f>
        <v>10.999999999999961</v>
      </c>
      <c r="H1329" s="9" t="s">
        <v>3317</v>
      </c>
      <c r="I1329" s="9" t="s">
        <v>2977</v>
      </c>
      <c r="J1329" s="44">
        <v>8.1</v>
      </c>
      <c r="K1329" s="60">
        <v>5.0199999999999996</v>
      </c>
      <c r="L1329" s="56">
        <v>4.71</v>
      </c>
      <c r="M1329" s="14">
        <f>K1329-L1329</f>
        <v>0.30999999999999961</v>
      </c>
      <c r="N1329" s="15">
        <f>IFERROR(M1329/K1329,0)</f>
        <v>6.1752988047808689E-2</v>
      </c>
      <c r="O1329" s="14">
        <f>IFERROR(L1329/J1329,0)</f>
        <v>0.58148148148148149</v>
      </c>
      <c r="P1329" s="14">
        <f>IFERROR(L1329/G1329,0)</f>
        <v>0.42818181818181972</v>
      </c>
    </row>
    <row r="1330" spans="1:18" x14ac:dyDescent="0.3">
      <c r="A1330" s="9" t="s">
        <v>3126</v>
      </c>
      <c r="B1330" s="9" t="s">
        <v>18</v>
      </c>
      <c r="C1330" s="9" t="s">
        <v>184</v>
      </c>
      <c r="D1330" s="52">
        <v>46181</v>
      </c>
      <c r="E1330" s="48">
        <v>0.70694444444444438</v>
      </c>
      <c r="F1330" s="48">
        <v>0.72499999999999998</v>
      </c>
      <c r="G1330" s="43">
        <f>(F1330-E1330)*1440</f>
        <v>26.000000000000068</v>
      </c>
      <c r="H1330" s="9" t="s">
        <v>1874</v>
      </c>
      <c r="I1330" s="9" t="s">
        <v>2166</v>
      </c>
      <c r="J1330" s="44">
        <v>8.9499999999999993</v>
      </c>
      <c r="K1330" s="60">
        <v>7.96</v>
      </c>
      <c r="L1330" s="56">
        <v>6.86</v>
      </c>
      <c r="M1330" s="14">
        <f>K1330-L1330</f>
        <v>1.0999999999999996</v>
      </c>
      <c r="N1330" s="15">
        <f>IFERROR(M1330/K1330,0)</f>
        <v>0.13819095477386931</v>
      </c>
      <c r="O1330" s="14">
        <f>IFERROR(L1330/J1330,0)</f>
        <v>0.76648044692737438</v>
      </c>
      <c r="P1330" s="14">
        <f>IFERROR(L1330/G1330,0)</f>
        <v>0.26384615384615318</v>
      </c>
    </row>
    <row r="1331" spans="1:18" x14ac:dyDescent="0.3">
      <c r="A1331" s="9" t="s">
        <v>3127</v>
      </c>
      <c r="B1331" s="9" t="s">
        <v>18</v>
      </c>
      <c r="C1331" s="9" t="s">
        <v>184</v>
      </c>
      <c r="D1331" s="52">
        <v>46181</v>
      </c>
      <c r="E1331" s="48">
        <v>0.7270833333333333</v>
      </c>
      <c r="F1331" s="48">
        <v>0.73541666666666661</v>
      </c>
      <c r="G1331" s="43">
        <f>(F1331-E1331)*1440</f>
        <v>11.999999999999957</v>
      </c>
      <c r="H1331" s="9" t="s">
        <v>2166</v>
      </c>
      <c r="I1331" s="9" t="s">
        <v>3318</v>
      </c>
      <c r="J1331" s="44">
        <v>7.5</v>
      </c>
      <c r="K1331" s="60">
        <v>8.94</v>
      </c>
      <c r="L1331" s="56">
        <v>5.96</v>
      </c>
      <c r="M1331" s="14">
        <f>K1331-L1331</f>
        <v>2.9799999999999995</v>
      </c>
      <c r="N1331" s="15">
        <f>IFERROR(M1331/K1331,0)</f>
        <v>0.33333333333333331</v>
      </c>
      <c r="O1331" s="14">
        <f>IFERROR(L1331/J1331,0)</f>
        <v>0.79466666666666663</v>
      </c>
      <c r="P1331" s="14">
        <f>IFERROR(L1331/G1331,0)</f>
        <v>0.49666666666666842</v>
      </c>
    </row>
    <row r="1332" spans="1:18" x14ac:dyDescent="0.3">
      <c r="A1332" s="9" t="s">
        <v>3128</v>
      </c>
      <c r="B1332" s="9" t="s">
        <v>18</v>
      </c>
      <c r="C1332" s="9" t="s">
        <v>184</v>
      </c>
      <c r="D1332" s="52">
        <v>46181</v>
      </c>
      <c r="E1332" s="48">
        <v>0.7583333333333333</v>
      </c>
      <c r="F1332" s="48">
        <v>0.76597222222222217</v>
      </c>
      <c r="G1332" s="43">
        <f>(F1332-E1332)*1440</f>
        <v>10.999999999999961</v>
      </c>
      <c r="H1332" s="9" t="s">
        <v>3319</v>
      </c>
      <c r="I1332" s="9" t="s">
        <v>1253</v>
      </c>
      <c r="J1332" s="44">
        <v>5.46</v>
      </c>
      <c r="K1332" s="60">
        <v>4.96</v>
      </c>
      <c r="L1332" s="56">
        <v>3.65</v>
      </c>
      <c r="M1332" s="14">
        <f>K1332-L1332</f>
        <v>1.31</v>
      </c>
      <c r="N1332" s="15">
        <f>IFERROR(M1332/K1332,0)</f>
        <v>0.26411290322580644</v>
      </c>
      <c r="O1332" s="14">
        <f>IFERROR(L1332/J1332,0)</f>
        <v>0.66849816849816845</v>
      </c>
      <c r="P1332" s="14">
        <f>IFERROR(L1332/G1332,0)</f>
        <v>0.33181818181818301</v>
      </c>
    </row>
    <row r="1333" spans="1:18" x14ac:dyDescent="0.3">
      <c r="A1333" s="9" t="s">
        <v>3129</v>
      </c>
      <c r="B1333" s="9" t="s">
        <v>18</v>
      </c>
      <c r="C1333" s="9" t="s">
        <v>196</v>
      </c>
      <c r="D1333" s="52">
        <v>46181</v>
      </c>
      <c r="E1333" s="48">
        <v>0.76527777777777783</v>
      </c>
      <c r="F1333" s="48">
        <v>0.77916666666666667</v>
      </c>
      <c r="G1333" s="43">
        <f>(F1333-E1333)*1440</f>
        <v>19.999999999999929</v>
      </c>
      <c r="H1333" s="9" t="s">
        <v>3320</v>
      </c>
      <c r="I1333" s="9" t="s">
        <v>3321</v>
      </c>
      <c r="J1333" s="44">
        <v>12.09</v>
      </c>
      <c r="K1333" s="60">
        <v>9.99</v>
      </c>
      <c r="L1333" s="56">
        <v>8.31</v>
      </c>
      <c r="M1333" s="14">
        <f>K1333-L1333</f>
        <v>1.6799999999999997</v>
      </c>
      <c r="N1333" s="15">
        <f>IFERROR(M1333/K1333,0)</f>
        <v>0.16816816816816813</v>
      </c>
      <c r="O1333" s="14">
        <f>IFERROR(L1333/J1333,0)</f>
        <v>0.68734491315136481</v>
      </c>
      <c r="P1333" s="14">
        <f>IFERROR(L1333/G1333,0)</f>
        <v>0.41550000000000148</v>
      </c>
    </row>
    <row r="1334" spans="1:18" x14ac:dyDescent="0.3">
      <c r="A1334" s="9" t="s">
        <v>3130</v>
      </c>
      <c r="B1334" s="9" t="s">
        <v>18</v>
      </c>
      <c r="C1334" s="9" t="s">
        <v>184</v>
      </c>
      <c r="D1334" s="52">
        <v>46181</v>
      </c>
      <c r="E1334" s="48">
        <v>0.82430555555555562</v>
      </c>
      <c r="F1334" s="48">
        <v>0.83194444444444438</v>
      </c>
      <c r="G1334" s="43">
        <f>(F1334-E1334)*1440</f>
        <v>10.999999999999801</v>
      </c>
      <c r="H1334" s="9" t="s">
        <v>3322</v>
      </c>
      <c r="I1334" s="9" t="s">
        <v>3323</v>
      </c>
      <c r="J1334" s="44">
        <v>5.91</v>
      </c>
      <c r="K1334" s="60">
        <v>4.96</v>
      </c>
      <c r="L1334" s="56">
        <v>4.09</v>
      </c>
      <c r="M1334" s="14">
        <f>K1334-L1334</f>
        <v>0.87000000000000011</v>
      </c>
      <c r="N1334" s="15">
        <f>IFERROR(M1334/K1334,0)</f>
        <v>0.17540322580645162</v>
      </c>
      <c r="O1334" s="14">
        <f>IFERROR(L1334/J1334,0)</f>
        <v>0.69204737732656507</v>
      </c>
      <c r="P1334" s="14">
        <f>IFERROR(L1334/G1334,0)</f>
        <v>0.37181818181818854</v>
      </c>
      <c r="R1334" s="57">
        <v>2</v>
      </c>
    </row>
    <row r="1335" spans="1:18" x14ac:dyDescent="0.3">
      <c r="A1335" s="9" t="s">
        <v>3131</v>
      </c>
      <c r="B1335" s="9" t="s">
        <v>18</v>
      </c>
      <c r="C1335" s="9" t="s">
        <v>184</v>
      </c>
      <c r="D1335" s="52">
        <v>46181</v>
      </c>
      <c r="E1335" s="48">
        <v>0.87847222222222221</v>
      </c>
      <c r="F1335" s="48">
        <v>0.89097222222222217</v>
      </c>
      <c r="G1335" s="43">
        <f>(F1335-E1335)*1440</f>
        <v>17.999999999999936</v>
      </c>
      <c r="H1335" s="9" t="s">
        <v>584</v>
      </c>
      <c r="I1335" s="9" t="s">
        <v>3324</v>
      </c>
      <c r="J1335" s="44">
        <v>18.7</v>
      </c>
      <c r="K1335" s="60">
        <v>9.75</v>
      </c>
      <c r="L1335" s="56">
        <v>7.38</v>
      </c>
      <c r="M1335" s="14">
        <f>K1335-L1335</f>
        <v>2.37</v>
      </c>
      <c r="N1335" s="15">
        <f>IFERROR(M1335/K1335,0)</f>
        <v>0.24307692307692308</v>
      </c>
      <c r="O1335" s="14">
        <f>IFERROR(L1335/J1335,0)</f>
        <v>0.3946524064171123</v>
      </c>
      <c r="P1335" s="14">
        <f>IFERROR(L1335/G1335,0)</f>
        <v>0.41000000000000147</v>
      </c>
    </row>
    <row r="1336" spans="1:18" x14ac:dyDescent="0.3">
      <c r="A1336" s="9" t="s">
        <v>3132</v>
      </c>
      <c r="B1336" s="9" t="s">
        <v>18</v>
      </c>
      <c r="C1336" s="9" t="s">
        <v>184</v>
      </c>
      <c r="D1336" s="52">
        <v>46182</v>
      </c>
      <c r="E1336" s="48">
        <v>0.57986111111111105</v>
      </c>
      <c r="F1336" s="48">
        <v>0.59444444444444444</v>
      </c>
      <c r="G1336" s="43">
        <f>(F1336-E1336)*1440</f>
        <v>21.000000000000085</v>
      </c>
      <c r="H1336" s="9" t="s">
        <v>632</v>
      </c>
      <c r="I1336" s="9" t="s">
        <v>3325</v>
      </c>
      <c r="J1336" s="44">
        <v>15.55</v>
      </c>
      <c r="K1336" s="60">
        <v>12.94</v>
      </c>
      <c r="L1336" s="56">
        <v>8.41</v>
      </c>
      <c r="M1336" s="14">
        <f>K1336-L1336</f>
        <v>4.5299999999999994</v>
      </c>
      <c r="N1336" s="15">
        <f>IFERROR(M1336/K1336,0)</f>
        <v>0.35007727975270475</v>
      </c>
      <c r="O1336" s="14">
        <f>IFERROR(L1336/J1336,0)</f>
        <v>0.54083601286173633</v>
      </c>
      <c r="P1336" s="14">
        <f>IFERROR(L1336/G1336,0)</f>
        <v>0.40047619047618888</v>
      </c>
    </row>
    <row r="1337" spans="1:18" x14ac:dyDescent="0.3">
      <c r="A1337" s="9" t="s">
        <v>3133</v>
      </c>
      <c r="B1337" s="9" t="s">
        <v>18</v>
      </c>
      <c r="C1337" s="9" t="s">
        <v>196</v>
      </c>
      <c r="D1337" s="52">
        <v>46182</v>
      </c>
      <c r="E1337" s="48">
        <v>0.59791666666666665</v>
      </c>
      <c r="F1337" s="48">
        <v>0.60555555555555551</v>
      </c>
      <c r="G1337" s="43">
        <f>(F1337-E1337)*1440</f>
        <v>10.999999999999961</v>
      </c>
      <c r="H1337" s="9" t="s">
        <v>3326</v>
      </c>
      <c r="I1337" s="9" t="s">
        <v>1120</v>
      </c>
      <c r="J1337" s="44">
        <v>4.54</v>
      </c>
      <c r="K1337" s="60">
        <v>5.98</v>
      </c>
      <c r="L1337" s="56">
        <v>3.89</v>
      </c>
      <c r="M1337" s="14">
        <f>K1337-L1337</f>
        <v>2.0900000000000003</v>
      </c>
      <c r="N1337" s="15">
        <f>IFERROR(M1337/K1337,0)</f>
        <v>0.34949832775919737</v>
      </c>
      <c r="O1337" s="14">
        <f>IFERROR(L1337/J1337,0)</f>
        <v>0.85682819383259912</v>
      </c>
      <c r="P1337" s="14">
        <f>IFERROR(L1337/G1337,0)</f>
        <v>0.35363636363636491</v>
      </c>
    </row>
    <row r="1338" spans="1:18" x14ac:dyDescent="0.3">
      <c r="A1338" s="9" t="s">
        <v>3134</v>
      </c>
      <c r="B1338" s="9" t="s">
        <v>18</v>
      </c>
      <c r="C1338" s="9" t="s">
        <v>184</v>
      </c>
      <c r="D1338" s="52">
        <v>46182</v>
      </c>
      <c r="E1338" s="48">
        <v>0.6333333333333333</v>
      </c>
      <c r="F1338" s="48">
        <v>0.65972222222222221</v>
      </c>
      <c r="G1338" s="43">
        <f>(F1338-E1338)*1440</f>
        <v>38.000000000000028</v>
      </c>
      <c r="H1338" s="9" t="s">
        <v>1120</v>
      </c>
      <c r="I1338" s="9" t="s">
        <v>698</v>
      </c>
      <c r="J1338" s="44">
        <v>13.21</v>
      </c>
      <c r="K1338" s="60">
        <v>13.39</v>
      </c>
      <c r="L1338" s="56">
        <v>9.43</v>
      </c>
      <c r="M1338" s="14">
        <f>K1338-L1338</f>
        <v>3.9600000000000009</v>
      </c>
      <c r="N1338" s="15">
        <f>IFERROR(M1338/K1338,0)</f>
        <v>0.29574309185959674</v>
      </c>
      <c r="O1338" s="14">
        <f>IFERROR(L1338/J1338,0)</f>
        <v>0.71385314155942459</v>
      </c>
      <c r="P1338" s="14">
        <f>IFERROR(L1338/G1338,0)</f>
        <v>0.24815789473684191</v>
      </c>
    </row>
    <row r="1339" spans="1:18" x14ac:dyDescent="0.3">
      <c r="A1339" s="9" t="s">
        <v>3135</v>
      </c>
      <c r="B1339" s="9" t="s">
        <v>18</v>
      </c>
      <c r="C1339" s="9" t="s">
        <v>184</v>
      </c>
      <c r="D1339" s="52">
        <v>46182</v>
      </c>
      <c r="E1339" s="48">
        <v>0.67986111111111114</v>
      </c>
      <c r="F1339" s="48">
        <v>0.69444444444444453</v>
      </c>
      <c r="G1339" s="43">
        <f>(F1339-E1339)*1440</f>
        <v>21.000000000000085</v>
      </c>
      <c r="H1339" s="9" t="s">
        <v>1845</v>
      </c>
      <c r="I1339" s="9" t="s">
        <v>3327</v>
      </c>
      <c r="J1339" s="44">
        <v>9.8800000000000008</v>
      </c>
      <c r="K1339" s="60">
        <v>14.93</v>
      </c>
      <c r="L1339" s="56">
        <v>11.49</v>
      </c>
      <c r="M1339" s="14">
        <f>K1339-L1339</f>
        <v>3.4399999999999995</v>
      </c>
      <c r="N1339" s="15">
        <f>IFERROR(M1339/K1339,0)</f>
        <v>0.23040857334226386</v>
      </c>
      <c r="O1339" s="14">
        <f>IFERROR(L1339/J1339,0)</f>
        <v>1.1629554655870444</v>
      </c>
      <c r="P1339" s="14">
        <f>IFERROR(L1339/G1339,0)</f>
        <v>0.54714285714285493</v>
      </c>
    </row>
    <row r="1340" spans="1:18" x14ac:dyDescent="0.3">
      <c r="A1340" s="9" t="s">
        <v>3136</v>
      </c>
      <c r="B1340" s="9" t="s">
        <v>18</v>
      </c>
      <c r="C1340" s="9" t="s">
        <v>184</v>
      </c>
      <c r="D1340" s="52">
        <v>46182</v>
      </c>
      <c r="E1340" s="48">
        <v>0.69861111111111107</v>
      </c>
      <c r="F1340" s="48">
        <v>0.71944444444444444</v>
      </c>
      <c r="G1340" s="43">
        <f>(F1340-E1340)*1440</f>
        <v>30.000000000000053</v>
      </c>
      <c r="H1340" s="9" t="s">
        <v>1117</v>
      </c>
      <c r="I1340" s="9" t="s">
        <v>2223</v>
      </c>
      <c r="J1340" s="44">
        <v>11.71</v>
      </c>
      <c r="K1340" s="60">
        <v>12.95</v>
      </c>
      <c r="L1340" s="56">
        <v>10.64</v>
      </c>
      <c r="M1340" s="14">
        <f>K1340-L1340</f>
        <v>2.3099999999999987</v>
      </c>
      <c r="N1340" s="15">
        <f>IFERROR(M1340/K1340,0)</f>
        <v>0.17837837837837828</v>
      </c>
      <c r="O1340" s="14">
        <f>IFERROR(L1340/J1340,0)</f>
        <v>0.90862510674637065</v>
      </c>
      <c r="P1340" s="14">
        <f>IFERROR(L1340/G1340,0)</f>
        <v>0.35466666666666607</v>
      </c>
    </row>
    <row r="1341" spans="1:18" x14ac:dyDescent="0.3">
      <c r="A1341" s="9" t="s">
        <v>3137</v>
      </c>
      <c r="B1341" s="9" t="s">
        <v>18</v>
      </c>
      <c r="C1341" s="9" t="s">
        <v>196</v>
      </c>
      <c r="D1341" s="52">
        <v>46182</v>
      </c>
      <c r="E1341" s="48">
        <v>0.73819444444444438</v>
      </c>
      <c r="F1341" s="48">
        <v>0.74513888888888891</v>
      </c>
      <c r="G1341" s="43">
        <f>(F1341-E1341)*1440</f>
        <v>10.000000000000124</v>
      </c>
      <c r="H1341" s="9" t="s">
        <v>754</v>
      </c>
      <c r="I1341" s="9" t="s">
        <v>1916</v>
      </c>
      <c r="J1341" s="44">
        <v>2.46</v>
      </c>
      <c r="K1341" s="60">
        <v>9.99</v>
      </c>
      <c r="L1341" s="56">
        <v>7.1</v>
      </c>
      <c r="M1341" s="14">
        <f>K1341-L1341</f>
        <v>2.8900000000000006</v>
      </c>
      <c r="N1341" s="15">
        <f>IFERROR(M1341/K1341,0)</f>
        <v>0.28928928928928932</v>
      </c>
      <c r="O1341" s="14">
        <f>IFERROR(L1341/J1341,0)</f>
        <v>2.8861788617886179</v>
      </c>
      <c r="P1341" s="14">
        <f>IFERROR(L1341/G1341,0)</f>
        <v>0.70999999999999108</v>
      </c>
    </row>
    <row r="1342" spans="1:18" x14ac:dyDescent="0.3">
      <c r="A1342" s="9" t="s">
        <v>3138</v>
      </c>
      <c r="B1342" s="9" t="s">
        <v>26</v>
      </c>
      <c r="C1342" s="9" t="s">
        <v>26</v>
      </c>
      <c r="D1342" s="52">
        <v>46182</v>
      </c>
      <c r="E1342" s="48">
        <v>0.54513888888888895</v>
      </c>
      <c r="F1342" s="48">
        <v>0.56388888888888888</v>
      </c>
      <c r="G1342" s="43">
        <f>(F1342-E1342)*1440</f>
        <v>26.999999999999904</v>
      </c>
      <c r="H1342" s="9" t="s">
        <v>3328</v>
      </c>
      <c r="I1342" s="9" t="s">
        <v>1699</v>
      </c>
      <c r="J1342" s="44">
        <v>19.600000000000001</v>
      </c>
      <c r="K1342" s="60">
        <v>9.4600000000000009</v>
      </c>
      <c r="L1342" s="56">
        <v>10.14</v>
      </c>
      <c r="M1342" s="14">
        <f>K1342-L1342</f>
        <v>-0.67999999999999972</v>
      </c>
      <c r="N1342" s="15">
        <f>IFERROR(M1342/K1342,0)</f>
        <v>-7.1881606765327663E-2</v>
      </c>
      <c r="O1342" s="14">
        <f>IFERROR(L1342/J1342,0)</f>
        <v>0.51734693877551019</v>
      </c>
      <c r="P1342" s="14">
        <f>IFERROR(L1342/G1342,0)</f>
        <v>0.37555555555555692</v>
      </c>
    </row>
    <row r="1343" spans="1:18" x14ac:dyDescent="0.3">
      <c r="A1343" s="9" t="s">
        <v>3139</v>
      </c>
      <c r="B1343" s="9" t="s">
        <v>26</v>
      </c>
      <c r="C1343" s="9" t="s">
        <v>27</v>
      </c>
      <c r="D1343" s="52">
        <v>46182</v>
      </c>
      <c r="E1343" s="48">
        <v>0.56736111111111109</v>
      </c>
      <c r="F1343" s="48">
        <v>0.57916666666666672</v>
      </c>
      <c r="G1343" s="43">
        <f>(F1343-E1343)*1440</f>
        <v>17.000000000000099</v>
      </c>
      <c r="H1343" s="9" t="s">
        <v>3329</v>
      </c>
      <c r="I1343" s="9" t="s">
        <v>763</v>
      </c>
      <c r="J1343" s="44">
        <v>7.9</v>
      </c>
      <c r="K1343" s="60">
        <v>6.08</v>
      </c>
      <c r="L1343" s="56">
        <v>4.5599999999999996</v>
      </c>
      <c r="M1343" s="14">
        <f>K1343-L1343</f>
        <v>1.5200000000000005</v>
      </c>
      <c r="N1343" s="15">
        <f>IFERROR(M1343/K1343,0)</f>
        <v>0.25000000000000006</v>
      </c>
      <c r="O1343" s="14">
        <f>IFERROR(L1343/J1343,0)</f>
        <v>0.57721518987341769</v>
      </c>
      <c r="P1343" s="14">
        <f>IFERROR(L1343/G1343,0)</f>
        <v>0.26823529411764546</v>
      </c>
    </row>
    <row r="1344" spans="1:18" x14ac:dyDescent="0.3">
      <c r="A1344" s="9" t="s">
        <v>3140</v>
      </c>
      <c r="B1344" s="9" t="s">
        <v>26</v>
      </c>
      <c r="C1344" s="9" t="s">
        <v>27</v>
      </c>
      <c r="D1344" s="52">
        <v>46182</v>
      </c>
      <c r="E1344" s="48">
        <v>0.67013888888888884</v>
      </c>
      <c r="F1344" s="48">
        <v>0.67291666666666661</v>
      </c>
      <c r="G1344" s="43">
        <f>(F1344-E1344)*1440</f>
        <v>3.9999999999999858</v>
      </c>
      <c r="H1344" s="9" t="s">
        <v>1187</v>
      </c>
      <c r="I1344" s="9" t="s">
        <v>3330</v>
      </c>
      <c r="J1344" s="44">
        <v>1.8</v>
      </c>
      <c r="K1344" s="60">
        <v>5.08</v>
      </c>
      <c r="L1344" s="56">
        <v>4.1900000000000004</v>
      </c>
      <c r="M1344" s="14">
        <f>K1344-L1344</f>
        <v>0.88999999999999968</v>
      </c>
      <c r="N1344" s="15">
        <f>IFERROR(M1344/K1344,0)</f>
        <v>0.17519685039370073</v>
      </c>
      <c r="O1344" s="14">
        <f>IFERROR(L1344/J1344,0)</f>
        <v>2.3277777777777779</v>
      </c>
      <c r="P1344" s="14">
        <f>IFERROR(L1344/G1344,0)</f>
        <v>1.0475000000000039</v>
      </c>
      <c r="R1344" s="57">
        <v>0.84</v>
      </c>
    </row>
    <row r="1345" spans="1:18" x14ac:dyDescent="0.3">
      <c r="A1345" s="9" t="s">
        <v>3141</v>
      </c>
      <c r="B1345" s="9" t="s">
        <v>26</v>
      </c>
      <c r="C1345" s="9" t="s">
        <v>27</v>
      </c>
      <c r="D1345" s="52">
        <v>46182</v>
      </c>
      <c r="E1345" s="48">
        <v>0.67847222222222225</v>
      </c>
      <c r="F1345" s="48">
        <v>0.68055555555555547</v>
      </c>
      <c r="G1345" s="43">
        <f>(F1345-E1345)*1440</f>
        <v>2.9999999999998295</v>
      </c>
      <c r="H1345" s="9" t="s">
        <v>3331</v>
      </c>
      <c r="I1345" s="9" t="s">
        <v>554</v>
      </c>
      <c r="J1345" s="44">
        <v>1</v>
      </c>
      <c r="K1345" s="60">
        <v>5.01</v>
      </c>
      <c r="L1345" s="56">
        <v>4.1399999999999997</v>
      </c>
      <c r="M1345" s="14">
        <f>K1345-L1345</f>
        <v>0.87000000000000011</v>
      </c>
      <c r="N1345" s="15">
        <f>IFERROR(M1345/K1345,0)</f>
        <v>0.17365269461077848</v>
      </c>
      <c r="O1345" s="14">
        <f>IFERROR(L1345/J1345,0)</f>
        <v>4.1399999999999997</v>
      </c>
      <c r="P1345" s="14">
        <f>IFERROR(L1345/G1345,0)</f>
        <v>1.3800000000000783</v>
      </c>
      <c r="R1345" s="57">
        <v>1.1599999999999999</v>
      </c>
    </row>
    <row r="1346" spans="1:18" x14ac:dyDescent="0.3">
      <c r="A1346" s="9" t="s">
        <v>3142</v>
      </c>
      <c r="B1346" s="9" t="s">
        <v>26</v>
      </c>
      <c r="C1346" s="9" t="s">
        <v>26</v>
      </c>
      <c r="D1346" s="52">
        <v>46182</v>
      </c>
      <c r="E1346" s="48">
        <v>0.75277777777777777</v>
      </c>
      <c r="F1346" s="48">
        <v>0.7631944444444444</v>
      </c>
      <c r="G1346" s="43">
        <f>(F1346-E1346)*1440</f>
        <v>14.999999999999947</v>
      </c>
      <c r="H1346" s="9" t="s">
        <v>3332</v>
      </c>
      <c r="I1346" s="9" t="s">
        <v>2495</v>
      </c>
      <c r="J1346" s="44">
        <v>5.8</v>
      </c>
      <c r="K1346" s="60">
        <v>6.69</v>
      </c>
      <c r="L1346" s="56">
        <v>5.39</v>
      </c>
      <c r="M1346" s="14">
        <f>K1346-L1346</f>
        <v>1.3000000000000007</v>
      </c>
      <c r="N1346" s="15">
        <f>IFERROR(M1346/K1346,0)</f>
        <v>0.19431988041853523</v>
      </c>
      <c r="O1346" s="14">
        <f>IFERROR(L1346/J1346,0)</f>
        <v>0.92931034482758623</v>
      </c>
      <c r="P1346" s="14">
        <f>IFERROR(L1346/G1346,0)</f>
        <v>0.35933333333333461</v>
      </c>
      <c r="R1346" s="57">
        <v>1.2</v>
      </c>
    </row>
    <row r="1347" spans="1:18" x14ac:dyDescent="0.3">
      <c r="A1347" s="9" t="s">
        <v>3143</v>
      </c>
      <c r="B1347" s="9" t="s">
        <v>26</v>
      </c>
      <c r="C1347" s="9" t="s">
        <v>26</v>
      </c>
      <c r="D1347" s="52">
        <v>46182</v>
      </c>
      <c r="E1347" s="48">
        <v>0.76666666666666661</v>
      </c>
      <c r="F1347" s="48">
        <v>0.77361111111111114</v>
      </c>
      <c r="G1347" s="43">
        <f>(F1347-E1347)*1440</f>
        <v>10.000000000000124</v>
      </c>
      <c r="H1347" s="9" t="s">
        <v>3333</v>
      </c>
      <c r="I1347" s="9" t="s">
        <v>656</v>
      </c>
      <c r="J1347" s="44">
        <v>2.6</v>
      </c>
      <c r="K1347" s="60">
        <v>5.28</v>
      </c>
      <c r="L1347" s="56">
        <v>4.3600000000000003</v>
      </c>
      <c r="M1347" s="14">
        <f>K1347-L1347</f>
        <v>0.91999999999999993</v>
      </c>
      <c r="N1347" s="15">
        <f>IFERROR(M1347/K1347,0)</f>
        <v>0.17424242424242423</v>
      </c>
      <c r="O1347" s="14">
        <f>IFERROR(L1347/J1347,0)</f>
        <v>1.676923076923077</v>
      </c>
      <c r="P1347" s="14">
        <f>IFERROR(L1347/G1347,0)</f>
        <v>0.43599999999999461</v>
      </c>
      <c r="R1347" s="57">
        <v>0.88</v>
      </c>
    </row>
    <row r="1348" spans="1:18" x14ac:dyDescent="0.3">
      <c r="A1348" s="9" t="s">
        <v>3144</v>
      </c>
      <c r="B1348" s="9" t="s">
        <v>26</v>
      </c>
      <c r="C1348" s="9" t="s">
        <v>26</v>
      </c>
      <c r="D1348" s="52">
        <v>46182</v>
      </c>
      <c r="E1348" s="48">
        <v>0.77638888888888891</v>
      </c>
      <c r="F1348" s="48">
        <v>0.77986111111111101</v>
      </c>
      <c r="G1348" s="43">
        <f>(F1348-E1348)*1440</f>
        <v>4.9999999999998224</v>
      </c>
      <c r="H1348" s="9" t="s">
        <v>2222</v>
      </c>
      <c r="I1348" s="9" t="s">
        <v>607</v>
      </c>
      <c r="J1348" s="44">
        <v>2.2000000000000002</v>
      </c>
      <c r="K1348" s="60">
        <v>6.02</v>
      </c>
      <c r="L1348" s="56">
        <v>4.75</v>
      </c>
      <c r="M1348" s="14">
        <f>K1348-L1348</f>
        <v>1.2699999999999996</v>
      </c>
      <c r="N1348" s="15">
        <f>IFERROR(M1348/K1348,0)</f>
        <v>0.2109634551495016</v>
      </c>
      <c r="O1348" s="14">
        <f>IFERROR(L1348/J1348,0)</f>
        <v>2.1590909090909087</v>
      </c>
      <c r="P1348" s="14">
        <f>IFERROR(L1348/G1348,0)</f>
        <v>0.95000000000003371</v>
      </c>
      <c r="R1348" s="57">
        <v>1.94</v>
      </c>
    </row>
    <row r="1349" spans="1:18" x14ac:dyDescent="0.3">
      <c r="A1349" s="9" t="s">
        <v>3145</v>
      </c>
      <c r="B1349" s="9" t="s">
        <v>26</v>
      </c>
      <c r="C1349" s="9" t="s">
        <v>26</v>
      </c>
      <c r="D1349" s="52">
        <v>46182</v>
      </c>
      <c r="E1349" s="48">
        <v>0.78194444444444444</v>
      </c>
      <c r="F1349" s="48">
        <v>0.7909722222222223</v>
      </c>
      <c r="G1349" s="43">
        <f>(F1349-E1349)*1440</f>
        <v>13.000000000000114</v>
      </c>
      <c r="H1349" s="9" t="s">
        <v>3334</v>
      </c>
      <c r="I1349" s="9" t="s">
        <v>765</v>
      </c>
      <c r="J1349" s="44">
        <v>3.8</v>
      </c>
      <c r="K1349" s="60">
        <v>5.18</v>
      </c>
      <c r="L1349" s="56">
        <v>4.68</v>
      </c>
      <c r="M1349" s="14">
        <f>K1349-L1349</f>
        <v>0.5</v>
      </c>
      <c r="N1349" s="15">
        <f>IFERROR(M1349/K1349,0)</f>
        <v>9.6525096525096526E-2</v>
      </c>
      <c r="O1349" s="14">
        <f>IFERROR(L1349/J1349,0)</f>
        <v>1.2315789473684211</v>
      </c>
      <c r="P1349" s="14">
        <f>IFERROR(L1349/G1349,0)</f>
        <v>0.35999999999999682</v>
      </c>
      <c r="R1349" s="57">
        <v>1.45</v>
      </c>
    </row>
    <row r="1350" spans="1:18" x14ac:dyDescent="0.3">
      <c r="A1350" s="9" t="s">
        <v>3146</v>
      </c>
      <c r="B1350" s="9" t="s">
        <v>26</v>
      </c>
      <c r="C1350" s="9" t="s">
        <v>26</v>
      </c>
      <c r="D1350" s="52">
        <v>46182</v>
      </c>
      <c r="E1350" s="48">
        <v>0.79375000000000007</v>
      </c>
      <c r="F1350" s="48">
        <v>0.79999999999999993</v>
      </c>
      <c r="G1350" s="43">
        <f>(F1350-E1350)*1440</f>
        <v>8.9999999999998082</v>
      </c>
      <c r="H1350" s="9" t="s">
        <v>3335</v>
      </c>
      <c r="I1350" s="9" t="s">
        <v>3336</v>
      </c>
      <c r="J1350" s="44">
        <v>3.4</v>
      </c>
      <c r="K1350" s="60">
        <v>5.54</v>
      </c>
      <c r="L1350" s="56">
        <v>4.37</v>
      </c>
      <c r="M1350" s="14">
        <f>K1350-L1350</f>
        <v>1.17</v>
      </c>
      <c r="N1350" s="15">
        <f>IFERROR(M1350/K1350,0)</f>
        <v>0.21119133574007218</v>
      </c>
      <c r="O1350" s="14">
        <f>IFERROR(L1350/J1350,0)</f>
        <v>1.2852941176470589</v>
      </c>
      <c r="P1350" s="14">
        <f>IFERROR(L1350/G1350,0)</f>
        <v>0.4855555555555659</v>
      </c>
      <c r="R1350" s="57">
        <v>1.35</v>
      </c>
    </row>
    <row r="1351" spans="1:18" x14ac:dyDescent="0.3">
      <c r="A1351" s="9" t="s">
        <v>3147</v>
      </c>
      <c r="B1351" s="9" t="s">
        <v>26</v>
      </c>
      <c r="C1351" s="9" t="s">
        <v>26</v>
      </c>
      <c r="D1351" s="52">
        <v>46182</v>
      </c>
      <c r="E1351" s="48">
        <v>0.82986111111111116</v>
      </c>
      <c r="F1351" s="48">
        <v>0.8354166666666667</v>
      </c>
      <c r="G1351" s="43">
        <f>(F1351-E1351)*1440</f>
        <v>7.9999999999999716</v>
      </c>
      <c r="H1351" s="9" t="s">
        <v>554</v>
      </c>
      <c r="I1351" s="9" t="s">
        <v>3337</v>
      </c>
      <c r="J1351" s="44">
        <v>2.2999999999999998</v>
      </c>
      <c r="K1351" s="60">
        <v>5.28</v>
      </c>
      <c r="L1351" s="56">
        <v>4.95</v>
      </c>
      <c r="M1351" s="14">
        <f>K1351-L1351</f>
        <v>0.33000000000000007</v>
      </c>
      <c r="N1351" s="15">
        <f>IFERROR(M1351/K1351,0)</f>
        <v>6.2500000000000014E-2</v>
      </c>
      <c r="O1351" s="14">
        <f>IFERROR(L1351/J1351,0)</f>
        <v>2.1521739130434785</v>
      </c>
      <c r="P1351" s="14">
        <f>IFERROR(L1351/G1351,0)</f>
        <v>0.61875000000000224</v>
      </c>
      <c r="R1351" s="57">
        <v>2.2000000000000002</v>
      </c>
    </row>
    <row r="1352" spans="1:18" x14ac:dyDescent="0.3">
      <c r="A1352" s="9" t="s">
        <v>3148</v>
      </c>
      <c r="B1352" s="9" t="s">
        <v>26</v>
      </c>
      <c r="C1352" s="9" t="s">
        <v>27</v>
      </c>
      <c r="D1352" s="52">
        <v>46182</v>
      </c>
      <c r="E1352" s="48">
        <v>0.83888888888888891</v>
      </c>
      <c r="F1352" s="48">
        <v>0.8520833333333333</v>
      </c>
      <c r="G1352" s="43">
        <f>(F1352-E1352)*1440</f>
        <v>18.999999999999932</v>
      </c>
      <c r="H1352" s="9" t="s">
        <v>3338</v>
      </c>
      <c r="I1352" s="9" t="s">
        <v>1120</v>
      </c>
      <c r="J1352" s="44">
        <v>13.8</v>
      </c>
      <c r="K1352" s="60">
        <v>18.66</v>
      </c>
      <c r="L1352" s="56">
        <v>13.99</v>
      </c>
      <c r="M1352" s="14">
        <f>K1352-L1352</f>
        <v>4.67</v>
      </c>
      <c r="N1352" s="15">
        <f>IFERROR(M1352/K1352,0)</f>
        <v>0.25026795284030012</v>
      </c>
      <c r="O1352" s="14">
        <f>IFERROR(L1352/J1352,0)</f>
        <v>1.0137681159420289</v>
      </c>
      <c r="P1352" s="14">
        <f>IFERROR(L1352/G1352,0)</f>
        <v>0.73631578947368681</v>
      </c>
    </row>
    <row r="1353" spans="1:18" x14ac:dyDescent="0.3">
      <c r="A1353" s="9" t="s">
        <v>3149</v>
      </c>
      <c r="B1353" s="9" t="s">
        <v>26</v>
      </c>
      <c r="C1353" s="9" t="s">
        <v>27</v>
      </c>
      <c r="D1353" s="52">
        <v>46182</v>
      </c>
      <c r="E1353" s="48">
        <v>0.87152777777777779</v>
      </c>
      <c r="F1353" s="48">
        <v>0.8847222222222223</v>
      </c>
      <c r="G1353" s="43">
        <f>(F1353-E1353)*1440</f>
        <v>19.000000000000092</v>
      </c>
      <c r="H1353" s="9" t="s">
        <v>2248</v>
      </c>
      <c r="I1353" s="9" t="s">
        <v>3339</v>
      </c>
      <c r="J1353" s="44">
        <v>15.3</v>
      </c>
      <c r="K1353" s="60">
        <v>12.77</v>
      </c>
      <c r="L1353" s="56">
        <v>9.58</v>
      </c>
      <c r="M1353" s="14">
        <f>K1353-L1353</f>
        <v>3.1899999999999995</v>
      </c>
      <c r="N1353" s="15">
        <f>IFERROR(M1353/K1353,0)</f>
        <v>0.249804228660924</v>
      </c>
      <c r="O1353" s="14">
        <f>IFERROR(L1353/J1353,0)</f>
        <v>0.6261437908496732</v>
      </c>
      <c r="P1353" s="14">
        <f>IFERROR(L1353/G1353,0)</f>
        <v>0.504210526315787</v>
      </c>
      <c r="R1353" s="57">
        <v>4.25</v>
      </c>
    </row>
    <row r="1354" spans="1:18" x14ac:dyDescent="0.3">
      <c r="A1354" s="9" t="s">
        <v>3150</v>
      </c>
      <c r="B1354" s="9" t="s">
        <v>26</v>
      </c>
      <c r="C1354" s="9" t="s">
        <v>27</v>
      </c>
      <c r="D1354" s="52">
        <v>46184</v>
      </c>
      <c r="E1354" s="48">
        <v>0.5805555555555556</v>
      </c>
      <c r="F1354" s="48">
        <v>0.6</v>
      </c>
      <c r="G1354" s="43">
        <f>(F1354-E1354)*1440</f>
        <v>27.999999999999901</v>
      </c>
      <c r="H1354" s="9" t="s">
        <v>3340</v>
      </c>
      <c r="I1354" s="9" t="s">
        <v>3341</v>
      </c>
      <c r="J1354" s="44">
        <v>17.100000000000001</v>
      </c>
      <c r="K1354" s="60">
        <v>6.41</v>
      </c>
      <c r="L1354" s="56">
        <v>8.02</v>
      </c>
      <c r="M1354" s="14">
        <f>K1354-L1354</f>
        <v>-1.6099999999999994</v>
      </c>
      <c r="N1354" s="15">
        <f>IFERROR(M1354/K1354,0)</f>
        <v>-0.25117004680187199</v>
      </c>
      <c r="O1354" s="14">
        <f>IFERROR(L1354/J1354,0)</f>
        <v>0.46900584795321631</v>
      </c>
      <c r="P1354" s="14">
        <f>IFERROR(L1354/G1354,0)</f>
        <v>0.28642857142857242</v>
      </c>
    </row>
    <row r="1355" spans="1:18" x14ac:dyDescent="0.3">
      <c r="A1355" s="9" t="s">
        <v>3151</v>
      </c>
      <c r="B1355" s="9" t="s">
        <v>26</v>
      </c>
      <c r="C1355" s="9" t="s">
        <v>27</v>
      </c>
      <c r="D1355" s="52">
        <v>46184</v>
      </c>
      <c r="E1355" s="48">
        <v>0.67291666666666661</v>
      </c>
      <c r="F1355" s="48">
        <v>0.67638888888888893</v>
      </c>
      <c r="G1355" s="43">
        <f>(F1355-E1355)*1440</f>
        <v>5.0000000000001421</v>
      </c>
      <c r="H1355" s="9" t="s">
        <v>3342</v>
      </c>
      <c r="I1355" s="9" t="s">
        <v>2587</v>
      </c>
      <c r="J1355" s="44">
        <v>2.2000000000000002</v>
      </c>
      <c r="K1355" s="60">
        <v>4.62</v>
      </c>
      <c r="L1355" s="56">
        <v>3.46</v>
      </c>
      <c r="M1355" s="14">
        <f>K1355-L1355</f>
        <v>1.1600000000000001</v>
      </c>
      <c r="N1355" s="15">
        <f>IFERROR(M1355/K1355,0)</f>
        <v>0.25108225108225113</v>
      </c>
      <c r="O1355" s="14">
        <f>IFERROR(L1355/J1355,0)</f>
        <v>1.5727272727272725</v>
      </c>
      <c r="P1355" s="14">
        <f>IFERROR(L1355/G1355,0)</f>
        <v>0.6919999999999803</v>
      </c>
      <c r="R1355" s="57">
        <v>0.77</v>
      </c>
    </row>
    <row r="1356" spans="1:18" x14ac:dyDescent="0.3">
      <c r="A1356" s="9" t="s">
        <v>3152</v>
      </c>
      <c r="B1356" s="9" t="s">
        <v>26</v>
      </c>
      <c r="C1356" s="9" t="s">
        <v>26</v>
      </c>
      <c r="D1356" s="52">
        <v>46184</v>
      </c>
      <c r="E1356" s="48">
        <v>0.6791666666666667</v>
      </c>
      <c r="F1356" s="48">
        <v>0.68194444444444446</v>
      </c>
      <c r="G1356" s="43">
        <f>(F1356-E1356)*1440</f>
        <v>3.9999999999999858</v>
      </c>
      <c r="H1356" s="9" t="s">
        <v>682</v>
      </c>
      <c r="I1356" s="9" t="s">
        <v>2817</v>
      </c>
      <c r="J1356" s="44">
        <v>1.5</v>
      </c>
      <c r="K1356" s="60">
        <v>4.4000000000000004</v>
      </c>
      <c r="L1356" s="56">
        <v>3.3</v>
      </c>
      <c r="M1356" s="14">
        <f>K1356-L1356</f>
        <v>1.1000000000000005</v>
      </c>
      <c r="N1356" s="15">
        <f>IFERROR(M1356/K1356,0)</f>
        <v>0.25000000000000011</v>
      </c>
      <c r="O1356" s="14">
        <f>IFERROR(L1356/J1356,0)</f>
        <v>2.1999999999999997</v>
      </c>
      <c r="P1356" s="14">
        <f>IFERROR(L1356/G1356,0)</f>
        <v>0.82500000000000284</v>
      </c>
    </row>
    <row r="1357" spans="1:18" x14ac:dyDescent="0.3">
      <c r="A1357" s="9" t="s">
        <v>3153</v>
      </c>
      <c r="B1357" s="9" t="s">
        <v>26</v>
      </c>
      <c r="C1357" s="9" t="s">
        <v>26</v>
      </c>
      <c r="D1357" s="52">
        <v>46184</v>
      </c>
      <c r="E1357" s="48">
        <v>0.68333333333333324</v>
      </c>
      <c r="F1357" s="48">
        <v>0.68680555555555556</v>
      </c>
      <c r="G1357" s="43">
        <f>(F1357-E1357)*1440</f>
        <v>5.0000000000001421</v>
      </c>
      <c r="H1357" s="9" t="s">
        <v>3332</v>
      </c>
      <c r="I1357" s="9" t="s">
        <v>3343</v>
      </c>
      <c r="J1357" s="44">
        <v>1.8</v>
      </c>
      <c r="K1357" s="60">
        <v>4.4400000000000004</v>
      </c>
      <c r="L1357" s="56">
        <v>3.33</v>
      </c>
      <c r="M1357" s="14">
        <f>K1357-L1357</f>
        <v>1.1100000000000003</v>
      </c>
      <c r="N1357" s="15">
        <f>IFERROR(M1357/K1357,0)</f>
        <v>0.25000000000000006</v>
      </c>
      <c r="O1357" s="14">
        <f>IFERROR(L1357/J1357,0)</f>
        <v>1.85</v>
      </c>
      <c r="P1357" s="14">
        <f>IFERROR(L1357/G1357,0)</f>
        <v>0.66599999999998105</v>
      </c>
    </row>
    <row r="1358" spans="1:18" x14ac:dyDescent="0.3">
      <c r="A1358" s="9" t="s">
        <v>3154</v>
      </c>
      <c r="B1358" s="9" t="s">
        <v>26</v>
      </c>
      <c r="C1358" s="9" t="s">
        <v>26</v>
      </c>
      <c r="D1358" s="52">
        <v>46184</v>
      </c>
      <c r="E1358" s="48">
        <v>0.71111111111111114</v>
      </c>
      <c r="F1358" s="48">
        <v>0.72361111111111109</v>
      </c>
      <c r="G1358" s="43">
        <f>(F1358-E1358)*1440</f>
        <v>17.999999999999936</v>
      </c>
      <c r="H1358" s="9" t="s">
        <v>2861</v>
      </c>
      <c r="I1358" s="9" t="s">
        <v>2979</v>
      </c>
      <c r="J1358" s="44">
        <v>8.5</v>
      </c>
      <c r="K1358" s="60">
        <v>6.42</v>
      </c>
      <c r="L1358" s="56">
        <v>6.02</v>
      </c>
      <c r="M1358" s="14">
        <f>K1358-L1358</f>
        <v>0.40000000000000036</v>
      </c>
      <c r="N1358" s="15">
        <f>IFERROR(M1358/K1358,0)</f>
        <v>6.2305295950155819E-2</v>
      </c>
      <c r="O1358" s="14">
        <f>IFERROR(L1358/J1358,0)</f>
        <v>0.70823529411764696</v>
      </c>
      <c r="P1358" s="14">
        <f>IFERROR(L1358/G1358,0)</f>
        <v>0.3344444444444456</v>
      </c>
    </row>
    <row r="1359" spans="1:18" x14ac:dyDescent="0.3">
      <c r="A1359" s="9" t="s">
        <v>3155</v>
      </c>
      <c r="B1359" s="9" t="s">
        <v>26</v>
      </c>
      <c r="C1359" s="9" t="s">
        <v>26</v>
      </c>
      <c r="D1359" s="52">
        <v>46184</v>
      </c>
      <c r="E1359" s="48">
        <v>0.73402777777777783</v>
      </c>
      <c r="F1359" s="48">
        <v>0.74097222222222225</v>
      </c>
      <c r="G1359" s="43">
        <f>(F1359-E1359)*1440</f>
        <v>9.9999999999999645</v>
      </c>
      <c r="H1359" s="9" t="s">
        <v>1917</v>
      </c>
      <c r="I1359" s="9" t="s">
        <v>243</v>
      </c>
      <c r="J1359" s="44">
        <v>5</v>
      </c>
      <c r="K1359" s="60">
        <v>5.4</v>
      </c>
      <c r="L1359" s="56">
        <v>5.0599999999999996</v>
      </c>
      <c r="M1359" s="14">
        <f>K1359-L1359</f>
        <v>0.34000000000000075</v>
      </c>
      <c r="N1359" s="15">
        <f>IFERROR(M1359/K1359,0)</f>
        <v>6.2962962962963095E-2</v>
      </c>
      <c r="O1359" s="14">
        <f>IFERROR(L1359/J1359,0)</f>
        <v>1.012</v>
      </c>
      <c r="P1359" s="14">
        <f>IFERROR(L1359/G1359,0)</f>
        <v>0.50600000000000178</v>
      </c>
      <c r="R1359" s="57">
        <v>0.61</v>
      </c>
    </row>
    <row r="1360" spans="1:18" x14ac:dyDescent="0.3">
      <c r="A1360" s="9" t="s">
        <v>3156</v>
      </c>
      <c r="B1360" s="9" t="s">
        <v>26</v>
      </c>
      <c r="C1360" s="9" t="s">
        <v>26</v>
      </c>
      <c r="D1360" s="52">
        <v>46184</v>
      </c>
      <c r="E1360" s="48">
        <v>0.74444444444444446</v>
      </c>
      <c r="F1360" s="48">
        <v>0.75555555555555554</v>
      </c>
      <c r="G1360" s="43">
        <f>(F1360-E1360)*1440</f>
        <v>15.999999999999943</v>
      </c>
      <c r="H1360" s="9" t="s">
        <v>1900</v>
      </c>
      <c r="I1360" s="9" t="s">
        <v>3344</v>
      </c>
      <c r="J1360" s="44">
        <v>7.9</v>
      </c>
      <c r="K1360" s="60">
        <v>8.8000000000000007</v>
      </c>
      <c r="L1360" s="56">
        <v>6.6</v>
      </c>
      <c r="M1360" s="14">
        <f>K1360-L1360</f>
        <v>2.2000000000000011</v>
      </c>
      <c r="N1360" s="15">
        <f>IFERROR(M1360/K1360,0)</f>
        <v>0.25000000000000011</v>
      </c>
      <c r="O1360" s="14">
        <f>IFERROR(L1360/J1360,0)</f>
        <v>0.83544303797468344</v>
      </c>
      <c r="P1360" s="14">
        <f>IFERROR(L1360/G1360,0)</f>
        <v>0.41250000000000142</v>
      </c>
    </row>
    <row r="1361" spans="1:19" x14ac:dyDescent="0.3">
      <c r="A1361" s="9" t="s">
        <v>3157</v>
      </c>
      <c r="B1361" s="9" t="s">
        <v>26</v>
      </c>
      <c r="C1361" s="9" t="s">
        <v>26</v>
      </c>
      <c r="D1361" s="52">
        <v>46184</v>
      </c>
      <c r="E1361" s="48">
        <v>0.77361111111111114</v>
      </c>
      <c r="F1361" s="48">
        <v>0.78263888888888899</v>
      </c>
      <c r="G1361" s="43">
        <f>(F1361-E1361)*1440</f>
        <v>13.000000000000114</v>
      </c>
      <c r="H1361" s="9" t="s">
        <v>2215</v>
      </c>
      <c r="I1361" s="9" t="s">
        <v>2564</v>
      </c>
      <c r="J1361" s="44">
        <v>5.7</v>
      </c>
      <c r="K1361" s="60">
        <v>4.82</v>
      </c>
      <c r="L1361" s="56">
        <v>4.5199999999999996</v>
      </c>
      <c r="M1361" s="14">
        <f>K1361-L1361</f>
        <v>0.30000000000000071</v>
      </c>
      <c r="N1361" s="15">
        <f>IFERROR(M1361/K1361,0)</f>
        <v>6.2240663900415084E-2</v>
      </c>
      <c r="O1361" s="14">
        <f>IFERROR(L1361/J1361,0)</f>
        <v>0.79298245614035079</v>
      </c>
      <c r="P1361" s="14">
        <f>IFERROR(L1361/G1361,0)</f>
        <v>0.34769230769230464</v>
      </c>
    </row>
    <row r="1362" spans="1:19" x14ac:dyDescent="0.3">
      <c r="A1362" s="9" t="s">
        <v>3158</v>
      </c>
      <c r="B1362" s="9" t="s">
        <v>26</v>
      </c>
      <c r="C1362" s="9" t="s">
        <v>27</v>
      </c>
      <c r="D1362" s="52">
        <v>46184</v>
      </c>
      <c r="E1362" s="48">
        <v>0.82708333333333339</v>
      </c>
      <c r="F1362" s="48">
        <v>0.83124999999999993</v>
      </c>
      <c r="G1362" s="43">
        <f>(F1362-E1362)*1440</f>
        <v>5.9999999999998188</v>
      </c>
      <c r="H1362" s="9" t="s">
        <v>3345</v>
      </c>
      <c r="I1362" s="9" t="s">
        <v>2011</v>
      </c>
      <c r="J1362" s="44">
        <v>2.7</v>
      </c>
      <c r="K1362" s="60">
        <v>3.85</v>
      </c>
      <c r="L1362" s="56">
        <v>3.18</v>
      </c>
      <c r="M1362" s="14">
        <f>K1362-L1362</f>
        <v>0.66999999999999993</v>
      </c>
      <c r="N1362" s="15">
        <f>IFERROR(M1362/K1362,0)</f>
        <v>0.174025974025974</v>
      </c>
      <c r="O1362" s="14">
        <f>IFERROR(L1362/J1362,0)</f>
        <v>1.1777777777777778</v>
      </c>
      <c r="P1362" s="14">
        <f>IFERROR(L1362/G1362,0)</f>
        <v>0.53000000000001601</v>
      </c>
    </row>
    <row r="1363" spans="1:19" x14ac:dyDescent="0.3">
      <c r="A1363" s="9" t="s">
        <v>3159</v>
      </c>
      <c r="B1363" s="9" t="s">
        <v>26</v>
      </c>
      <c r="C1363" s="9" t="s">
        <v>27</v>
      </c>
      <c r="D1363" s="52">
        <v>46184</v>
      </c>
      <c r="E1363" s="48">
        <v>0.87222222222222223</v>
      </c>
      <c r="F1363" s="48">
        <v>0.87986111111111109</v>
      </c>
      <c r="G1363" s="43">
        <f>(F1363-E1363)*1440</f>
        <v>10.999999999999961</v>
      </c>
      <c r="H1363" s="9" t="s">
        <v>1763</v>
      </c>
      <c r="I1363" s="9" t="s">
        <v>3346</v>
      </c>
      <c r="J1363" s="44">
        <v>9.6</v>
      </c>
      <c r="K1363" s="60">
        <v>8.64</v>
      </c>
      <c r="L1363" s="56">
        <v>6.48</v>
      </c>
      <c r="M1363" s="14">
        <f>K1363-L1363</f>
        <v>2.16</v>
      </c>
      <c r="N1363" s="15">
        <f>IFERROR(M1363/K1363,0)</f>
        <v>0.25</v>
      </c>
      <c r="O1363" s="14">
        <f>IFERROR(L1363/J1363,0)</f>
        <v>0.67500000000000004</v>
      </c>
      <c r="P1363" s="14">
        <f>IFERROR(L1363/G1363,0)</f>
        <v>0.58909090909091122</v>
      </c>
      <c r="R1363" s="57">
        <v>1.99</v>
      </c>
    </row>
    <row r="1364" spans="1:19" x14ac:dyDescent="0.3">
      <c r="A1364" s="9" t="s">
        <v>3160</v>
      </c>
      <c r="B1364" s="9" t="s">
        <v>18</v>
      </c>
      <c r="C1364" s="9" t="s">
        <v>184</v>
      </c>
      <c r="D1364" s="52">
        <v>46184</v>
      </c>
      <c r="E1364" s="48">
        <v>0.5493055555555556</v>
      </c>
      <c r="F1364" s="48">
        <v>0.55694444444444446</v>
      </c>
      <c r="G1364" s="43">
        <f>(F1364-E1364)*1440</f>
        <v>10.999999999999961</v>
      </c>
      <c r="H1364" s="9" t="s">
        <v>3347</v>
      </c>
      <c r="I1364" s="9" t="s">
        <v>3348</v>
      </c>
      <c r="J1364" s="44">
        <v>5.55</v>
      </c>
      <c r="K1364" s="60">
        <v>4.93</v>
      </c>
      <c r="L1364" s="56">
        <v>3.2</v>
      </c>
      <c r="M1364" s="14">
        <f>K1364-L1364</f>
        <v>1.7299999999999995</v>
      </c>
      <c r="N1364" s="15">
        <f>IFERROR(M1364/K1364,0)</f>
        <v>0.35091277890466527</v>
      </c>
      <c r="O1364" s="14">
        <f>IFERROR(L1364/J1364,0)</f>
        <v>0.57657657657657657</v>
      </c>
      <c r="P1364" s="14">
        <f>IFERROR(L1364/G1364,0)</f>
        <v>0.29090909090909195</v>
      </c>
    </row>
    <row r="1365" spans="1:19" x14ac:dyDescent="0.3">
      <c r="A1365" s="9" t="s">
        <v>3161</v>
      </c>
      <c r="B1365" s="9" t="s">
        <v>18</v>
      </c>
      <c r="C1365" s="9" t="s">
        <v>184</v>
      </c>
      <c r="D1365" s="52">
        <v>46184</v>
      </c>
      <c r="E1365" s="48">
        <v>0.55347222222222225</v>
      </c>
      <c r="F1365" s="48">
        <v>0.56666666666666665</v>
      </c>
      <c r="G1365" s="43">
        <f>(F1365-E1365)*1440</f>
        <v>18.999999999999932</v>
      </c>
      <c r="H1365" s="9" t="s">
        <v>3348</v>
      </c>
      <c r="I1365" s="9" t="s">
        <v>2230</v>
      </c>
      <c r="J1365" s="44">
        <v>14.9</v>
      </c>
      <c r="K1365" s="60">
        <v>8.08</v>
      </c>
      <c r="L1365" s="56">
        <v>5.94</v>
      </c>
      <c r="M1365" s="14">
        <f>K1365-L1365</f>
        <v>2.1399999999999997</v>
      </c>
      <c r="N1365" s="15">
        <f>IFERROR(M1365/K1365,0)</f>
        <v>0.26485148514851481</v>
      </c>
      <c r="O1365" s="14">
        <f>IFERROR(L1365/J1365,0)</f>
        <v>0.39865771812080536</v>
      </c>
      <c r="P1365" s="14">
        <f>IFERROR(L1365/G1365,0)</f>
        <v>0.31263157894736954</v>
      </c>
    </row>
    <row r="1366" spans="1:19" x14ac:dyDescent="0.3">
      <c r="A1366" s="9" t="s">
        <v>3162</v>
      </c>
      <c r="B1366" s="9" t="s">
        <v>18</v>
      </c>
      <c r="C1366" s="9" t="s">
        <v>196</v>
      </c>
      <c r="D1366" s="52">
        <v>46184</v>
      </c>
      <c r="E1366" s="48">
        <v>0.60069444444444442</v>
      </c>
      <c r="F1366" s="48">
        <v>0.60763888888888895</v>
      </c>
      <c r="G1366" s="43">
        <f>(F1366-E1366)*1440</f>
        <v>10.000000000000124</v>
      </c>
      <c r="H1366" s="9" t="s">
        <v>3349</v>
      </c>
      <c r="I1366" s="9" t="s">
        <v>3350</v>
      </c>
      <c r="J1366" s="44">
        <v>4.6500000000000004</v>
      </c>
      <c r="K1366" s="60">
        <v>4.97</v>
      </c>
      <c r="L1366" s="56">
        <v>3.67</v>
      </c>
      <c r="M1366" s="14">
        <f>K1366-L1366</f>
        <v>1.2999999999999998</v>
      </c>
      <c r="N1366" s="15">
        <f>IFERROR(M1366/K1366,0)</f>
        <v>0.26156941649899396</v>
      </c>
      <c r="O1366" s="14">
        <f>IFERROR(L1366/J1366,0)</f>
        <v>0.78924731182795693</v>
      </c>
      <c r="P1366" s="14">
        <f>IFERROR(L1366/G1366,0)</f>
        <v>0.36699999999999544</v>
      </c>
    </row>
    <row r="1367" spans="1:19" x14ac:dyDescent="0.3">
      <c r="A1367" s="9" t="s">
        <v>3163</v>
      </c>
      <c r="B1367" s="9" t="s">
        <v>18</v>
      </c>
      <c r="C1367" s="9" t="s">
        <v>196</v>
      </c>
      <c r="D1367" s="52">
        <v>46184</v>
      </c>
      <c r="E1367" s="48">
        <v>0.6118055555555556</v>
      </c>
      <c r="F1367" s="48">
        <v>0.61597222222222225</v>
      </c>
      <c r="G1367" s="43">
        <f>(F1367-E1367)*1440</f>
        <v>5.9999999999999787</v>
      </c>
      <c r="H1367" s="9" t="s">
        <v>2039</v>
      </c>
      <c r="I1367" s="9" t="s">
        <v>2942</v>
      </c>
      <c r="J1367" s="44">
        <v>4.51</v>
      </c>
      <c r="K1367" s="60">
        <v>4.9800000000000004</v>
      </c>
      <c r="L1367" s="56">
        <v>3.62</v>
      </c>
      <c r="M1367" s="14">
        <f>K1367-L1367</f>
        <v>1.3600000000000003</v>
      </c>
      <c r="N1367" s="15">
        <f>IFERROR(M1367/K1367,0)</f>
        <v>0.27309236947791171</v>
      </c>
      <c r="O1367" s="14">
        <f>IFERROR(L1367/J1367,0)</f>
        <v>0.80266075388026614</v>
      </c>
      <c r="P1367" s="14">
        <f>IFERROR(L1367/G1367,0)</f>
        <v>0.6033333333333355</v>
      </c>
    </row>
    <row r="1368" spans="1:19" x14ac:dyDescent="0.3">
      <c r="A1368" s="9" t="s">
        <v>3164</v>
      </c>
      <c r="B1368" s="9" t="s">
        <v>18</v>
      </c>
      <c r="C1368" s="9" t="s">
        <v>196</v>
      </c>
      <c r="D1368" s="52">
        <v>46184</v>
      </c>
      <c r="E1368" s="48">
        <v>0.61875000000000002</v>
      </c>
      <c r="F1368" s="48">
        <v>0.62847222222222221</v>
      </c>
      <c r="G1368" s="43">
        <f>(F1368-E1368)*1440</f>
        <v>13.99999999999995</v>
      </c>
      <c r="H1368" s="9" t="s">
        <v>3351</v>
      </c>
      <c r="I1368" s="9" t="s">
        <v>3352</v>
      </c>
      <c r="J1368" s="44">
        <v>9.82</v>
      </c>
      <c r="K1368" s="60">
        <v>6.97</v>
      </c>
      <c r="L1368" s="56">
        <v>5.61</v>
      </c>
      <c r="M1368" s="14">
        <f>K1368-L1368</f>
        <v>1.3599999999999994</v>
      </c>
      <c r="N1368" s="15">
        <f>IFERROR(M1368/K1368,0)</f>
        <v>0.19512195121951212</v>
      </c>
      <c r="O1368" s="14">
        <f>IFERROR(L1368/J1368,0)</f>
        <v>0.57128309572301428</v>
      </c>
      <c r="P1368" s="14">
        <f>IFERROR(L1368/G1368,0)</f>
        <v>0.40071428571428719</v>
      </c>
      <c r="S1368" s="61">
        <v>2</v>
      </c>
    </row>
    <row r="1369" spans="1:19" x14ac:dyDescent="0.3">
      <c r="A1369" s="9" t="s">
        <v>3165</v>
      </c>
      <c r="B1369" s="9" t="s">
        <v>18</v>
      </c>
      <c r="C1369" s="9" t="s">
        <v>184</v>
      </c>
      <c r="D1369" s="52">
        <v>46184</v>
      </c>
      <c r="E1369" s="48">
        <v>0.62916666666666665</v>
      </c>
      <c r="F1369" s="48">
        <v>0.63402777777777775</v>
      </c>
      <c r="G1369" s="43">
        <f>(F1369-E1369)*1440</f>
        <v>6.9999999999999751</v>
      </c>
      <c r="H1369" s="9" t="s">
        <v>1126</v>
      </c>
      <c r="I1369" s="9" t="s">
        <v>2566</v>
      </c>
      <c r="J1369" s="44">
        <v>4.46</v>
      </c>
      <c r="K1369" s="60">
        <v>3.35</v>
      </c>
      <c r="L1369" s="56">
        <v>3.26</v>
      </c>
      <c r="M1369" s="14">
        <f>K1369-L1369</f>
        <v>9.0000000000000302E-2</v>
      </c>
      <c r="N1369" s="15">
        <f>IFERROR(M1369/K1369,0)</f>
        <v>2.6865671641791135E-2</v>
      </c>
      <c r="O1369" s="14">
        <f>IFERROR(L1369/J1369,0)</f>
        <v>0.73094170403587444</v>
      </c>
      <c r="P1369" s="14">
        <f>IFERROR(L1369/G1369,0)</f>
        <v>0.46571428571428736</v>
      </c>
    </row>
    <row r="1370" spans="1:19" x14ac:dyDescent="0.3">
      <c r="A1370" s="9" t="s">
        <v>3166</v>
      </c>
      <c r="B1370" s="9" t="s">
        <v>18</v>
      </c>
      <c r="C1370" s="9" t="s">
        <v>196</v>
      </c>
      <c r="D1370" s="52">
        <v>46184</v>
      </c>
      <c r="E1370" s="48">
        <v>0.68819444444444444</v>
      </c>
      <c r="F1370" s="48">
        <v>0.69513888888888886</v>
      </c>
      <c r="G1370" s="43">
        <f>(F1370-E1370)*1440</f>
        <v>9.9999999999999645</v>
      </c>
      <c r="H1370" s="9" t="s">
        <v>2592</v>
      </c>
      <c r="I1370" s="9" t="s">
        <v>592</v>
      </c>
      <c r="J1370" s="44">
        <v>3.81</v>
      </c>
      <c r="K1370" s="60">
        <v>5.98</v>
      </c>
      <c r="L1370" s="56">
        <v>4.7699999999999996</v>
      </c>
      <c r="M1370" s="14">
        <f>K1370-L1370</f>
        <v>1.2100000000000009</v>
      </c>
      <c r="N1370" s="15">
        <f>IFERROR(M1370/K1370,0)</f>
        <v>0.20234113712374593</v>
      </c>
      <c r="O1370" s="14">
        <f>IFERROR(L1370/J1370,0)</f>
        <v>1.2519685039370076</v>
      </c>
      <c r="P1370" s="14">
        <f>IFERROR(L1370/G1370,0)</f>
        <v>0.47700000000000164</v>
      </c>
    </row>
    <row r="1371" spans="1:19" x14ac:dyDescent="0.3">
      <c r="A1371" s="9" t="s">
        <v>3167</v>
      </c>
      <c r="B1371" s="9" t="s">
        <v>18</v>
      </c>
      <c r="C1371" s="9" t="s">
        <v>184</v>
      </c>
      <c r="D1371" s="52">
        <v>46184</v>
      </c>
      <c r="E1371" s="48">
        <v>0.6958333333333333</v>
      </c>
      <c r="F1371" s="48">
        <v>0.70208333333333339</v>
      </c>
      <c r="G1371" s="43">
        <f>(F1371-E1371)*1440</f>
        <v>9.0000000000001279</v>
      </c>
      <c r="H1371" s="9" t="s">
        <v>3353</v>
      </c>
      <c r="I1371" s="9" t="s">
        <v>2829</v>
      </c>
      <c r="J1371" s="44">
        <v>7.88</v>
      </c>
      <c r="K1371" s="60">
        <v>5.95</v>
      </c>
      <c r="L1371" s="56">
        <v>4.9800000000000004</v>
      </c>
      <c r="M1371" s="14">
        <f>K1371-L1371</f>
        <v>0.96999999999999975</v>
      </c>
      <c r="N1371" s="15">
        <f>IFERROR(M1371/K1371,0)</f>
        <v>0.16302521008403356</v>
      </c>
      <c r="O1371" s="14">
        <f>IFERROR(L1371/J1371,0)</f>
        <v>0.63197969543147214</v>
      </c>
      <c r="P1371" s="14">
        <f>IFERROR(L1371/G1371,0)</f>
        <v>0.55333333333332557</v>
      </c>
    </row>
    <row r="1372" spans="1:19" x14ac:dyDescent="0.3">
      <c r="A1372" s="9" t="s">
        <v>3168</v>
      </c>
      <c r="B1372" s="9" t="s">
        <v>18</v>
      </c>
      <c r="C1372" s="9" t="s">
        <v>184</v>
      </c>
      <c r="D1372" s="52">
        <v>46184</v>
      </c>
      <c r="E1372" s="48">
        <v>0.75555555555555554</v>
      </c>
      <c r="F1372" s="48">
        <v>0.76527777777777783</v>
      </c>
      <c r="G1372" s="43">
        <f>(F1372-E1372)*1440</f>
        <v>14.00000000000011</v>
      </c>
      <c r="H1372" s="9" t="s">
        <v>3354</v>
      </c>
      <c r="I1372" s="9" t="s">
        <v>1997</v>
      </c>
      <c r="J1372" s="44">
        <v>7.94</v>
      </c>
      <c r="K1372" s="60">
        <v>5.96</v>
      </c>
      <c r="L1372" s="56">
        <v>4.71</v>
      </c>
      <c r="M1372" s="14">
        <f>K1372-L1372</f>
        <v>1.25</v>
      </c>
      <c r="N1372" s="15">
        <f>IFERROR(M1372/K1372,0)</f>
        <v>0.20973154362416108</v>
      </c>
      <c r="O1372" s="14">
        <f>IFERROR(L1372/J1372,0)</f>
        <v>0.59319899244332486</v>
      </c>
      <c r="P1372" s="14">
        <f>IFERROR(L1372/G1372,0)</f>
        <v>0.3364285714285688</v>
      </c>
    </row>
    <row r="1373" spans="1:19" x14ac:dyDescent="0.3">
      <c r="A1373" s="9" t="s">
        <v>3169</v>
      </c>
      <c r="B1373" s="9" t="s">
        <v>18</v>
      </c>
      <c r="C1373" s="9" t="s">
        <v>196</v>
      </c>
      <c r="D1373" s="52">
        <v>46184</v>
      </c>
      <c r="E1373" s="48">
        <v>0.78263888888888899</v>
      </c>
      <c r="F1373" s="48">
        <v>0.79861111111111116</v>
      </c>
      <c r="G1373" s="43">
        <f>(F1373-E1373)*1440</f>
        <v>22.999999999999918</v>
      </c>
      <c r="H1373" s="9" t="s">
        <v>3355</v>
      </c>
      <c r="I1373" s="9" t="s">
        <v>3356</v>
      </c>
      <c r="J1373" s="44">
        <v>13.53</v>
      </c>
      <c r="K1373" s="60">
        <v>11.98</v>
      </c>
      <c r="L1373" s="56">
        <v>9.81</v>
      </c>
      <c r="M1373" s="14">
        <f>K1373-L1373</f>
        <v>2.17</v>
      </c>
      <c r="N1373" s="15">
        <f>IFERROR(M1373/K1373,0)</f>
        <v>0.18113522537562604</v>
      </c>
      <c r="O1373" s="14">
        <f>IFERROR(L1373/J1373,0)</f>
        <v>0.72505543237250558</v>
      </c>
      <c r="P1373" s="14">
        <f>IFERROR(L1373/G1373,0)</f>
        <v>0.42652173913043634</v>
      </c>
    </row>
    <row r="1374" spans="1:19" x14ac:dyDescent="0.3">
      <c r="A1374" s="9" t="s">
        <v>3170</v>
      </c>
      <c r="B1374" s="9" t="s">
        <v>18</v>
      </c>
      <c r="C1374" s="9" t="s">
        <v>184</v>
      </c>
      <c r="D1374" s="52">
        <v>46185</v>
      </c>
      <c r="E1374" s="48">
        <v>0.56458333333333333</v>
      </c>
      <c r="F1374" s="48">
        <v>0.5708333333333333</v>
      </c>
      <c r="G1374" s="43">
        <f>(F1374-E1374)*1440</f>
        <v>8.999999999999968</v>
      </c>
      <c r="H1374" s="9" t="s">
        <v>1194</v>
      </c>
      <c r="I1374" s="9" t="s">
        <v>3357</v>
      </c>
      <c r="J1374" s="44">
        <v>6.12</v>
      </c>
      <c r="K1374" s="60">
        <v>5.95</v>
      </c>
      <c r="L1374" s="56">
        <v>3.87</v>
      </c>
      <c r="M1374" s="14">
        <f>K1374-L1374</f>
        <v>2.08</v>
      </c>
      <c r="N1374" s="15">
        <f>IFERROR(M1374/K1374,0)</f>
        <v>0.34957983193277309</v>
      </c>
      <c r="O1374" s="14">
        <f>IFERROR(L1374/J1374,0)</f>
        <v>0.63235294117647056</v>
      </c>
      <c r="P1374" s="14">
        <f>IFERROR(L1374/G1374,0)</f>
        <v>0.43000000000000155</v>
      </c>
    </row>
    <row r="1375" spans="1:19" x14ac:dyDescent="0.3">
      <c r="A1375" s="9" t="s">
        <v>3171</v>
      </c>
      <c r="B1375" s="9" t="s">
        <v>18</v>
      </c>
      <c r="C1375" s="9" t="s">
        <v>196</v>
      </c>
      <c r="D1375" s="52">
        <v>46185</v>
      </c>
      <c r="E1375" s="48">
        <v>0.5805555555555556</v>
      </c>
      <c r="F1375" s="48">
        <v>0.58611111111111114</v>
      </c>
      <c r="G1375" s="43">
        <f>(F1375-E1375)*1440</f>
        <v>7.9999999999999716</v>
      </c>
      <c r="H1375" s="9" t="s">
        <v>3358</v>
      </c>
      <c r="I1375" s="9" t="s">
        <v>3359</v>
      </c>
      <c r="J1375" s="44">
        <v>2.94</v>
      </c>
      <c r="K1375" s="60">
        <v>4.9800000000000004</v>
      </c>
      <c r="L1375" s="56">
        <v>3.74</v>
      </c>
      <c r="M1375" s="14">
        <f>K1375-L1375</f>
        <v>1.2400000000000002</v>
      </c>
      <c r="N1375" s="15">
        <f>IFERROR(M1375/K1375,0)</f>
        <v>0.24899598393574299</v>
      </c>
      <c r="O1375" s="14">
        <f>IFERROR(L1375/J1375,0)</f>
        <v>1.272108843537415</v>
      </c>
      <c r="P1375" s="14">
        <f>IFERROR(L1375/G1375,0)</f>
        <v>0.46750000000000169</v>
      </c>
    </row>
    <row r="1376" spans="1:19" x14ac:dyDescent="0.3">
      <c r="A1376" s="9" t="s">
        <v>3172</v>
      </c>
      <c r="B1376" s="9" t="s">
        <v>18</v>
      </c>
      <c r="C1376" s="9" t="s">
        <v>184</v>
      </c>
      <c r="D1376" s="52">
        <v>46185</v>
      </c>
      <c r="E1376" s="48">
        <v>0.58958333333333335</v>
      </c>
      <c r="F1376" s="48">
        <v>0.59375</v>
      </c>
      <c r="G1376" s="43">
        <f>(F1376-E1376)*1440</f>
        <v>5.9999999999999787</v>
      </c>
      <c r="H1376" s="9" t="s">
        <v>3360</v>
      </c>
      <c r="I1376" s="9" t="s">
        <v>604</v>
      </c>
      <c r="J1376" s="44">
        <v>1.74</v>
      </c>
      <c r="K1376" s="60">
        <v>4.93</v>
      </c>
      <c r="L1376" s="56">
        <v>3.38</v>
      </c>
      <c r="M1376" s="14">
        <f>K1376-L1376</f>
        <v>1.5499999999999998</v>
      </c>
      <c r="N1376" s="15">
        <f>IFERROR(M1376/K1376,0)</f>
        <v>0.31440162271805272</v>
      </c>
      <c r="O1376" s="14">
        <f>IFERROR(L1376/J1376,0)</f>
        <v>1.9425287356321839</v>
      </c>
      <c r="P1376" s="14">
        <f>IFERROR(L1376/G1376,0)</f>
        <v>0.56333333333333535</v>
      </c>
    </row>
    <row r="1377" spans="1:18" x14ac:dyDescent="0.3">
      <c r="A1377" s="9" t="s">
        <v>3173</v>
      </c>
      <c r="B1377" s="9" t="s">
        <v>18</v>
      </c>
      <c r="C1377" s="9" t="s">
        <v>184</v>
      </c>
      <c r="D1377" s="52">
        <v>46185</v>
      </c>
      <c r="E1377" s="48">
        <v>0.59444444444444444</v>
      </c>
      <c r="F1377" s="48">
        <v>0.61111111111111105</v>
      </c>
      <c r="G1377" s="43">
        <f>(F1377-E1377)*1440</f>
        <v>23.999999999999915</v>
      </c>
      <c r="H1377" s="9" t="s">
        <v>1905</v>
      </c>
      <c r="I1377" s="9" t="s">
        <v>1759</v>
      </c>
      <c r="J1377" s="44">
        <v>15.97</v>
      </c>
      <c r="K1377" s="60">
        <v>14.95</v>
      </c>
      <c r="L1377" s="56">
        <v>10</v>
      </c>
      <c r="M1377" s="14">
        <f>K1377-L1377</f>
        <v>4.9499999999999993</v>
      </c>
      <c r="N1377" s="15">
        <f>IFERROR(M1377/K1377,0)</f>
        <v>0.33110367892976583</v>
      </c>
      <c r="O1377" s="14">
        <f>IFERROR(L1377/J1377,0)</f>
        <v>0.6261740763932373</v>
      </c>
      <c r="P1377" s="14">
        <f>IFERROR(L1377/G1377,0)</f>
        <v>0.41666666666666813</v>
      </c>
    </row>
    <row r="1378" spans="1:18" x14ac:dyDescent="0.3">
      <c r="A1378" s="9" t="s">
        <v>3174</v>
      </c>
      <c r="B1378" s="9" t="s">
        <v>18</v>
      </c>
      <c r="C1378" s="9" t="s">
        <v>184</v>
      </c>
      <c r="D1378" s="52">
        <v>46185</v>
      </c>
      <c r="E1378" s="48">
        <v>0.6166666666666667</v>
      </c>
      <c r="F1378" s="48">
        <v>0.62430555555555556</v>
      </c>
      <c r="G1378" s="43">
        <f>(F1378-E1378)*1440</f>
        <v>10.999999999999961</v>
      </c>
      <c r="H1378" s="9" t="s">
        <v>1759</v>
      </c>
      <c r="I1378" s="9" t="s">
        <v>1733</v>
      </c>
      <c r="J1378" s="44">
        <v>4.03</v>
      </c>
      <c r="K1378" s="60">
        <v>8.93</v>
      </c>
      <c r="L1378" s="56">
        <v>5.8</v>
      </c>
      <c r="M1378" s="14">
        <f>K1378-L1378</f>
        <v>3.13</v>
      </c>
      <c r="N1378" s="15">
        <f>IFERROR(M1378/K1378,0)</f>
        <v>0.35050391937290032</v>
      </c>
      <c r="O1378" s="14">
        <f>IFERROR(L1378/J1378,0)</f>
        <v>1.4392059553349874</v>
      </c>
      <c r="P1378" s="14">
        <f>IFERROR(L1378/G1378,0)</f>
        <v>0.52727272727272911</v>
      </c>
    </row>
    <row r="1379" spans="1:18" x14ac:dyDescent="0.3">
      <c r="A1379" s="9" t="s">
        <v>3175</v>
      </c>
      <c r="B1379" s="9" t="s">
        <v>18</v>
      </c>
      <c r="C1379" s="9" t="s">
        <v>184</v>
      </c>
      <c r="D1379" s="52">
        <v>46185</v>
      </c>
      <c r="E1379" s="48">
        <v>0.62847222222222221</v>
      </c>
      <c r="F1379" s="48">
        <v>0.63472222222222219</v>
      </c>
      <c r="G1379" s="43">
        <f>(F1379-E1379)*1440</f>
        <v>8.999999999999968</v>
      </c>
      <c r="H1379" s="9" t="s">
        <v>582</v>
      </c>
      <c r="I1379" s="9" t="s">
        <v>3344</v>
      </c>
      <c r="J1379" s="44">
        <v>5.78</v>
      </c>
      <c r="K1379" s="60">
        <v>5.98</v>
      </c>
      <c r="L1379" s="56">
        <v>4.03</v>
      </c>
      <c r="M1379" s="14">
        <f>K1379-L1379</f>
        <v>1.9500000000000002</v>
      </c>
      <c r="N1379" s="15">
        <f>IFERROR(M1379/K1379,0)</f>
        <v>0.32608695652173914</v>
      </c>
      <c r="O1379" s="14">
        <f>IFERROR(L1379/J1379,0)</f>
        <v>0.69723183391003463</v>
      </c>
      <c r="P1379" s="14">
        <f>IFERROR(L1379/G1379,0)</f>
        <v>0.44777777777777938</v>
      </c>
    </row>
    <row r="1380" spans="1:18" x14ac:dyDescent="0.3">
      <c r="A1380" s="9" t="s">
        <v>3176</v>
      </c>
      <c r="B1380" s="9" t="s">
        <v>18</v>
      </c>
      <c r="C1380" s="9" t="s">
        <v>196</v>
      </c>
      <c r="D1380" s="52">
        <v>46185</v>
      </c>
      <c r="E1380" s="48">
        <v>0.75555555555555554</v>
      </c>
      <c r="F1380" s="48">
        <v>0.7597222222222223</v>
      </c>
      <c r="G1380" s="43">
        <f>(F1380-E1380)*1440</f>
        <v>6.0000000000001386</v>
      </c>
      <c r="H1380" s="9" t="s">
        <v>2945</v>
      </c>
      <c r="I1380" s="9" t="s">
        <v>3361</v>
      </c>
      <c r="J1380" s="44">
        <v>3.11</v>
      </c>
      <c r="K1380" s="60">
        <v>7.97</v>
      </c>
      <c r="L1380" s="56">
        <v>6.99</v>
      </c>
      <c r="M1380" s="14">
        <f>K1380-L1380</f>
        <v>0.97999999999999954</v>
      </c>
      <c r="N1380" s="15">
        <f>IFERROR(M1380/K1380,0)</f>
        <v>0.12296110414052693</v>
      </c>
      <c r="O1380" s="14">
        <f>IFERROR(L1380/J1380,0)</f>
        <v>2.247588424437299</v>
      </c>
      <c r="P1380" s="14">
        <f>IFERROR(L1380/G1380,0)</f>
        <v>1.1649999999999732</v>
      </c>
    </row>
    <row r="1381" spans="1:18" x14ac:dyDescent="0.3">
      <c r="A1381" s="9" t="s">
        <v>3177</v>
      </c>
      <c r="B1381" s="9" t="s">
        <v>18</v>
      </c>
      <c r="C1381" s="9" t="s">
        <v>184</v>
      </c>
      <c r="D1381" s="52">
        <v>46185</v>
      </c>
      <c r="E1381" s="48">
        <v>0.76111111111111107</v>
      </c>
      <c r="F1381" s="48">
        <v>0.7631944444444444</v>
      </c>
      <c r="G1381" s="43">
        <f>(F1381-E1381)*1440</f>
        <v>2.9999999999999893</v>
      </c>
      <c r="H1381" s="9" t="s">
        <v>3362</v>
      </c>
      <c r="I1381" s="9" t="s">
        <v>3363</v>
      </c>
      <c r="J1381" s="44">
        <v>1.45</v>
      </c>
      <c r="K1381" s="60">
        <v>7.95</v>
      </c>
      <c r="L1381" s="56">
        <v>5.7</v>
      </c>
      <c r="M1381" s="14">
        <f>K1381-L1381</f>
        <v>2.25</v>
      </c>
      <c r="N1381" s="15">
        <f>IFERROR(M1381/K1381,0)</f>
        <v>0.28301886792452829</v>
      </c>
      <c r="O1381" s="14">
        <f>IFERROR(L1381/J1381,0)</f>
        <v>3.931034482758621</v>
      </c>
      <c r="P1381" s="14">
        <f>IFERROR(L1381/G1381,0)</f>
        <v>1.9000000000000068</v>
      </c>
    </row>
    <row r="1382" spans="1:18" x14ac:dyDescent="0.3">
      <c r="A1382" s="9" t="s">
        <v>3178</v>
      </c>
      <c r="B1382" s="9" t="s">
        <v>18</v>
      </c>
      <c r="C1382" s="9" t="s">
        <v>184</v>
      </c>
      <c r="D1382" s="52">
        <v>46185</v>
      </c>
      <c r="E1382" s="48">
        <v>0.80902777777777779</v>
      </c>
      <c r="F1382" s="48">
        <v>0.82013888888888886</v>
      </c>
      <c r="G1382" s="43">
        <f>(F1382-E1382)*1440</f>
        <v>15.999999999999943</v>
      </c>
      <c r="H1382" s="9" t="s">
        <v>3364</v>
      </c>
      <c r="I1382" s="9" t="s">
        <v>3365</v>
      </c>
      <c r="J1382" s="44">
        <v>15.75</v>
      </c>
      <c r="K1382" s="60">
        <v>16.95</v>
      </c>
      <c r="L1382" s="56">
        <v>12.21</v>
      </c>
      <c r="M1382" s="14">
        <f>K1382-L1382</f>
        <v>4.7399999999999984</v>
      </c>
      <c r="N1382" s="15">
        <f>IFERROR(M1382/K1382,0)</f>
        <v>0.27964601769911496</v>
      </c>
      <c r="O1382" s="14">
        <f>IFERROR(L1382/J1382,0)</f>
        <v>0.77523809523809528</v>
      </c>
      <c r="P1382" s="14">
        <f>IFERROR(L1382/G1382,0)</f>
        <v>0.76312500000000272</v>
      </c>
    </row>
    <row r="1383" spans="1:18" x14ac:dyDescent="0.3">
      <c r="A1383" s="9" t="s">
        <v>3179</v>
      </c>
      <c r="B1383" s="9" t="s">
        <v>18</v>
      </c>
      <c r="C1383" s="9" t="s">
        <v>184</v>
      </c>
      <c r="D1383" s="52">
        <v>46185</v>
      </c>
      <c r="E1383" s="48">
        <v>0.82500000000000007</v>
      </c>
      <c r="F1383" s="48">
        <v>0.82777777777777783</v>
      </c>
      <c r="G1383" s="43">
        <f>(F1383-E1383)*1440</f>
        <v>3.9999999999999858</v>
      </c>
      <c r="H1383" s="9" t="s">
        <v>3366</v>
      </c>
      <c r="I1383" s="9" t="s">
        <v>3367</v>
      </c>
      <c r="J1383" s="44">
        <v>1.94</v>
      </c>
      <c r="K1383" s="60">
        <v>6.94</v>
      </c>
      <c r="L1383" s="56">
        <v>5.4</v>
      </c>
      <c r="M1383" s="14">
        <f>K1383-L1383</f>
        <v>1.54</v>
      </c>
      <c r="N1383" s="15">
        <f>IFERROR(M1383/K1383,0)</f>
        <v>0.22190201729106626</v>
      </c>
      <c r="O1383" s="14">
        <f>IFERROR(L1383/J1383,0)</f>
        <v>2.7835051546391756</v>
      </c>
      <c r="P1383" s="14">
        <f>IFERROR(L1383/G1383,0)</f>
        <v>1.350000000000005</v>
      </c>
    </row>
    <row r="1384" spans="1:18" x14ac:dyDescent="0.3">
      <c r="A1384" s="9" t="s">
        <v>3180</v>
      </c>
      <c r="B1384" s="9" t="s">
        <v>26</v>
      </c>
      <c r="C1384" s="9" t="s">
        <v>26</v>
      </c>
      <c r="D1384" s="52">
        <v>46185</v>
      </c>
      <c r="E1384" s="48">
        <v>0.57777777777777783</v>
      </c>
      <c r="F1384" s="48">
        <v>0.58194444444444449</v>
      </c>
      <c r="G1384" s="43">
        <f>(F1384-E1384)*1440</f>
        <v>5.9999999999999787</v>
      </c>
      <c r="H1384" s="9" t="s">
        <v>3368</v>
      </c>
      <c r="I1384" s="9" t="s">
        <v>3369</v>
      </c>
      <c r="J1384" s="44">
        <v>3.6</v>
      </c>
      <c r="K1384" s="60">
        <v>3.52</v>
      </c>
      <c r="L1384" s="56">
        <v>3.3</v>
      </c>
      <c r="M1384" s="14">
        <f>K1384-L1384</f>
        <v>0.2200000000000002</v>
      </c>
      <c r="N1384" s="15">
        <f>IFERROR(M1384/K1384,0)</f>
        <v>6.2500000000000056E-2</v>
      </c>
      <c r="O1384" s="14">
        <f>IFERROR(L1384/J1384,0)</f>
        <v>0.91666666666666663</v>
      </c>
      <c r="P1384" s="14">
        <f>IFERROR(L1384/G1384,0)</f>
        <v>0.55000000000000193</v>
      </c>
    </row>
    <row r="1385" spans="1:18" x14ac:dyDescent="0.3">
      <c r="A1385" s="9" t="s">
        <v>3181</v>
      </c>
      <c r="B1385" s="9" t="s">
        <v>26</v>
      </c>
      <c r="C1385" s="9" t="s">
        <v>27</v>
      </c>
      <c r="D1385" s="52">
        <v>46185</v>
      </c>
      <c r="E1385" s="48">
        <v>0.65486111111111112</v>
      </c>
      <c r="F1385" s="48">
        <v>0.66111111111111109</v>
      </c>
      <c r="G1385" s="43">
        <f>(F1385-E1385)*1440</f>
        <v>8.999999999999968</v>
      </c>
      <c r="H1385" s="9" t="s">
        <v>3370</v>
      </c>
      <c r="I1385" s="9" t="s">
        <v>243</v>
      </c>
      <c r="J1385" s="44">
        <v>5.5</v>
      </c>
      <c r="K1385" s="60">
        <v>5.04</v>
      </c>
      <c r="L1385" s="56">
        <v>3.78</v>
      </c>
      <c r="M1385" s="14">
        <f>K1385-L1385</f>
        <v>1.2600000000000002</v>
      </c>
      <c r="N1385" s="15">
        <f>IFERROR(M1385/K1385,0)</f>
        <v>0.25000000000000006</v>
      </c>
      <c r="O1385" s="14">
        <f>IFERROR(L1385/J1385,0)</f>
        <v>0.68727272727272726</v>
      </c>
      <c r="P1385" s="14">
        <f>IFERROR(L1385/G1385,0)</f>
        <v>0.42000000000000148</v>
      </c>
    </row>
    <row r="1386" spans="1:18" x14ac:dyDescent="0.3">
      <c r="A1386" s="9" t="s">
        <v>3182</v>
      </c>
      <c r="B1386" s="9" t="s">
        <v>26</v>
      </c>
      <c r="C1386" s="9" t="s">
        <v>27</v>
      </c>
      <c r="D1386" s="52">
        <v>46185</v>
      </c>
      <c r="E1386" s="48">
        <v>0.6645833333333333</v>
      </c>
      <c r="F1386" s="48">
        <v>0.67638888888888893</v>
      </c>
      <c r="G1386" s="43">
        <f>(F1386-E1386)*1440</f>
        <v>17.000000000000099</v>
      </c>
      <c r="H1386" s="9" t="s">
        <v>3371</v>
      </c>
      <c r="I1386" s="9" t="s">
        <v>3372</v>
      </c>
      <c r="J1386" s="44">
        <v>11.3</v>
      </c>
      <c r="K1386" s="60">
        <v>7.17</v>
      </c>
      <c r="L1386" s="56">
        <v>5.38</v>
      </c>
      <c r="M1386" s="14">
        <f>K1386-L1386</f>
        <v>1.79</v>
      </c>
      <c r="N1386" s="15">
        <f>IFERROR(M1386/K1386,0)</f>
        <v>0.24965132496513251</v>
      </c>
      <c r="O1386" s="14">
        <f>IFERROR(L1386/J1386,0)</f>
        <v>0.47610619469026544</v>
      </c>
      <c r="P1386" s="14">
        <f>IFERROR(L1386/G1386,0)</f>
        <v>0.31647058823529228</v>
      </c>
    </row>
    <row r="1387" spans="1:18" x14ac:dyDescent="0.3">
      <c r="A1387" s="9" t="s">
        <v>3183</v>
      </c>
      <c r="B1387" s="9" t="s">
        <v>26</v>
      </c>
      <c r="C1387" s="9" t="s">
        <v>27</v>
      </c>
      <c r="D1387" s="52">
        <v>46185</v>
      </c>
      <c r="E1387" s="48">
        <v>0.67847222222222225</v>
      </c>
      <c r="F1387" s="48">
        <v>0.68472222222222223</v>
      </c>
      <c r="G1387" s="43">
        <f>(F1387-E1387)*1440</f>
        <v>8.999999999999968</v>
      </c>
      <c r="H1387" s="9" t="s">
        <v>3373</v>
      </c>
      <c r="I1387" s="9" t="s">
        <v>3374</v>
      </c>
      <c r="J1387" s="44">
        <v>3.3</v>
      </c>
      <c r="K1387" s="60">
        <v>4.24</v>
      </c>
      <c r="L1387" s="56">
        <v>3.18</v>
      </c>
      <c r="M1387" s="14">
        <f>K1387-L1387</f>
        <v>1.06</v>
      </c>
      <c r="N1387" s="15">
        <f>IFERROR(M1387/K1387,0)</f>
        <v>0.25</v>
      </c>
      <c r="O1387" s="14">
        <f>IFERROR(L1387/J1387,0)</f>
        <v>0.96363636363636374</v>
      </c>
      <c r="P1387" s="14">
        <f>IFERROR(L1387/G1387,0)</f>
        <v>0.35333333333333461</v>
      </c>
    </row>
    <row r="1388" spans="1:18" x14ac:dyDescent="0.3">
      <c r="A1388" s="9" t="s">
        <v>3184</v>
      </c>
      <c r="B1388" s="9" t="s">
        <v>26</v>
      </c>
      <c r="C1388" s="9" t="s">
        <v>26</v>
      </c>
      <c r="D1388" s="52">
        <v>46185</v>
      </c>
      <c r="E1388" s="48">
        <v>0.68888888888888899</v>
      </c>
      <c r="F1388" s="48">
        <v>0.6958333333333333</v>
      </c>
      <c r="G1388" s="43">
        <f>(F1388-E1388)*1440</f>
        <v>9.9999999999998046</v>
      </c>
      <c r="H1388" s="9" t="s">
        <v>3375</v>
      </c>
      <c r="I1388" s="9" t="s">
        <v>3376</v>
      </c>
      <c r="J1388" s="44">
        <v>3.8</v>
      </c>
      <c r="K1388" s="60">
        <v>3.7</v>
      </c>
      <c r="L1388" s="56">
        <v>3.96</v>
      </c>
      <c r="M1388" s="14">
        <f>K1388-L1388</f>
        <v>-0.25999999999999979</v>
      </c>
      <c r="N1388" s="15">
        <f>IFERROR(M1388/K1388,0)</f>
        <v>-7.0270270270270205E-2</v>
      </c>
      <c r="O1388" s="14">
        <f>IFERROR(L1388/J1388,0)</f>
        <v>1.0421052631578949</v>
      </c>
      <c r="P1388" s="14">
        <f>IFERROR(L1388/G1388,0)</f>
        <v>0.39600000000000773</v>
      </c>
    </row>
    <row r="1389" spans="1:18" x14ac:dyDescent="0.3">
      <c r="A1389" s="9" t="s">
        <v>3185</v>
      </c>
      <c r="B1389" s="9" t="s">
        <v>26</v>
      </c>
      <c r="C1389" s="9" t="s">
        <v>26</v>
      </c>
      <c r="D1389" s="52">
        <v>46185</v>
      </c>
      <c r="E1389" s="48">
        <v>0.6958333333333333</v>
      </c>
      <c r="F1389" s="48">
        <v>0.71111111111111114</v>
      </c>
      <c r="G1389" s="43">
        <f>(F1389-E1389)*1440</f>
        <v>22.000000000000082</v>
      </c>
      <c r="H1389" s="9" t="s">
        <v>3376</v>
      </c>
      <c r="I1389" s="9" t="s">
        <v>3377</v>
      </c>
      <c r="J1389" s="44">
        <v>14.6</v>
      </c>
      <c r="K1389" s="60">
        <v>12.16</v>
      </c>
      <c r="L1389" s="56">
        <v>11.4</v>
      </c>
      <c r="M1389" s="14">
        <f>K1389-L1389</f>
        <v>0.75999999999999979</v>
      </c>
      <c r="N1389" s="15">
        <f>IFERROR(M1389/K1389,0)</f>
        <v>6.2499999999999979E-2</v>
      </c>
      <c r="O1389" s="14">
        <f>IFERROR(L1389/J1389,0)</f>
        <v>0.78082191780821919</v>
      </c>
      <c r="P1389" s="14">
        <f>IFERROR(L1389/G1389,0)</f>
        <v>0.5181818181818163</v>
      </c>
      <c r="R1389" s="57">
        <v>4.4000000000000004</v>
      </c>
    </row>
    <row r="1390" spans="1:18" x14ac:dyDescent="0.3">
      <c r="A1390" s="9" t="s">
        <v>3186</v>
      </c>
      <c r="B1390" s="9" t="s">
        <v>26</v>
      </c>
      <c r="C1390" s="9" t="s">
        <v>27</v>
      </c>
      <c r="D1390" s="52">
        <v>46185</v>
      </c>
      <c r="E1390" s="48">
        <v>0.72499999999999998</v>
      </c>
      <c r="F1390" s="48">
        <v>0.73541666666666661</v>
      </c>
      <c r="G1390" s="43">
        <f>(F1390-E1390)*1440</f>
        <v>14.999999999999947</v>
      </c>
      <c r="H1390" s="9" t="s">
        <v>3378</v>
      </c>
      <c r="I1390" s="9" t="s">
        <v>1950</v>
      </c>
      <c r="J1390" s="44">
        <v>8.4</v>
      </c>
      <c r="K1390" s="60">
        <v>7.73</v>
      </c>
      <c r="L1390" s="56">
        <v>5.8</v>
      </c>
      <c r="M1390" s="14">
        <f>K1390-L1390</f>
        <v>1.9300000000000006</v>
      </c>
      <c r="N1390" s="15">
        <f>IFERROR(M1390/K1390,0)</f>
        <v>0.24967658473479953</v>
      </c>
      <c r="O1390" s="14">
        <f>IFERROR(L1390/J1390,0)</f>
        <v>0.69047619047619047</v>
      </c>
      <c r="P1390" s="14">
        <f>IFERROR(L1390/G1390,0)</f>
        <v>0.38666666666666805</v>
      </c>
      <c r="R1390" s="57">
        <v>1.29</v>
      </c>
    </row>
    <row r="1391" spans="1:18" x14ac:dyDescent="0.3">
      <c r="A1391" s="9" t="s">
        <v>3187</v>
      </c>
      <c r="B1391" s="9" t="s">
        <v>26</v>
      </c>
      <c r="C1391" s="9" t="s">
        <v>27</v>
      </c>
      <c r="D1391" s="52">
        <v>46185</v>
      </c>
      <c r="E1391" s="48">
        <v>0.7402777777777777</v>
      </c>
      <c r="F1391" s="48">
        <v>0.74722222222222223</v>
      </c>
      <c r="G1391" s="43">
        <f>(F1391-E1391)*1440</f>
        <v>10.000000000000124</v>
      </c>
      <c r="H1391" s="9" t="s">
        <v>3379</v>
      </c>
      <c r="I1391" s="9" t="s">
        <v>3380</v>
      </c>
      <c r="J1391" s="44">
        <v>5.4</v>
      </c>
      <c r="K1391" s="60">
        <v>5.68</v>
      </c>
      <c r="L1391" s="56">
        <v>4.26</v>
      </c>
      <c r="M1391" s="14">
        <f>K1391-L1391</f>
        <v>1.42</v>
      </c>
      <c r="N1391" s="15">
        <f>IFERROR(M1391/K1391,0)</f>
        <v>0.25</v>
      </c>
      <c r="O1391" s="14">
        <f>IFERROR(L1391/J1391,0)</f>
        <v>0.78888888888888875</v>
      </c>
      <c r="P1391" s="14">
        <f>IFERROR(L1391/G1391,0)</f>
        <v>0.42599999999999466</v>
      </c>
    </row>
    <row r="1392" spans="1:18" x14ac:dyDescent="0.3">
      <c r="A1392" s="9" t="s">
        <v>3188</v>
      </c>
      <c r="B1392" s="9" t="s">
        <v>26</v>
      </c>
      <c r="C1392" s="9" t="s">
        <v>27</v>
      </c>
      <c r="D1392" s="52">
        <v>46185</v>
      </c>
      <c r="E1392" s="48">
        <v>0.75</v>
      </c>
      <c r="F1392" s="48">
        <v>0.75416666666666676</v>
      </c>
      <c r="G1392" s="43">
        <f>(F1392-E1392)*1440</f>
        <v>6.0000000000001386</v>
      </c>
      <c r="H1392" s="9" t="s">
        <v>3381</v>
      </c>
      <c r="I1392" s="9" t="s">
        <v>1173</v>
      </c>
      <c r="J1392" s="44">
        <v>2.2999999999999998</v>
      </c>
      <c r="K1392" s="60">
        <v>6.93</v>
      </c>
      <c r="L1392" s="56">
        <v>5.2</v>
      </c>
      <c r="M1392" s="14">
        <f>K1392-L1392</f>
        <v>1.7299999999999995</v>
      </c>
      <c r="N1392" s="15">
        <f>IFERROR(M1392/K1392,0)</f>
        <v>0.24963924963924958</v>
      </c>
      <c r="O1392" s="14">
        <f>IFERROR(L1392/J1392,0)</f>
        <v>2.2608695652173916</v>
      </c>
      <c r="P1392" s="14">
        <f>IFERROR(L1392/G1392,0)</f>
        <v>0.86666666666664671</v>
      </c>
    </row>
    <row r="1393" spans="1:19" x14ac:dyDescent="0.3">
      <c r="A1393" s="9" t="s">
        <v>3189</v>
      </c>
      <c r="B1393" s="9" t="s">
        <v>26</v>
      </c>
      <c r="C1393" s="9" t="s">
        <v>26</v>
      </c>
      <c r="D1393" s="52">
        <v>46185</v>
      </c>
      <c r="E1393" s="48">
        <v>0.78194444444444444</v>
      </c>
      <c r="F1393" s="48">
        <v>0.79375000000000007</v>
      </c>
      <c r="G1393" s="43">
        <f>(F1393-E1393)*1440</f>
        <v>17.000000000000099</v>
      </c>
      <c r="H1393" s="9" t="s">
        <v>3382</v>
      </c>
      <c r="I1393" s="9" t="s">
        <v>3383</v>
      </c>
      <c r="J1393" s="44">
        <v>9.9</v>
      </c>
      <c r="K1393" s="60">
        <v>8.65</v>
      </c>
      <c r="L1393" s="56">
        <v>6.49</v>
      </c>
      <c r="M1393" s="14">
        <f>K1393-L1393</f>
        <v>2.16</v>
      </c>
      <c r="N1393" s="15">
        <f>IFERROR(M1393/K1393,0)</f>
        <v>0.24971098265895955</v>
      </c>
      <c r="O1393" s="14">
        <f>IFERROR(L1393/J1393,0)</f>
        <v>0.65555555555555556</v>
      </c>
      <c r="P1393" s="14">
        <f>IFERROR(L1393/G1393,0)</f>
        <v>0.38176470588235073</v>
      </c>
    </row>
    <row r="1394" spans="1:19" x14ac:dyDescent="0.3">
      <c r="A1394" s="9" t="s">
        <v>3190</v>
      </c>
      <c r="B1394" s="9" t="s">
        <v>26</v>
      </c>
      <c r="C1394" s="9" t="s">
        <v>27</v>
      </c>
      <c r="D1394" s="52">
        <v>46185</v>
      </c>
      <c r="E1394" s="48">
        <v>0.84236111111111101</v>
      </c>
      <c r="F1394" s="48">
        <v>0.84930555555555554</v>
      </c>
      <c r="G1394" s="43">
        <f>(F1394-E1394)*1440</f>
        <v>10.000000000000124</v>
      </c>
      <c r="H1394" s="9" t="s">
        <v>2980</v>
      </c>
      <c r="I1394" s="9" t="s">
        <v>1690</v>
      </c>
      <c r="J1394" s="44">
        <v>7.2</v>
      </c>
      <c r="K1394" s="60">
        <v>8.4700000000000006</v>
      </c>
      <c r="L1394" s="56">
        <v>6.35</v>
      </c>
      <c r="M1394" s="14">
        <f>K1394-L1394</f>
        <v>2.120000000000001</v>
      </c>
      <c r="N1394" s="15">
        <f>IFERROR(M1394/K1394,0)</f>
        <v>0.25029515938606856</v>
      </c>
      <c r="O1394" s="14">
        <f>IFERROR(L1394/J1394,0)</f>
        <v>0.88194444444444442</v>
      </c>
      <c r="P1394" s="14">
        <f>IFERROR(L1394/G1394,0)</f>
        <v>0.63499999999999202</v>
      </c>
      <c r="R1394" s="57">
        <v>3.19</v>
      </c>
    </row>
    <row r="1395" spans="1:19" x14ac:dyDescent="0.3">
      <c r="A1395" s="9" t="s">
        <v>3191</v>
      </c>
      <c r="B1395" s="9" t="s">
        <v>26</v>
      </c>
      <c r="C1395" s="9" t="s">
        <v>27</v>
      </c>
      <c r="D1395" s="52">
        <v>46186</v>
      </c>
      <c r="E1395" s="48">
        <v>0.6875</v>
      </c>
      <c r="F1395" s="48">
        <v>0.69861111111111107</v>
      </c>
      <c r="G1395" s="43">
        <f>(F1395-E1395)*1440</f>
        <v>15.999999999999943</v>
      </c>
      <c r="H1395" s="9" t="s">
        <v>3384</v>
      </c>
      <c r="I1395" s="9" t="s">
        <v>3385</v>
      </c>
      <c r="J1395" s="44">
        <v>11.5</v>
      </c>
      <c r="K1395" s="60">
        <v>7.66</v>
      </c>
      <c r="L1395" s="56">
        <v>5.74</v>
      </c>
      <c r="M1395" s="14">
        <f>K1395-L1395</f>
        <v>1.92</v>
      </c>
      <c r="N1395" s="15">
        <f>IFERROR(M1395/K1395,0)</f>
        <v>0.25065274151436029</v>
      </c>
      <c r="O1395" s="14">
        <f>IFERROR(L1395/J1395,0)</f>
        <v>0.49913043478260871</v>
      </c>
      <c r="P1395" s="14">
        <f>IFERROR(L1395/G1395,0)</f>
        <v>0.35875000000000129</v>
      </c>
    </row>
    <row r="1396" spans="1:19" x14ac:dyDescent="0.3">
      <c r="A1396" s="9" t="s">
        <v>3192</v>
      </c>
      <c r="B1396" s="9" t="s">
        <v>26</v>
      </c>
      <c r="C1396" s="9" t="s">
        <v>27</v>
      </c>
      <c r="D1396" s="52">
        <v>46186</v>
      </c>
      <c r="E1396" s="48">
        <v>0.71805555555555556</v>
      </c>
      <c r="F1396" s="48">
        <v>0.7284722222222223</v>
      </c>
      <c r="G1396" s="43">
        <f>(F1396-E1396)*1440</f>
        <v>15.000000000000107</v>
      </c>
      <c r="H1396" s="9" t="s">
        <v>1950</v>
      </c>
      <c r="I1396" s="9" t="s">
        <v>1367</v>
      </c>
      <c r="J1396" s="44">
        <v>10.1</v>
      </c>
      <c r="K1396" s="60">
        <v>7.02</v>
      </c>
      <c r="L1396" s="56">
        <v>5.26</v>
      </c>
      <c r="M1396" s="14">
        <f>K1396-L1396</f>
        <v>1.7599999999999998</v>
      </c>
      <c r="N1396" s="15">
        <f>IFERROR(M1396/K1396,0)</f>
        <v>0.25071225071225067</v>
      </c>
      <c r="O1396" s="14">
        <f>IFERROR(L1396/J1396,0)</f>
        <v>0.52079207920792081</v>
      </c>
      <c r="P1396" s="14">
        <f>IFERROR(L1396/G1396,0)</f>
        <v>0.35066666666666418</v>
      </c>
    </row>
    <row r="1397" spans="1:19" x14ac:dyDescent="0.3">
      <c r="A1397" s="9" t="s">
        <v>3193</v>
      </c>
      <c r="B1397" s="9" t="s">
        <v>26</v>
      </c>
      <c r="C1397" s="9" t="s">
        <v>27</v>
      </c>
      <c r="D1397" s="52">
        <v>46186</v>
      </c>
      <c r="E1397" s="48">
        <v>0.7319444444444444</v>
      </c>
      <c r="F1397" s="48">
        <v>0.7416666666666667</v>
      </c>
      <c r="G1397" s="43">
        <f>(F1397-E1397)*1440</f>
        <v>14.00000000000011</v>
      </c>
      <c r="H1397" s="9" t="s">
        <v>3386</v>
      </c>
      <c r="I1397" s="9" t="s">
        <v>1120</v>
      </c>
      <c r="J1397" s="44">
        <v>7.2</v>
      </c>
      <c r="K1397" s="60">
        <v>5.57</v>
      </c>
      <c r="L1397" s="56">
        <v>4.18</v>
      </c>
      <c r="M1397" s="14">
        <f>K1397-L1397</f>
        <v>1.3900000000000006</v>
      </c>
      <c r="N1397" s="15">
        <f>IFERROR(M1397/K1397,0)</f>
        <v>0.24955116696588878</v>
      </c>
      <c r="O1397" s="14">
        <f>IFERROR(L1397/J1397,0)</f>
        <v>0.58055555555555549</v>
      </c>
      <c r="P1397" s="14">
        <f>IFERROR(L1397/G1397,0)</f>
        <v>0.29857142857142621</v>
      </c>
    </row>
    <row r="1398" spans="1:19" x14ac:dyDescent="0.3">
      <c r="A1398" s="9" t="s">
        <v>3194</v>
      </c>
      <c r="B1398" s="9" t="s">
        <v>26</v>
      </c>
      <c r="C1398" s="9" t="s">
        <v>26</v>
      </c>
      <c r="D1398" s="52">
        <v>46186</v>
      </c>
      <c r="E1398" s="48">
        <v>0.7416666666666667</v>
      </c>
      <c r="F1398" s="48">
        <v>0.75069444444444444</v>
      </c>
      <c r="G1398" s="43">
        <f>(F1398-E1398)*1440</f>
        <v>12.999999999999954</v>
      </c>
      <c r="H1398" s="9" t="s">
        <v>1120</v>
      </c>
      <c r="I1398" s="9" t="s">
        <v>3387</v>
      </c>
      <c r="J1398" s="44">
        <v>7.8</v>
      </c>
      <c r="K1398" s="60">
        <v>6.98</v>
      </c>
      <c r="L1398" s="56">
        <v>5.23</v>
      </c>
      <c r="M1398" s="14">
        <f>K1398-L1398</f>
        <v>1.75</v>
      </c>
      <c r="N1398" s="15">
        <f>IFERROR(M1398/K1398,0)</f>
        <v>0.25071633237822349</v>
      </c>
      <c r="O1398" s="14">
        <f>IFERROR(L1398/J1398,0)</f>
        <v>0.67051282051282057</v>
      </c>
      <c r="P1398" s="14">
        <f>IFERROR(L1398/G1398,0)</f>
        <v>0.40230769230769375</v>
      </c>
    </row>
    <row r="1399" spans="1:19" x14ac:dyDescent="0.3">
      <c r="A1399" s="9" t="s">
        <v>3195</v>
      </c>
      <c r="B1399" s="9" t="s">
        <v>26</v>
      </c>
      <c r="C1399" s="9" t="s">
        <v>26</v>
      </c>
      <c r="D1399" s="52">
        <v>46186</v>
      </c>
      <c r="E1399" s="48">
        <v>0.77569444444444446</v>
      </c>
      <c r="F1399" s="48">
        <v>0.78125</v>
      </c>
      <c r="G1399" s="43">
        <f>(F1399-E1399)*1440</f>
        <v>7.9999999999999716</v>
      </c>
      <c r="H1399" s="9" t="s">
        <v>2003</v>
      </c>
      <c r="I1399" s="9" t="s">
        <v>3388</v>
      </c>
      <c r="J1399" s="44">
        <v>3.9</v>
      </c>
      <c r="K1399" s="60">
        <v>4.4000000000000004</v>
      </c>
      <c r="L1399" s="56">
        <v>3.3</v>
      </c>
      <c r="M1399" s="14">
        <f>K1399-L1399</f>
        <v>1.1000000000000005</v>
      </c>
      <c r="N1399" s="15">
        <f>IFERROR(M1399/K1399,0)</f>
        <v>0.25000000000000011</v>
      </c>
      <c r="O1399" s="14">
        <f>IFERROR(L1399/J1399,0)</f>
        <v>0.84615384615384615</v>
      </c>
      <c r="P1399" s="14">
        <f>IFERROR(L1399/G1399,0)</f>
        <v>0.41250000000000142</v>
      </c>
      <c r="R1399" s="57">
        <v>0.44</v>
      </c>
    </row>
    <row r="1400" spans="1:19" x14ac:dyDescent="0.3">
      <c r="A1400" s="9" t="s">
        <v>3196</v>
      </c>
      <c r="B1400" s="9" t="s">
        <v>26</v>
      </c>
      <c r="C1400" s="9" t="s">
        <v>27</v>
      </c>
      <c r="D1400" s="52">
        <v>46186</v>
      </c>
      <c r="E1400" s="48">
        <v>0.80763888888888891</v>
      </c>
      <c r="F1400" s="48">
        <v>0.81736111111111109</v>
      </c>
      <c r="G1400" s="43">
        <f>(F1400-E1400)*1440</f>
        <v>13.99999999999995</v>
      </c>
      <c r="H1400" s="9" t="s">
        <v>3389</v>
      </c>
      <c r="I1400" s="9" t="s">
        <v>3390</v>
      </c>
      <c r="J1400" s="44">
        <v>9.6999999999999993</v>
      </c>
      <c r="K1400" s="60">
        <v>8.01</v>
      </c>
      <c r="L1400" s="56">
        <v>6.01</v>
      </c>
      <c r="M1400" s="14">
        <f>K1400-L1400</f>
        <v>2</v>
      </c>
      <c r="N1400" s="15">
        <f>IFERROR(M1400/K1400,0)</f>
        <v>0.24968789013732834</v>
      </c>
      <c r="O1400" s="14">
        <f>IFERROR(L1400/J1400,0)</f>
        <v>0.6195876288659794</v>
      </c>
      <c r="P1400" s="14">
        <f>IFERROR(L1400/G1400,0)</f>
        <v>0.42928571428571577</v>
      </c>
    </row>
    <row r="1401" spans="1:19" x14ac:dyDescent="0.3">
      <c r="A1401" s="9" t="s">
        <v>3197</v>
      </c>
      <c r="B1401" s="9" t="s">
        <v>18</v>
      </c>
      <c r="C1401" s="9" t="s">
        <v>184</v>
      </c>
      <c r="D1401" s="52">
        <v>46186</v>
      </c>
      <c r="E1401" s="48">
        <v>0.57986111111111105</v>
      </c>
      <c r="F1401" s="48">
        <v>0.58611111111111114</v>
      </c>
      <c r="G1401" s="43">
        <f>(F1401-E1401)*1440</f>
        <v>9.0000000000001279</v>
      </c>
      <c r="H1401" s="9" t="s">
        <v>3391</v>
      </c>
      <c r="I1401" s="9" t="s">
        <v>1207</v>
      </c>
      <c r="J1401" s="44">
        <v>6.4</v>
      </c>
      <c r="K1401" s="60">
        <v>4.93</v>
      </c>
      <c r="L1401" s="56">
        <v>3.99</v>
      </c>
      <c r="M1401" s="14">
        <f>K1401-L1401</f>
        <v>0.9399999999999995</v>
      </c>
      <c r="N1401" s="15">
        <f>IFERROR(M1401/K1401,0)</f>
        <v>0.19066937119675448</v>
      </c>
      <c r="O1401" s="14">
        <f>IFERROR(L1401/J1401,0)</f>
        <v>0.62343749999999998</v>
      </c>
      <c r="P1401" s="14">
        <f>IFERROR(L1401/G1401,0)</f>
        <v>0.44333333333332708</v>
      </c>
    </row>
    <row r="1402" spans="1:19" x14ac:dyDescent="0.3">
      <c r="A1402" s="9" t="s">
        <v>3198</v>
      </c>
      <c r="B1402" s="9" t="s">
        <v>18</v>
      </c>
      <c r="C1402" s="9" t="s">
        <v>184</v>
      </c>
      <c r="D1402" s="52">
        <v>46186</v>
      </c>
      <c r="E1402" s="48">
        <v>0.58888888888888891</v>
      </c>
      <c r="F1402" s="48">
        <v>0.59930555555555554</v>
      </c>
      <c r="G1402" s="43">
        <f>(F1402-E1402)*1440</f>
        <v>14.999999999999947</v>
      </c>
      <c r="H1402" s="9" t="s">
        <v>1207</v>
      </c>
      <c r="I1402" s="9" t="s">
        <v>3392</v>
      </c>
      <c r="J1402" s="44">
        <v>6.95</v>
      </c>
      <c r="K1402" s="60">
        <v>6.94</v>
      </c>
      <c r="L1402" s="56">
        <v>4.54</v>
      </c>
      <c r="M1402" s="14">
        <f>K1402-L1402</f>
        <v>2.4000000000000004</v>
      </c>
      <c r="N1402" s="15">
        <f>IFERROR(M1402/K1402,0)</f>
        <v>0.345821325648415</v>
      </c>
      <c r="O1402" s="14">
        <f>IFERROR(L1402/J1402,0)</f>
        <v>0.65323741007194247</v>
      </c>
      <c r="P1402" s="14">
        <f>IFERROR(L1402/G1402,0)</f>
        <v>0.30266666666666775</v>
      </c>
    </row>
    <row r="1403" spans="1:19" x14ac:dyDescent="0.3">
      <c r="A1403" s="9" t="s">
        <v>3199</v>
      </c>
      <c r="B1403" s="9" t="s">
        <v>18</v>
      </c>
      <c r="C1403" s="9" t="s">
        <v>184</v>
      </c>
      <c r="D1403" s="52">
        <v>46186</v>
      </c>
      <c r="E1403" s="48">
        <v>0.60277777777777775</v>
      </c>
      <c r="F1403" s="48">
        <v>0.625</v>
      </c>
      <c r="G1403" s="43">
        <f>(F1403-E1403)*1440</f>
        <v>32.000000000000043</v>
      </c>
      <c r="H1403" s="9" t="s">
        <v>3393</v>
      </c>
      <c r="I1403" s="9" t="s">
        <v>3394</v>
      </c>
      <c r="J1403" s="44">
        <v>28.4</v>
      </c>
      <c r="K1403" s="60">
        <v>19.95</v>
      </c>
      <c r="L1403" s="56">
        <v>12.51</v>
      </c>
      <c r="M1403" s="14">
        <f>K1403-L1403</f>
        <v>7.4399999999999995</v>
      </c>
      <c r="N1403" s="15">
        <f>IFERROR(M1403/K1403,0)</f>
        <v>0.37293233082706767</v>
      </c>
      <c r="O1403" s="14">
        <f>IFERROR(L1403/J1403,0)</f>
        <v>0.4404929577464789</v>
      </c>
      <c r="P1403" s="14">
        <f>IFERROR(L1403/G1403,0)</f>
        <v>0.39093749999999949</v>
      </c>
    </row>
    <row r="1404" spans="1:19" x14ac:dyDescent="0.3">
      <c r="A1404" s="9" t="s">
        <v>3200</v>
      </c>
      <c r="B1404" s="9" t="s">
        <v>18</v>
      </c>
      <c r="C1404" s="9" t="s">
        <v>184</v>
      </c>
      <c r="D1404" s="52">
        <v>46186</v>
      </c>
      <c r="E1404" s="48">
        <v>0.62638888888888888</v>
      </c>
      <c r="F1404" s="48">
        <v>0.6479166666666667</v>
      </c>
      <c r="G1404" s="43">
        <f>(F1404-E1404)*1440</f>
        <v>31.00000000000005</v>
      </c>
      <c r="H1404" s="9" t="s">
        <v>3395</v>
      </c>
      <c r="I1404" s="9" t="s">
        <v>1120</v>
      </c>
      <c r="J1404" s="44">
        <v>26.81</v>
      </c>
      <c r="K1404" s="60">
        <v>15.55</v>
      </c>
      <c r="L1404" s="56">
        <v>11.1</v>
      </c>
      <c r="M1404" s="14">
        <f>K1404-L1404</f>
        <v>4.4500000000000011</v>
      </c>
      <c r="N1404" s="15">
        <f>IFERROR(M1404/K1404,0)</f>
        <v>0.28617363344051455</v>
      </c>
      <c r="O1404" s="14">
        <f>IFERROR(L1404/J1404,0)</f>
        <v>0.41402461767997017</v>
      </c>
      <c r="P1404" s="14">
        <f>IFERROR(L1404/G1404,0)</f>
        <v>0.35806451612903167</v>
      </c>
    </row>
    <row r="1405" spans="1:19" x14ac:dyDescent="0.3">
      <c r="A1405" s="9" t="s">
        <v>3201</v>
      </c>
      <c r="B1405" s="9" t="s">
        <v>18</v>
      </c>
      <c r="C1405" s="9" t="s">
        <v>184</v>
      </c>
      <c r="D1405" s="52">
        <v>46186</v>
      </c>
      <c r="E1405" s="48">
        <v>0.69861111111111107</v>
      </c>
      <c r="F1405" s="48">
        <v>0.70694444444444438</v>
      </c>
      <c r="G1405" s="43">
        <f>(F1405-E1405)*1440</f>
        <v>11.999999999999957</v>
      </c>
      <c r="H1405" s="9" t="s">
        <v>214</v>
      </c>
      <c r="I1405" s="9" t="s">
        <v>2218</v>
      </c>
      <c r="J1405" s="44">
        <v>8.44</v>
      </c>
      <c r="K1405" s="60">
        <v>6.95</v>
      </c>
      <c r="L1405" s="56">
        <v>5.12</v>
      </c>
      <c r="M1405" s="14">
        <f>K1405-L1405</f>
        <v>1.83</v>
      </c>
      <c r="N1405" s="15">
        <f>IFERROR(M1405/K1405,0)</f>
        <v>0.2633093525179856</v>
      </c>
      <c r="O1405" s="14">
        <f>IFERROR(L1405/J1405,0)</f>
        <v>0.60663507109004744</v>
      </c>
      <c r="P1405" s="14">
        <f>IFERROR(L1405/G1405,0)</f>
        <v>0.42666666666666819</v>
      </c>
    </row>
    <row r="1406" spans="1:19" x14ac:dyDescent="0.3">
      <c r="A1406" s="9" t="s">
        <v>3202</v>
      </c>
      <c r="B1406" s="9" t="s">
        <v>18</v>
      </c>
      <c r="C1406" s="9" t="s">
        <v>184</v>
      </c>
      <c r="D1406" s="52">
        <v>46186</v>
      </c>
      <c r="E1406" s="48">
        <v>0.75069444444444444</v>
      </c>
      <c r="F1406" s="48">
        <v>0.76388888888888884</v>
      </c>
      <c r="G1406" s="43">
        <f>(F1406-E1406)*1440</f>
        <v>18.999999999999932</v>
      </c>
      <c r="H1406" s="9" t="s">
        <v>3396</v>
      </c>
      <c r="I1406" s="9" t="s">
        <v>233</v>
      </c>
      <c r="J1406" s="44">
        <v>13.43</v>
      </c>
      <c r="K1406" s="60">
        <v>8.9499999999999993</v>
      </c>
      <c r="L1406" s="56">
        <v>5.82</v>
      </c>
      <c r="M1406" s="14">
        <f>K1406-L1406</f>
        <v>3.129999999999999</v>
      </c>
      <c r="N1406" s="15">
        <f>IFERROR(M1406/K1406,0)</f>
        <v>0.34972067039106136</v>
      </c>
      <c r="O1406" s="14">
        <f>IFERROR(L1406/J1406,0)</f>
        <v>0.43335815338793748</v>
      </c>
      <c r="P1406" s="14">
        <f>IFERROR(L1406/G1406,0)</f>
        <v>0.30631578947368532</v>
      </c>
      <c r="S1406" s="61">
        <v>2</v>
      </c>
    </row>
    <row r="1407" spans="1:19" x14ac:dyDescent="0.3">
      <c r="A1407" s="9" t="s">
        <v>3203</v>
      </c>
      <c r="B1407" s="9" t="s">
        <v>18</v>
      </c>
      <c r="C1407" s="9" t="s">
        <v>184</v>
      </c>
      <c r="D1407" s="52">
        <v>46186</v>
      </c>
      <c r="E1407" s="48">
        <v>0.82291666666666663</v>
      </c>
      <c r="F1407" s="48">
        <v>0.84166666666666667</v>
      </c>
      <c r="G1407" s="43">
        <f>(F1407-E1407)*1440</f>
        <v>27.000000000000064</v>
      </c>
      <c r="H1407" s="9" t="s">
        <v>874</v>
      </c>
      <c r="I1407" s="9" t="s">
        <v>3397</v>
      </c>
      <c r="J1407" s="44">
        <v>25.41</v>
      </c>
      <c r="K1407" s="60">
        <v>14.96</v>
      </c>
      <c r="L1407" s="56">
        <v>11.19</v>
      </c>
      <c r="M1407" s="14">
        <f>K1407-L1407</f>
        <v>3.7700000000000014</v>
      </c>
      <c r="N1407" s="15">
        <f>IFERROR(M1407/K1407,0)</f>
        <v>0.25200534759358295</v>
      </c>
      <c r="O1407" s="14">
        <f>IFERROR(L1407/J1407,0)</f>
        <v>0.44037780401416765</v>
      </c>
      <c r="P1407" s="14">
        <f>IFERROR(L1407/G1407,0)</f>
        <v>0.41444444444444345</v>
      </c>
    </row>
    <row r="1408" spans="1:19" x14ac:dyDescent="0.3">
      <c r="A1408" s="9" t="s">
        <v>3204</v>
      </c>
      <c r="B1408" s="9" t="s">
        <v>18</v>
      </c>
      <c r="C1408" s="9" t="s">
        <v>184</v>
      </c>
      <c r="D1408" s="52">
        <v>46186</v>
      </c>
      <c r="E1408" s="48">
        <v>0.84791666666666676</v>
      </c>
      <c r="F1408" s="48">
        <v>0.85138888888888886</v>
      </c>
      <c r="G1408" s="43">
        <f>(F1408-E1408)*1440</f>
        <v>4.9999999999998224</v>
      </c>
      <c r="H1408" s="9" t="s">
        <v>3398</v>
      </c>
      <c r="I1408" s="9" t="s">
        <v>231</v>
      </c>
      <c r="J1408" s="44">
        <v>2.12</v>
      </c>
      <c r="K1408" s="60">
        <v>8.9700000000000006</v>
      </c>
      <c r="L1408" s="56">
        <v>6.44</v>
      </c>
      <c r="M1408" s="14">
        <f>K1408-L1408</f>
        <v>2.5300000000000002</v>
      </c>
      <c r="N1408" s="15">
        <f>IFERROR(M1408/K1408,0)</f>
        <v>0.28205128205128205</v>
      </c>
      <c r="O1408" s="14">
        <f>IFERROR(L1408/J1408,0)</f>
        <v>3.0377358490566038</v>
      </c>
      <c r="P1408" s="14">
        <f>IFERROR(L1408/G1408,0)</f>
        <v>1.2880000000000458</v>
      </c>
    </row>
    <row r="1409" spans="1:19" x14ac:dyDescent="0.3">
      <c r="A1409" s="9" t="s">
        <v>3205</v>
      </c>
      <c r="B1409" s="9" t="s">
        <v>18</v>
      </c>
      <c r="C1409" s="9" t="s">
        <v>184</v>
      </c>
      <c r="D1409" s="52">
        <v>46187</v>
      </c>
      <c r="E1409" s="48">
        <v>0.54652777777777783</v>
      </c>
      <c r="F1409" s="48">
        <v>0.55833333333333335</v>
      </c>
      <c r="G1409" s="43">
        <f>(F1409-E1409)*1440</f>
        <v>16.99999999999994</v>
      </c>
      <c r="H1409" s="9" t="s">
        <v>1221</v>
      </c>
      <c r="I1409" s="9" t="s">
        <v>1120</v>
      </c>
      <c r="J1409" s="44">
        <v>18.48</v>
      </c>
      <c r="K1409" s="60">
        <v>11.96</v>
      </c>
      <c r="L1409" s="56">
        <v>7.77</v>
      </c>
      <c r="M1409" s="14">
        <f>K1409-L1409</f>
        <v>4.1900000000000013</v>
      </c>
      <c r="N1409" s="15">
        <f>IFERROR(M1409/K1409,0)</f>
        <v>0.35033444816053522</v>
      </c>
      <c r="O1409" s="14">
        <f>IFERROR(L1409/J1409,0)</f>
        <v>0.42045454545454541</v>
      </c>
      <c r="P1409" s="14">
        <f>IFERROR(L1409/G1409,0)</f>
        <v>0.45705882352941335</v>
      </c>
    </row>
    <row r="1410" spans="1:19" x14ac:dyDescent="0.3">
      <c r="A1410" s="9" t="s">
        <v>3206</v>
      </c>
      <c r="B1410" s="9" t="s">
        <v>18</v>
      </c>
      <c r="C1410" s="9" t="s">
        <v>184</v>
      </c>
      <c r="D1410" s="52">
        <v>46187</v>
      </c>
      <c r="E1410" s="48">
        <v>0.57222222222222219</v>
      </c>
      <c r="F1410" s="48">
        <v>0.60416666666666663</v>
      </c>
      <c r="G1410" s="43">
        <f>(F1410-E1410)*1440</f>
        <v>46</v>
      </c>
      <c r="H1410" s="9" t="s">
        <v>3399</v>
      </c>
      <c r="I1410" s="9" t="s">
        <v>234</v>
      </c>
      <c r="J1410" s="44">
        <v>43.17</v>
      </c>
      <c r="K1410" s="60">
        <v>28.27</v>
      </c>
      <c r="L1410" s="56">
        <v>17.649999999999999</v>
      </c>
      <c r="M1410" s="14">
        <f>K1410-L1410</f>
        <v>10.620000000000001</v>
      </c>
      <c r="N1410" s="15">
        <f>IFERROR(M1410/K1410,0)</f>
        <v>0.37566324725857803</v>
      </c>
      <c r="O1410" s="14">
        <f>IFERROR(L1410/J1410,0)</f>
        <v>0.40884873754922396</v>
      </c>
      <c r="P1410" s="14">
        <f>IFERROR(L1410/G1410,0)</f>
        <v>0.38369565217391299</v>
      </c>
    </row>
    <row r="1411" spans="1:19" x14ac:dyDescent="0.3">
      <c r="A1411" s="9" t="s">
        <v>3207</v>
      </c>
      <c r="B1411" s="9" t="s">
        <v>18</v>
      </c>
      <c r="C1411" s="9" t="s">
        <v>196</v>
      </c>
      <c r="D1411" s="52">
        <v>46187</v>
      </c>
      <c r="E1411" s="48">
        <v>0.60972222222222217</v>
      </c>
      <c r="F1411" s="48">
        <v>0.61527777777777781</v>
      </c>
      <c r="G1411" s="43">
        <f>(F1411-E1411)*1440</f>
        <v>8.0000000000001315</v>
      </c>
      <c r="H1411" s="9" t="s">
        <v>214</v>
      </c>
      <c r="I1411" s="9" t="s">
        <v>3400</v>
      </c>
      <c r="J1411" s="44">
        <v>5.24</v>
      </c>
      <c r="K1411" s="60">
        <v>7.04</v>
      </c>
      <c r="L1411" s="56">
        <v>4.54</v>
      </c>
      <c r="M1411" s="14">
        <f>K1411-L1411</f>
        <v>2.5</v>
      </c>
      <c r="N1411" s="15">
        <f>IFERROR(M1411/K1411,0)</f>
        <v>0.35511363636363635</v>
      </c>
      <c r="O1411" s="14">
        <f>IFERROR(L1411/J1411,0)</f>
        <v>0.86641221374045796</v>
      </c>
      <c r="P1411" s="14">
        <f>IFERROR(L1411/G1411,0)</f>
        <v>0.56749999999999068</v>
      </c>
    </row>
    <row r="1412" spans="1:19" x14ac:dyDescent="0.3">
      <c r="A1412" s="9" t="s">
        <v>3208</v>
      </c>
      <c r="B1412" s="9" t="s">
        <v>18</v>
      </c>
      <c r="C1412" s="9" t="s">
        <v>184</v>
      </c>
      <c r="D1412" s="52">
        <v>46187</v>
      </c>
      <c r="E1412" s="48">
        <v>0.61597222222222225</v>
      </c>
      <c r="F1412" s="48">
        <v>0.625</v>
      </c>
      <c r="G1412" s="43">
        <f>(F1412-E1412)*1440</f>
        <v>12.999999999999954</v>
      </c>
      <c r="H1412" s="9" t="s">
        <v>2580</v>
      </c>
      <c r="I1412" s="9" t="s">
        <v>2166</v>
      </c>
      <c r="J1412" s="44">
        <v>7.02</v>
      </c>
      <c r="K1412" s="60">
        <v>5.95</v>
      </c>
      <c r="L1412" s="56">
        <v>4.2</v>
      </c>
      <c r="M1412" s="14">
        <f>K1412-L1412</f>
        <v>1.75</v>
      </c>
      <c r="N1412" s="15">
        <f>IFERROR(M1412/K1412,0)</f>
        <v>0.29411764705882354</v>
      </c>
      <c r="O1412" s="14">
        <f>IFERROR(L1412/J1412,0)</f>
        <v>0.59829059829059839</v>
      </c>
      <c r="P1412" s="14">
        <f>IFERROR(L1412/G1412,0)</f>
        <v>0.32307692307692426</v>
      </c>
    </row>
    <row r="1413" spans="1:19" x14ac:dyDescent="0.3">
      <c r="A1413" s="9" t="s">
        <v>3209</v>
      </c>
      <c r="B1413" s="9" t="s">
        <v>18</v>
      </c>
      <c r="C1413" s="9" t="s">
        <v>184</v>
      </c>
      <c r="D1413" s="52">
        <v>46187</v>
      </c>
      <c r="E1413" s="48">
        <v>0.66041666666666665</v>
      </c>
      <c r="F1413" s="48">
        <v>0.67222222222222217</v>
      </c>
      <c r="G1413" s="43">
        <f>(F1413-E1413)*1440</f>
        <v>16.99999999999994</v>
      </c>
      <c r="H1413" s="9" t="s">
        <v>3401</v>
      </c>
      <c r="I1413" s="9" t="s">
        <v>3402</v>
      </c>
      <c r="J1413" s="44">
        <v>11.22</v>
      </c>
      <c r="K1413" s="60">
        <v>9.9499999999999993</v>
      </c>
      <c r="L1413" s="56">
        <v>6.47</v>
      </c>
      <c r="M1413" s="14">
        <f>K1413-L1413</f>
        <v>3.4799999999999995</v>
      </c>
      <c r="N1413" s="15">
        <f>IFERROR(M1413/K1413,0)</f>
        <v>0.34974874371859294</v>
      </c>
      <c r="O1413" s="14">
        <f>IFERROR(L1413/J1413,0)</f>
        <v>0.57664884135472361</v>
      </c>
      <c r="P1413" s="14">
        <f>IFERROR(L1413/G1413,0)</f>
        <v>0.380588235294119</v>
      </c>
    </row>
    <row r="1414" spans="1:19" x14ac:dyDescent="0.3">
      <c r="A1414" s="9" t="s">
        <v>3210</v>
      </c>
      <c r="B1414" s="9" t="s">
        <v>18</v>
      </c>
      <c r="C1414" s="9" t="s">
        <v>184</v>
      </c>
      <c r="D1414" s="52">
        <v>46187</v>
      </c>
      <c r="E1414" s="48">
        <v>0.67291666666666661</v>
      </c>
      <c r="F1414" s="48">
        <v>0.67986111111111114</v>
      </c>
      <c r="G1414" s="43">
        <f>(F1414-E1414)*1440</f>
        <v>10.000000000000124</v>
      </c>
      <c r="H1414" s="9" t="s">
        <v>3403</v>
      </c>
      <c r="I1414" s="9" t="s">
        <v>3366</v>
      </c>
      <c r="J1414" s="44">
        <v>5.59</v>
      </c>
      <c r="K1414" s="60">
        <v>4.9400000000000004</v>
      </c>
      <c r="L1414" s="56">
        <v>4.55</v>
      </c>
      <c r="M1414" s="14">
        <f>K1414-L1414</f>
        <v>0.39000000000000057</v>
      </c>
      <c r="N1414" s="15">
        <f>IFERROR(M1414/K1414,0)</f>
        <v>7.8947368421052738E-2</v>
      </c>
      <c r="O1414" s="14">
        <f>IFERROR(L1414/J1414,0)</f>
        <v>0.81395348837209303</v>
      </c>
      <c r="P1414" s="14">
        <f>IFERROR(L1414/G1414,0)</f>
        <v>0.4549999999999943</v>
      </c>
    </row>
    <row r="1415" spans="1:19" x14ac:dyDescent="0.3">
      <c r="A1415" s="9" t="s">
        <v>3211</v>
      </c>
      <c r="B1415" s="9" t="s">
        <v>18</v>
      </c>
      <c r="C1415" s="9" t="s">
        <v>184</v>
      </c>
      <c r="D1415" s="52">
        <v>46187</v>
      </c>
      <c r="E1415" s="48">
        <v>0.68680555555555556</v>
      </c>
      <c r="F1415" s="48">
        <v>0.69236111111111109</v>
      </c>
      <c r="G1415" s="43">
        <f>(F1415-E1415)*1440</f>
        <v>7.9999999999999716</v>
      </c>
      <c r="H1415" s="9" t="s">
        <v>2797</v>
      </c>
      <c r="I1415" s="9" t="s">
        <v>582</v>
      </c>
      <c r="J1415" s="44">
        <v>5.65</v>
      </c>
      <c r="K1415" s="60">
        <v>4.95</v>
      </c>
      <c r="L1415" s="56">
        <v>3.64</v>
      </c>
      <c r="M1415" s="14">
        <f>K1415-L1415</f>
        <v>1.31</v>
      </c>
      <c r="N1415" s="15">
        <f>IFERROR(M1415/K1415,0)</f>
        <v>0.26464646464646463</v>
      </c>
      <c r="O1415" s="14">
        <f>IFERROR(L1415/J1415,0)</f>
        <v>0.6442477876106194</v>
      </c>
      <c r="P1415" s="14">
        <f>IFERROR(L1415/G1415,0)</f>
        <v>0.45500000000000163</v>
      </c>
    </row>
    <row r="1416" spans="1:19" x14ac:dyDescent="0.3">
      <c r="A1416" s="9" t="s">
        <v>3212</v>
      </c>
      <c r="B1416" s="9" t="s">
        <v>18</v>
      </c>
      <c r="C1416" s="9" t="s">
        <v>184</v>
      </c>
      <c r="D1416" s="52">
        <v>46187</v>
      </c>
      <c r="E1416" s="48">
        <v>0.69513888888888886</v>
      </c>
      <c r="F1416" s="48">
        <v>0.70486111111111116</v>
      </c>
      <c r="G1416" s="43">
        <f>(F1416-E1416)*1440</f>
        <v>14.00000000000011</v>
      </c>
      <c r="H1416" s="9" t="s">
        <v>582</v>
      </c>
      <c r="I1416" s="9" t="s">
        <v>3404</v>
      </c>
      <c r="J1416" s="44">
        <v>5.27</v>
      </c>
      <c r="K1416" s="60">
        <v>5.94</v>
      </c>
      <c r="L1416" s="56">
        <v>5.39</v>
      </c>
      <c r="M1416" s="14">
        <f>K1416-L1416</f>
        <v>0.55000000000000071</v>
      </c>
      <c r="N1416" s="15">
        <f>IFERROR(M1416/K1416,0)</f>
        <v>9.2592592592592712E-2</v>
      </c>
      <c r="O1416" s="14">
        <f>IFERROR(L1416/J1416,0)</f>
        <v>1.0227703984819734</v>
      </c>
      <c r="P1416" s="14">
        <f>IFERROR(L1416/G1416,0)</f>
        <v>0.38499999999999696</v>
      </c>
      <c r="S1416" s="61">
        <v>0.5</v>
      </c>
    </row>
    <row r="1417" spans="1:19" x14ac:dyDescent="0.3">
      <c r="A1417" s="9" t="s">
        <v>3213</v>
      </c>
      <c r="B1417" s="9" t="s">
        <v>18</v>
      </c>
      <c r="C1417" s="9" t="s">
        <v>184</v>
      </c>
      <c r="D1417" s="52">
        <v>46187</v>
      </c>
      <c r="E1417" s="48">
        <v>0.7055555555555556</v>
      </c>
      <c r="F1417" s="48">
        <v>0.71666666666666667</v>
      </c>
      <c r="G1417" s="43">
        <f>(F1417-E1417)*1440</f>
        <v>15.999999999999943</v>
      </c>
      <c r="H1417" s="9" t="s">
        <v>3404</v>
      </c>
      <c r="I1417" s="9" t="s">
        <v>561</v>
      </c>
      <c r="J1417" s="44">
        <v>6.12</v>
      </c>
      <c r="K1417" s="60">
        <v>6.96</v>
      </c>
      <c r="L1417" s="56">
        <v>4.5199999999999996</v>
      </c>
      <c r="M1417" s="14">
        <f>K1417-L1417</f>
        <v>2.4400000000000004</v>
      </c>
      <c r="N1417" s="15">
        <f>IFERROR(M1417/K1417,0)</f>
        <v>0.35057471264367823</v>
      </c>
      <c r="O1417" s="14">
        <f>IFERROR(L1417/J1417,0)</f>
        <v>0.7385620915032679</v>
      </c>
      <c r="P1417" s="14">
        <f>IFERROR(L1417/G1417,0)</f>
        <v>0.28250000000000097</v>
      </c>
      <c r="S1417" s="61">
        <v>1</v>
      </c>
    </row>
    <row r="1418" spans="1:19" x14ac:dyDescent="0.3">
      <c r="A1418" s="9" t="s">
        <v>3214</v>
      </c>
      <c r="B1418" s="9" t="s">
        <v>18</v>
      </c>
      <c r="C1418" s="9" t="s">
        <v>184</v>
      </c>
      <c r="D1418" s="52">
        <v>46187</v>
      </c>
      <c r="E1418" s="48">
        <v>0.71666666666666667</v>
      </c>
      <c r="F1418" s="48">
        <v>0.7368055555555556</v>
      </c>
      <c r="G1418" s="43">
        <f>(F1418-E1418)*1440</f>
        <v>29.000000000000057</v>
      </c>
      <c r="H1418" s="9" t="s">
        <v>1945</v>
      </c>
      <c r="I1418" s="9" t="s">
        <v>1120</v>
      </c>
      <c r="J1418" s="44">
        <v>13.96</v>
      </c>
      <c r="K1418" s="60">
        <v>11.94</v>
      </c>
      <c r="L1418" s="56">
        <v>7.76</v>
      </c>
      <c r="M1418" s="14">
        <f>K1418-L1418</f>
        <v>4.18</v>
      </c>
      <c r="N1418" s="15">
        <f>IFERROR(M1418/K1418,0)</f>
        <v>0.35008375209380233</v>
      </c>
      <c r="O1418" s="14">
        <f>IFERROR(L1418/J1418,0)</f>
        <v>0.55587392550143266</v>
      </c>
      <c r="P1418" s="14">
        <f>IFERROR(L1418/G1418,0)</f>
        <v>0.26758620689655122</v>
      </c>
      <c r="S1418" s="61">
        <v>1</v>
      </c>
    </row>
    <row r="1419" spans="1:19" x14ac:dyDescent="0.3">
      <c r="A1419" s="9" t="s">
        <v>3215</v>
      </c>
      <c r="B1419" s="9" t="s">
        <v>18</v>
      </c>
      <c r="C1419" s="9" t="s">
        <v>184</v>
      </c>
      <c r="D1419" s="52">
        <v>46187</v>
      </c>
      <c r="E1419" s="48">
        <v>0.77916666666666667</v>
      </c>
      <c r="F1419" s="48">
        <v>0.78402777777777777</v>
      </c>
      <c r="G1419" s="43">
        <f>(F1419-E1419)*1440</f>
        <v>6.9999999999999751</v>
      </c>
      <c r="H1419" s="9" t="s">
        <v>3405</v>
      </c>
      <c r="I1419" s="9" t="s">
        <v>621</v>
      </c>
      <c r="J1419" s="44">
        <v>2.91</v>
      </c>
      <c r="K1419" s="60">
        <v>4.95</v>
      </c>
      <c r="L1419" s="56">
        <v>3.38</v>
      </c>
      <c r="M1419" s="14">
        <f>K1419-L1419</f>
        <v>1.5700000000000003</v>
      </c>
      <c r="N1419" s="15">
        <f>IFERROR(M1419/K1419,0)</f>
        <v>0.31717171717171722</v>
      </c>
      <c r="O1419" s="14">
        <f>IFERROR(L1419/J1419,0)</f>
        <v>1.1615120274914088</v>
      </c>
      <c r="P1419" s="14">
        <f>IFERROR(L1419/G1419,0)</f>
        <v>0.48285714285714454</v>
      </c>
    </row>
    <row r="1420" spans="1:19" x14ac:dyDescent="0.3">
      <c r="A1420" s="9" t="s">
        <v>3216</v>
      </c>
      <c r="B1420" s="9" t="s">
        <v>18</v>
      </c>
      <c r="C1420" s="9" t="s">
        <v>196</v>
      </c>
      <c r="D1420" s="52">
        <v>46187</v>
      </c>
      <c r="E1420" s="48">
        <v>0.78472222222222221</v>
      </c>
      <c r="F1420" s="48">
        <v>0.7909722222222223</v>
      </c>
      <c r="G1420" s="43">
        <f>(F1420-E1420)*1440</f>
        <v>9.0000000000001279</v>
      </c>
      <c r="H1420" s="9" t="s">
        <v>3406</v>
      </c>
      <c r="I1420" s="9" t="s">
        <v>3407</v>
      </c>
      <c r="J1420" s="44">
        <v>5.05</v>
      </c>
      <c r="K1420" s="60">
        <v>6.41</v>
      </c>
      <c r="L1420" s="56">
        <v>4.12</v>
      </c>
      <c r="M1420" s="14">
        <f>K1420-L1420</f>
        <v>2.29</v>
      </c>
      <c r="N1420" s="15">
        <f>IFERROR(M1420/K1420,0)</f>
        <v>0.35725429017160687</v>
      </c>
      <c r="O1420" s="14">
        <f>IFERROR(L1420/J1420,0)</f>
        <v>0.8158415841584159</v>
      </c>
      <c r="P1420" s="14">
        <f>IFERROR(L1420/G1420,0)</f>
        <v>0.45777777777777129</v>
      </c>
    </row>
    <row r="1421" spans="1:19" x14ac:dyDescent="0.3">
      <c r="A1421" s="9" t="s">
        <v>3217</v>
      </c>
      <c r="B1421" s="9" t="s">
        <v>18</v>
      </c>
      <c r="C1421" s="9" t="s">
        <v>184</v>
      </c>
      <c r="D1421" s="52">
        <v>46187</v>
      </c>
      <c r="E1421" s="48">
        <v>0.85902777777777783</v>
      </c>
      <c r="F1421" s="48">
        <v>0.87291666666666667</v>
      </c>
      <c r="G1421" s="43">
        <f>(F1421-E1421)*1440</f>
        <v>19.999999999999929</v>
      </c>
      <c r="H1421" s="9" t="s">
        <v>3408</v>
      </c>
      <c r="I1421" s="9" t="s">
        <v>3409</v>
      </c>
      <c r="J1421" s="44">
        <v>19.3</v>
      </c>
      <c r="K1421" s="60">
        <v>12.96</v>
      </c>
      <c r="L1421" s="56">
        <v>8.42</v>
      </c>
      <c r="M1421" s="14">
        <f>K1421-L1421</f>
        <v>4.5400000000000009</v>
      </c>
      <c r="N1421" s="15">
        <f>IFERROR(M1421/K1421,0)</f>
        <v>0.3503086419753087</v>
      </c>
      <c r="O1421" s="14">
        <f>IFERROR(L1421/J1421,0)</f>
        <v>0.43626943005181346</v>
      </c>
      <c r="P1421" s="14">
        <f>IFERROR(L1421/G1421,0)</f>
        <v>0.42100000000000148</v>
      </c>
    </row>
    <row r="1422" spans="1:19" x14ac:dyDescent="0.3">
      <c r="A1422" s="9" t="s">
        <v>3218</v>
      </c>
      <c r="B1422" s="9" t="s">
        <v>26</v>
      </c>
      <c r="C1422" s="9" t="s">
        <v>26</v>
      </c>
      <c r="D1422" s="52">
        <v>46187</v>
      </c>
      <c r="E1422" s="48">
        <v>0.80347222222222225</v>
      </c>
      <c r="F1422" s="48">
        <v>0.81319444444444444</v>
      </c>
      <c r="G1422" s="43">
        <f>(F1422-E1422)*1440</f>
        <v>13.99999999999995</v>
      </c>
      <c r="H1422" s="9" t="s">
        <v>3410</v>
      </c>
      <c r="I1422" s="9" t="s">
        <v>3411</v>
      </c>
      <c r="J1422" s="44">
        <v>6.5</v>
      </c>
      <c r="K1422" s="60">
        <v>4.2699999999999996</v>
      </c>
      <c r="L1422" s="56">
        <v>4</v>
      </c>
      <c r="M1422" s="14">
        <f>K1422-L1422</f>
        <v>0.26999999999999957</v>
      </c>
      <c r="N1422" s="15">
        <f>IFERROR(M1422/K1422,0)</f>
        <v>6.3231850117095922E-2</v>
      </c>
      <c r="O1422" s="14">
        <f>IFERROR(L1422/J1422,0)</f>
        <v>0.61538461538461542</v>
      </c>
      <c r="P1422" s="14">
        <f>IFERROR(L1422/G1422,0)</f>
        <v>0.28571428571428675</v>
      </c>
    </row>
    <row r="1423" spans="1:19" x14ac:dyDescent="0.3">
      <c r="A1423" s="9" t="s">
        <v>3219</v>
      </c>
      <c r="B1423" s="9" t="s">
        <v>26</v>
      </c>
      <c r="C1423" s="9" t="s">
        <v>27</v>
      </c>
      <c r="D1423" s="52">
        <v>46187</v>
      </c>
      <c r="E1423" s="48">
        <v>0.81874999999999998</v>
      </c>
      <c r="F1423" s="48">
        <v>0.83819444444444446</v>
      </c>
      <c r="G1423" s="43">
        <f>(F1423-E1423)*1440</f>
        <v>28.00000000000006</v>
      </c>
      <c r="H1423" s="9" t="s">
        <v>531</v>
      </c>
      <c r="I1423" s="9" t="s">
        <v>3412</v>
      </c>
      <c r="J1423" s="44">
        <v>16.3</v>
      </c>
      <c r="K1423" s="60">
        <v>9.85</v>
      </c>
      <c r="L1423" s="56">
        <v>7.39</v>
      </c>
      <c r="M1423" s="14">
        <f>K1423-L1423</f>
        <v>2.46</v>
      </c>
      <c r="N1423" s="15">
        <f>IFERROR(M1423/K1423,0)</f>
        <v>0.24974619289340103</v>
      </c>
      <c r="O1423" s="14">
        <f>IFERROR(L1423/J1423,0)</f>
        <v>0.45337423312883429</v>
      </c>
      <c r="P1423" s="14">
        <f>IFERROR(L1423/G1423,0)</f>
        <v>0.26392857142857085</v>
      </c>
    </row>
    <row r="1424" spans="1:19" x14ac:dyDescent="0.3">
      <c r="A1424" s="9" t="s">
        <v>3220</v>
      </c>
      <c r="B1424" s="9" t="s">
        <v>26</v>
      </c>
      <c r="C1424" s="9" t="s">
        <v>26</v>
      </c>
      <c r="D1424" s="52">
        <v>46187</v>
      </c>
      <c r="E1424" s="48">
        <v>0.84513888888888899</v>
      </c>
      <c r="F1424" s="48">
        <v>0.85972222222222217</v>
      </c>
      <c r="G1424" s="43">
        <f>(F1424-E1424)*1440</f>
        <v>20.999999999999766</v>
      </c>
      <c r="H1424" s="9" t="s">
        <v>698</v>
      </c>
      <c r="I1424" s="9" t="s">
        <v>3413</v>
      </c>
      <c r="J1424" s="44">
        <v>13.5</v>
      </c>
      <c r="K1424" s="60">
        <v>9.14</v>
      </c>
      <c r="L1424" s="56">
        <v>9.1300000000000008</v>
      </c>
      <c r="M1424" s="14">
        <f>K1424-L1424</f>
        <v>9.9999999999997868E-3</v>
      </c>
      <c r="N1424" s="15">
        <f>IFERROR(M1424/K1424,0)</f>
        <v>1.094091903719889E-3</v>
      </c>
      <c r="O1424" s="14">
        <f>IFERROR(L1424/J1424,0)</f>
        <v>0.6762962962962964</v>
      </c>
      <c r="P1424" s="14">
        <f>IFERROR(L1424/G1424,0)</f>
        <v>0.43476190476190968</v>
      </c>
    </row>
    <row r="1425" spans="1:19" x14ac:dyDescent="0.3">
      <c r="A1425" s="9" t="s">
        <v>3221</v>
      </c>
      <c r="B1425" s="9" t="s">
        <v>26</v>
      </c>
      <c r="C1425" s="9" t="s">
        <v>27</v>
      </c>
      <c r="D1425" s="52">
        <v>46188</v>
      </c>
      <c r="E1425" s="48">
        <v>0.57708333333333328</v>
      </c>
      <c r="F1425" s="48">
        <v>0.58680555555555558</v>
      </c>
      <c r="G1425" s="43">
        <f>(F1425-E1425)*1440</f>
        <v>14.00000000000011</v>
      </c>
      <c r="H1425" s="9" t="s">
        <v>2520</v>
      </c>
      <c r="I1425" s="9" t="s">
        <v>3414</v>
      </c>
      <c r="J1425" s="44">
        <v>5.7</v>
      </c>
      <c r="K1425" s="60">
        <v>5.38</v>
      </c>
      <c r="L1425" s="56">
        <v>4.03</v>
      </c>
      <c r="M1425" s="14">
        <f>K1425-L1425</f>
        <v>1.3499999999999996</v>
      </c>
      <c r="N1425" s="15">
        <f>IFERROR(M1425/K1425,0)</f>
        <v>0.2509293680297397</v>
      </c>
      <c r="O1425" s="14">
        <f>IFERROR(L1425/J1425,0)</f>
        <v>0.7070175438596491</v>
      </c>
      <c r="P1425" s="14">
        <f>IFERROR(L1425/G1425,0)</f>
        <v>0.28785714285714059</v>
      </c>
    </row>
    <row r="1426" spans="1:19" x14ac:dyDescent="0.3">
      <c r="A1426" s="9" t="s">
        <v>3222</v>
      </c>
      <c r="B1426" s="9" t="s">
        <v>26</v>
      </c>
      <c r="C1426" s="9" t="s">
        <v>26</v>
      </c>
      <c r="D1426" s="52">
        <v>46188</v>
      </c>
      <c r="E1426" s="48">
        <v>0.59097222222222223</v>
      </c>
      <c r="F1426" s="48">
        <v>0.6020833333333333</v>
      </c>
      <c r="G1426" s="43">
        <f>(F1426-E1426)*1440</f>
        <v>15.999999999999943</v>
      </c>
      <c r="H1426" s="9" t="s">
        <v>3415</v>
      </c>
      <c r="I1426" s="9" t="s">
        <v>3416</v>
      </c>
      <c r="J1426" s="44">
        <v>7.3</v>
      </c>
      <c r="K1426" s="60">
        <v>5.53</v>
      </c>
      <c r="L1426" s="56">
        <v>4.7699999999999996</v>
      </c>
      <c r="M1426" s="14">
        <f>K1426-L1426</f>
        <v>0.76000000000000068</v>
      </c>
      <c r="N1426" s="15">
        <f>IFERROR(M1426/K1426,0)</f>
        <v>0.13743218806509958</v>
      </c>
      <c r="O1426" s="14">
        <f>IFERROR(L1426/J1426,0)</f>
        <v>0.6534246575342465</v>
      </c>
      <c r="P1426" s="14">
        <f>IFERROR(L1426/G1426,0)</f>
        <v>0.29812500000000103</v>
      </c>
    </row>
    <row r="1427" spans="1:19" x14ac:dyDescent="0.3">
      <c r="A1427" s="9" t="s">
        <v>3223</v>
      </c>
      <c r="B1427" s="9" t="s">
        <v>26</v>
      </c>
      <c r="C1427" s="9" t="s">
        <v>27</v>
      </c>
      <c r="D1427" s="52">
        <v>46188</v>
      </c>
      <c r="E1427" s="48">
        <v>0.61875000000000002</v>
      </c>
      <c r="F1427" s="48">
        <v>0.63194444444444442</v>
      </c>
      <c r="G1427" s="43">
        <f>(F1427-E1427)*1440</f>
        <v>18.999999999999932</v>
      </c>
      <c r="H1427" s="9" t="s">
        <v>3417</v>
      </c>
      <c r="I1427" s="9" t="s">
        <v>3418</v>
      </c>
      <c r="J1427" s="44">
        <v>3.9</v>
      </c>
      <c r="K1427" s="60">
        <v>5.33</v>
      </c>
      <c r="L1427" s="56">
        <v>4</v>
      </c>
      <c r="M1427" s="14">
        <f>K1427-L1427</f>
        <v>1.33</v>
      </c>
      <c r="N1427" s="15">
        <f>IFERROR(M1427/K1427,0)</f>
        <v>0.24953095684803003</v>
      </c>
      <c r="O1427" s="14">
        <f>IFERROR(L1427/J1427,0)</f>
        <v>1.0256410256410258</v>
      </c>
      <c r="P1427" s="14">
        <f>IFERROR(L1427/G1427,0)</f>
        <v>0.21052631578947442</v>
      </c>
    </row>
    <row r="1428" spans="1:19" x14ac:dyDescent="0.3">
      <c r="A1428" s="9" t="s">
        <v>3224</v>
      </c>
      <c r="B1428" s="9" t="s">
        <v>26</v>
      </c>
      <c r="C1428" s="9" t="s">
        <v>26</v>
      </c>
      <c r="D1428" s="52">
        <v>46188</v>
      </c>
      <c r="E1428" s="48">
        <v>0.66388888888888886</v>
      </c>
      <c r="F1428" s="48">
        <v>0.67361111111111116</v>
      </c>
      <c r="G1428" s="43">
        <f>(F1428-E1428)*1440</f>
        <v>14.00000000000011</v>
      </c>
      <c r="H1428" s="9" t="s">
        <v>2927</v>
      </c>
      <c r="I1428" s="9" t="s">
        <v>2846</v>
      </c>
      <c r="J1428" s="44">
        <v>9.3000000000000007</v>
      </c>
      <c r="K1428" s="60">
        <v>4.6100000000000003</v>
      </c>
      <c r="L1428" s="56">
        <v>6.1</v>
      </c>
      <c r="M1428" s="14">
        <f>K1428-L1428</f>
        <v>-1.4899999999999993</v>
      </c>
      <c r="N1428" s="15">
        <f>IFERROR(M1428/K1428,0)</f>
        <v>-0.32321041214750523</v>
      </c>
      <c r="O1428" s="14">
        <f>IFERROR(L1428/J1428,0)</f>
        <v>0.65591397849462352</v>
      </c>
      <c r="P1428" s="14">
        <f>IFERROR(L1428/G1428,0)</f>
        <v>0.43571428571428228</v>
      </c>
      <c r="S1428" s="61">
        <v>0.5</v>
      </c>
    </row>
    <row r="1429" spans="1:19" x14ac:dyDescent="0.3">
      <c r="A1429" s="9" t="s">
        <v>3225</v>
      </c>
      <c r="B1429" s="9" t="s">
        <v>26</v>
      </c>
      <c r="C1429" s="9" t="s">
        <v>27</v>
      </c>
      <c r="D1429" s="52">
        <v>46188</v>
      </c>
      <c r="E1429" s="48">
        <v>0.71597222222222223</v>
      </c>
      <c r="F1429" s="48">
        <v>0.72986111111111107</v>
      </c>
      <c r="G1429" s="43">
        <f>(F1429-E1429)*1440</f>
        <v>19.999999999999929</v>
      </c>
      <c r="H1429" s="9" t="s">
        <v>3419</v>
      </c>
      <c r="I1429" s="9" t="s">
        <v>3420</v>
      </c>
      <c r="J1429" s="44">
        <v>8.8000000000000007</v>
      </c>
      <c r="K1429" s="60">
        <v>8.4</v>
      </c>
      <c r="L1429" s="56">
        <v>6.3</v>
      </c>
      <c r="M1429" s="14">
        <f>K1429-L1429</f>
        <v>2.1000000000000005</v>
      </c>
      <c r="N1429" s="15">
        <f>IFERROR(M1429/K1429,0)</f>
        <v>0.25000000000000006</v>
      </c>
      <c r="O1429" s="14">
        <f>IFERROR(L1429/J1429,0)</f>
        <v>0.71590909090909083</v>
      </c>
      <c r="P1429" s="14">
        <f>IFERROR(L1429/G1429,0)</f>
        <v>0.31500000000000111</v>
      </c>
      <c r="R1429" s="57">
        <v>1.39</v>
      </c>
    </row>
    <row r="1430" spans="1:19" x14ac:dyDescent="0.3">
      <c r="A1430" s="9" t="s">
        <v>3226</v>
      </c>
      <c r="B1430" s="9" t="s">
        <v>26</v>
      </c>
      <c r="C1430" s="9" t="s">
        <v>27</v>
      </c>
      <c r="D1430" s="52">
        <v>46188</v>
      </c>
      <c r="E1430" s="48">
        <v>0.7319444444444444</v>
      </c>
      <c r="F1430" s="48">
        <v>0.74236111111111114</v>
      </c>
      <c r="G1430" s="43">
        <f>(F1430-E1430)*1440</f>
        <v>15.000000000000107</v>
      </c>
      <c r="H1430" s="9" t="s">
        <v>3421</v>
      </c>
      <c r="I1430" s="9" t="s">
        <v>620</v>
      </c>
      <c r="J1430" s="44">
        <v>10.1</v>
      </c>
      <c r="K1430" s="60">
        <v>6.99</v>
      </c>
      <c r="L1430" s="56">
        <v>5.76</v>
      </c>
      <c r="M1430" s="14">
        <f>K1430-L1430</f>
        <v>1.2300000000000004</v>
      </c>
      <c r="N1430" s="15">
        <f>IFERROR(M1430/K1430,0)</f>
        <v>0.17596566523605156</v>
      </c>
      <c r="O1430" s="14">
        <f>IFERROR(L1430/J1430,0)</f>
        <v>0.57029702970297025</v>
      </c>
      <c r="P1430" s="14">
        <f>IFERROR(L1430/G1430,0)</f>
        <v>0.38399999999999723</v>
      </c>
    </row>
    <row r="1431" spans="1:19" x14ac:dyDescent="0.3">
      <c r="A1431" s="9" t="s">
        <v>3227</v>
      </c>
      <c r="B1431" s="9" t="s">
        <v>26</v>
      </c>
      <c r="C1431" s="9" t="s">
        <v>27</v>
      </c>
      <c r="D1431" s="52">
        <v>46188</v>
      </c>
      <c r="E1431" s="48">
        <v>0.74930555555555556</v>
      </c>
      <c r="F1431" s="48">
        <v>0.75694444444444453</v>
      </c>
      <c r="G1431" s="43">
        <f>(F1431-E1431)*1440</f>
        <v>11.000000000000121</v>
      </c>
      <c r="H1431" s="9" t="s">
        <v>2830</v>
      </c>
      <c r="I1431" s="9" t="s">
        <v>3422</v>
      </c>
      <c r="J1431" s="44">
        <v>2.9</v>
      </c>
      <c r="K1431" s="60">
        <v>6.16</v>
      </c>
      <c r="L1431" s="56">
        <v>4.62</v>
      </c>
      <c r="M1431" s="14">
        <f>K1431-L1431</f>
        <v>1.54</v>
      </c>
      <c r="N1431" s="15">
        <f>IFERROR(M1431/K1431,0)</f>
        <v>0.25</v>
      </c>
      <c r="O1431" s="14">
        <f>IFERROR(L1431/J1431,0)</f>
        <v>1.5931034482758621</v>
      </c>
      <c r="P1431" s="14">
        <f>IFERROR(L1431/G1431,0)</f>
        <v>0.41999999999999538</v>
      </c>
    </row>
    <row r="1432" spans="1:19" x14ac:dyDescent="0.3">
      <c r="A1432" s="9" t="s">
        <v>3228</v>
      </c>
      <c r="B1432" s="9" t="s">
        <v>26</v>
      </c>
      <c r="C1432" s="9" t="s">
        <v>27</v>
      </c>
      <c r="D1432" s="52">
        <v>46188</v>
      </c>
      <c r="E1432" s="48">
        <v>0.83819444444444446</v>
      </c>
      <c r="F1432" s="48">
        <v>0.84375</v>
      </c>
      <c r="G1432" s="43">
        <f>(F1432-E1432)*1440</f>
        <v>7.9999999999999716</v>
      </c>
      <c r="H1432" s="9" t="s">
        <v>214</v>
      </c>
      <c r="I1432" s="9" t="s">
        <v>3423</v>
      </c>
      <c r="J1432" s="44">
        <v>5.4</v>
      </c>
      <c r="K1432" s="60">
        <v>4.8499999999999996</v>
      </c>
      <c r="L1432" s="56">
        <v>4</v>
      </c>
      <c r="M1432" s="14">
        <f>K1432-L1432</f>
        <v>0.84999999999999964</v>
      </c>
      <c r="N1432" s="15">
        <f>IFERROR(M1432/K1432,0)</f>
        <v>0.17525773195876282</v>
      </c>
      <c r="O1432" s="14">
        <f>IFERROR(L1432/J1432,0)</f>
        <v>0.7407407407407407</v>
      </c>
      <c r="P1432" s="14">
        <f>IFERROR(L1432/G1432,0)</f>
        <v>0.50000000000000178</v>
      </c>
      <c r="R1432" s="57">
        <v>0.44</v>
      </c>
    </row>
    <row r="1433" spans="1:19" x14ac:dyDescent="0.3">
      <c r="A1433" s="9" t="s">
        <v>3229</v>
      </c>
      <c r="B1433" s="9" t="s">
        <v>26</v>
      </c>
      <c r="C1433" s="9" t="s">
        <v>26</v>
      </c>
      <c r="D1433" s="52">
        <v>46188</v>
      </c>
      <c r="E1433" s="48">
        <v>0.84791666666666676</v>
      </c>
      <c r="F1433" s="48">
        <v>0.85277777777777775</v>
      </c>
      <c r="G1433" s="43">
        <f>(F1433-E1433)*1440</f>
        <v>6.9999999999998153</v>
      </c>
      <c r="H1433" s="9" t="s">
        <v>2873</v>
      </c>
      <c r="I1433" s="9" t="s">
        <v>3424</v>
      </c>
      <c r="J1433" s="44">
        <v>2.1</v>
      </c>
      <c r="K1433" s="60">
        <v>4.4000000000000004</v>
      </c>
      <c r="L1433" s="56">
        <v>3.3</v>
      </c>
      <c r="M1433" s="14">
        <f>K1433-L1433</f>
        <v>1.1000000000000005</v>
      </c>
      <c r="N1433" s="15">
        <f>IFERROR(M1433/K1433,0)</f>
        <v>0.25000000000000011</v>
      </c>
      <c r="O1433" s="14">
        <f>IFERROR(L1433/J1433,0)</f>
        <v>1.5714285714285712</v>
      </c>
      <c r="P1433" s="14">
        <f>IFERROR(L1433/G1433,0)</f>
        <v>0.47142857142858385</v>
      </c>
    </row>
    <row r="1434" spans="1:19" x14ac:dyDescent="0.3">
      <c r="A1434" s="9" t="s">
        <v>3230</v>
      </c>
      <c r="B1434" s="9" t="s">
        <v>26</v>
      </c>
      <c r="C1434" s="9" t="s">
        <v>26</v>
      </c>
      <c r="D1434" s="52">
        <v>46188</v>
      </c>
      <c r="E1434" s="48">
        <v>0.8534722222222223</v>
      </c>
      <c r="F1434" s="48">
        <v>0.85833333333333339</v>
      </c>
      <c r="G1434" s="43">
        <f>(F1434-E1434)*1440</f>
        <v>6.9999999999999751</v>
      </c>
      <c r="H1434" s="9" t="s">
        <v>1189</v>
      </c>
      <c r="I1434" s="9" t="s">
        <v>3425</v>
      </c>
      <c r="J1434" s="44">
        <v>2.6</v>
      </c>
      <c r="K1434" s="60">
        <v>3.87</v>
      </c>
      <c r="L1434" s="56">
        <v>3.63</v>
      </c>
      <c r="M1434" s="14">
        <f>K1434-L1434</f>
        <v>0.24000000000000021</v>
      </c>
      <c r="N1434" s="15">
        <f>IFERROR(M1434/K1434,0)</f>
        <v>6.2015503875969047E-2</v>
      </c>
      <c r="O1434" s="14">
        <f>IFERROR(L1434/J1434,0)</f>
        <v>1.3961538461538461</v>
      </c>
      <c r="P1434" s="14">
        <f>IFERROR(L1434/G1434,0)</f>
        <v>0.51857142857143035</v>
      </c>
      <c r="R1434" s="57">
        <v>0.44</v>
      </c>
    </row>
    <row r="1435" spans="1:19" x14ac:dyDescent="0.3">
      <c r="A1435" s="9" t="s">
        <v>3231</v>
      </c>
      <c r="B1435" s="9" t="s">
        <v>18</v>
      </c>
      <c r="C1435" s="9" t="s">
        <v>184</v>
      </c>
      <c r="D1435" s="52">
        <v>46188</v>
      </c>
      <c r="E1435" s="48">
        <v>0.54027777777777775</v>
      </c>
      <c r="F1435" s="48">
        <v>0.56944444444444442</v>
      </c>
      <c r="G1435" s="43">
        <f>(F1435-E1435)*1440</f>
        <v>42.000000000000014</v>
      </c>
      <c r="H1435" s="9" t="s">
        <v>3426</v>
      </c>
      <c r="I1435" s="9" t="s">
        <v>3427</v>
      </c>
      <c r="J1435" s="44">
        <v>25.1</v>
      </c>
      <c r="K1435" s="60">
        <v>15.96</v>
      </c>
      <c r="L1435" s="56">
        <v>10.37</v>
      </c>
      <c r="M1435" s="14">
        <f>K1435-L1435</f>
        <v>5.5900000000000016</v>
      </c>
      <c r="N1435" s="15">
        <f>IFERROR(M1435/K1435,0)</f>
        <v>0.35025062656641615</v>
      </c>
      <c r="O1435" s="14">
        <f>IFERROR(L1435/J1435,0)</f>
        <v>0.41314741035856567</v>
      </c>
      <c r="P1435" s="14">
        <f>IFERROR(L1435/G1435,0)</f>
        <v>0.24690476190476179</v>
      </c>
    </row>
    <row r="1436" spans="1:19" x14ac:dyDescent="0.3">
      <c r="A1436" s="9" t="s">
        <v>3232</v>
      </c>
      <c r="B1436" s="9" t="s">
        <v>18</v>
      </c>
      <c r="C1436" s="9" t="s">
        <v>184</v>
      </c>
      <c r="D1436" s="52">
        <v>46188</v>
      </c>
      <c r="E1436" s="48">
        <v>0.60416666666666663</v>
      </c>
      <c r="F1436" s="48">
        <v>0.6118055555555556</v>
      </c>
      <c r="G1436" s="43">
        <f>(F1436-E1436)*1440</f>
        <v>11.000000000000121</v>
      </c>
      <c r="H1436" s="9" t="s">
        <v>648</v>
      </c>
      <c r="I1436" s="9" t="s">
        <v>3428</v>
      </c>
      <c r="J1436" s="44">
        <v>3.91</v>
      </c>
      <c r="K1436" s="60">
        <v>8.9499999999999993</v>
      </c>
      <c r="L1436" s="56">
        <v>5.86</v>
      </c>
      <c r="M1436" s="14">
        <f>K1436-L1436</f>
        <v>3.089999999999999</v>
      </c>
      <c r="N1436" s="15">
        <f>IFERROR(M1436/K1436,0)</f>
        <v>0.34525139664804461</v>
      </c>
      <c r="O1436" s="14">
        <f>IFERROR(L1436/J1436,0)</f>
        <v>1.4987212276214834</v>
      </c>
      <c r="P1436" s="14">
        <f>IFERROR(L1436/G1436,0)</f>
        <v>0.53272727272726694</v>
      </c>
    </row>
    <row r="1437" spans="1:19" x14ac:dyDescent="0.3">
      <c r="A1437" s="9" t="s">
        <v>3233</v>
      </c>
      <c r="B1437" s="9" t="s">
        <v>18</v>
      </c>
      <c r="C1437" s="9" t="s">
        <v>196</v>
      </c>
      <c r="D1437" s="52">
        <v>46188</v>
      </c>
      <c r="E1437" s="48">
        <v>0.63194444444444442</v>
      </c>
      <c r="F1437" s="48">
        <v>0.63888888888888895</v>
      </c>
      <c r="G1437" s="43">
        <f>(F1437-E1437)*1440</f>
        <v>10.000000000000124</v>
      </c>
      <c r="H1437" s="9" t="s">
        <v>705</v>
      </c>
      <c r="I1437" s="9" t="s">
        <v>3429</v>
      </c>
      <c r="J1437" s="44">
        <v>6.98</v>
      </c>
      <c r="K1437" s="60">
        <v>6.99</v>
      </c>
      <c r="L1437" s="56">
        <v>4.54</v>
      </c>
      <c r="M1437" s="14">
        <f>K1437-L1437</f>
        <v>2.4500000000000002</v>
      </c>
      <c r="N1437" s="15">
        <f>IFERROR(M1437/K1437,0)</f>
        <v>0.35050071530758226</v>
      </c>
      <c r="O1437" s="14">
        <f>IFERROR(L1437/J1437,0)</f>
        <v>0.65042979942693402</v>
      </c>
      <c r="P1437" s="14">
        <f>IFERROR(L1437/G1437,0)</f>
        <v>0.45399999999999435</v>
      </c>
    </row>
    <row r="1438" spans="1:19" x14ac:dyDescent="0.3">
      <c r="A1438" s="9" t="s">
        <v>3234</v>
      </c>
      <c r="B1438" s="9" t="s">
        <v>18</v>
      </c>
      <c r="C1438" s="9" t="s">
        <v>184</v>
      </c>
      <c r="D1438" s="52">
        <v>46188</v>
      </c>
      <c r="E1438" s="48">
        <v>0.67569444444444438</v>
      </c>
      <c r="F1438" s="48">
        <v>0.68680555555555556</v>
      </c>
      <c r="G1438" s="43">
        <f>(F1438-E1438)*1440</f>
        <v>16.000000000000103</v>
      </c>
      <c r="H1438" s="9" t="s">
        <v>2481</v>
      </c>
      <c r="I1438" s="9" t="s">
        <v>1207</v>
      </c>
      <c r="J1438" s="44">
        <v>12.64</v>
      </c>
      <c r="K1438" s="60">
        <v>11.94</v>
      </c>
      <c r="L1438" s="56">
        <v>7.76</v>
      </c>
      <c r="M1438" s="14">
        <f>K1438-L1438</f>
        <v>4.18</v>
      </c>
      <c r="N1438" s="15">
        <f>IFERROR(M1438/K1438,0)</f>
        <v>0.35008375209380233</v>
      </c>
      <c r="O1438" s="14">
        <f>IFERROR(L1438/J1438,0)</f>
        <v>0.61392405063291133</v>
      </c>
      <c r="P1438" s="14">
        <f>IFERROR(L1438/G1438,0)</f>
        <v>0.48499999999999688</v>
      </c>
    </row>
    <row r="1439" spans="1:19" x14ac:dyDescent="0.3">
      <c r="A1439" s="9" t="s">
        <v>3235</v>
      </c>
      <c r="B1439" s="9" t="s">
        <v>18</v>
      </c>
      <c r="C1439" s="9" t="s">
        <v>184</v>
      </c>
      <c r="D1439" s="52">
        <v>46188</v>
      </c>
      <c r="E1439" s="48">
        <v>0.68888888888888899</v>
      </c>
      <c r="F1439" s="48">
        <v>0.70763888888888893</v>
      </c>
      <c r="G1439" s="43">
        <f>(F1439-E1439)*1440</f>
        <v>26.999999999999904</v>
      </c>
      <c r="H1439" s="9" t="s">
        <v>1207</v>
      </c>
      <c r="I1439" s="9" t="s">
        <v>3430</v>
      </c>
      <c r="J1439" s="44">
        <v>8.92</v>
      </c>
      <c r="K1439" s="60">
        <v>7.94</v>
      </c>
      <c r="L1439" s="56">
        <v>6.21</v>
      </c>
      <c r="M1439" s="14">
        <f>K1439-L1439</f>
        <v>1.7300000000000004</v>
      </c>
      <c r="N1439" s="15">
        <f>IFERROR(M1439/K1439,0)</f>
        <v>0.21788413098236781</v>
      </c>
      <c r="O1439" s="14">
        <f>IFERROR(L1439/J1439,0)</f>
        <v>0.69618834080717484</v>
      </c>
      <c r="P1439" s="14">
        <f>IFERROR(L1439/G1439,0)</f>
        <v>0.23000000000000081</v>
      </c>
    </row>
    <row r="1440" spans="1:19" x14ac:dyDescent="0.3">
      <c r="A1440" s="9" t="s">
        <v>3236</v>
      </c>
      <c r="B1440" s="9" t="s">
        <v>18</v>
      </c>
      <c r="C1440" s="9" t="s">
        <v>184</v>
      </c>
      <c r="D1440" s="52">
        <v>46188</v>
      </c>
      <c r="E1440" s="48">
        <v>0.75763888888888886</v>
      </c>
      <c r="F1440" s="48">
        <v>0.77569444444444446</v>
      </c>
      <c r="G1440" s="43">
        <f>(F1440-E1440)*1440</f>
        <v>26.000000000000068</v>
      </c>
      <c r="H1440" s="9" t="s">
        <v>696</v>
      </c>
      <c r="I1440" s="9" t="s">
        <v>3431</v>
      </c>
      <c r="J1440" s="44">
        <v>9.27</v>
      </c>
      <c r="K1440" s="60">
        <v>9.9499999999999993</v>
      </c>
      <c r="L1440" s="56">
        <v>8.74</v>
      </c>
      <c r="M1440" s="14">
        <f>K1440-L1440</f>
        <v>1.2099999999999991</v>
      </c>
      <c r="N1440" s="15">
        <f>IFERROR(M1440/K1440,0)</f>
        <v>0.12160804020100494</v>
      </c>
      <c r="O1440" s="14">
        <f>IFERROR(L1440/J1440,0)</f>
        <v>0.94282632146709822</v>
      </c>
      <c r="P1440" s="14">
        <f>IFERROR(L1440/G1440,0)</f>
        <v>0.3361538461538453</v>
      </c>
    </row>
    <row r="1441" spans="1:19" x14ac:dyDescent="0.3">
      <c r="A1441" s="9" t="s">
        <v>3237</v>
      </c>
      <c r="B1441" s="9" t="s">
        <v>18</v>
      </c>
      <c r="C1441" s="9" t="s">
        <v>184</v>
      </c>
      <c r="D1441" s="52">
        <v>46188</v>
      </c>
      <c r="E1441" s="48">
        <v>0.78194444444444444</v>
      </c>
      <c r="F1441" s="48">
        <v>0.79722222222222217</v>
      </c>
      <c r="G1441" s="43">
        <f>(F1441-E1441)*1440</f>
        <v>21.999999999999922</v>
      </c>
      <c r="H1441" s="9" t="s">
        <v>3432</v>
      </c>
      <c r="I1441" s="9" t="s">
        <v>214</v>
      </c>
      <c r="J1441" s="44">
        <v>7.8</v>
      </c>
      <c r="K1441" s="60">
        <v>5.93</v>
      </c>
      <c r="L1441" s="56">
        <v>4.7300000000000004</v>
      </c>
      <c r="M1441" s="14">
        <f>K1441-L1441</f>
        <v>1.1999999999999993</v>
      </c>
      <c r="N1441" s="15">
        <f>IFERROR(M1441/K1441,0)</f>
        <v>0.20236087689713311</v>
      </c>
      <c r="O1441" s="14">
        <f>IFERROR(L1441/J1441,0)</f>
        <v>0.60641025641025648</v>
      </c>
      <c r="P1441" s="14">
        <f>IFERROR(L1441/G1441,0)</f>
        <v>0.21500000000000077</v>
      </c>
    </row>
    <row r="1442" spans="1:19" x14ac:dyDescent="0.3">
      <c r="A1442" s="9" t="s">
        <v>3238</v>
      </c>
      <c r="B1442" s="9" t="s">
        <v>18</v>
      </c>
      <c r="C1442" s="9" t="s">
        <v>196</v>
      </c>
      <c r="D1442" s="52">
        <v>46189</v>
      </c>
      <c r="E1442" s="48">
        <v>0.5444444444444444</v>
      </c>
      <c r="F1442" s="48">
        <v>0.55972222222222223</v>
      </c>
      <c r="G1442" s="43">
        <f>(F1442-E1442)*1440</f>
        <v>22.000000000000082</v>
      </c>
      <c r="H1442" s="9" t="s">
        <v>2618</v>
      </c>
      <c r="I1442" s="9" t="s">
        <v>604</v>
      </c>
      <c r="J1442" s="44">
        <v>14.03</v>
      </c>
      <c r="K1442" s="60">
        <v>10.99</v>
      </c>
      <c r="L1442" s="56">
        <v>8.69</v>
      </c>
      <c r="M1442" s="14">
        <f>K1442-L1442</f>
        <v>2.3000000000000007</v>
      </c>
      <c r="N1442" s="15">
        <f>IFERROR(M1442/K1442,0)</f>
        <v>0.20928116469517749</v>
      </c>
      <c r="O1442" s="14">
        <f>IFERROR(L1442/J1442,0)</f>
        <v>0.61938702779757659</v>
      </c>
      <c r="P1442" s="14">
        <f>IFERROR(L1442/G1442,0)</f>
        <v>0.39499999999999852</v>
      </c>
    </row>
    <row r="1443" spans="1:19" x14ac:dyDescent="0.3">
      <c r="A1443" s="9" t="s">
        <v>3239</v>
      </c>
      <c r="B1443" s="9" t="s">
        <v>18</v>
      </c>
      <c r="C1443" s="9" t="s">
        <v>184</v>
      </c>
      <c r="D1443" s="52">
        <v>46189</v>
      </c>
      <c r="E1443" s="48">
        <v>0.56180555555555556</v>
      </c>
      <c r="F1443" s="48">
        <v>0.5708333333333333</v>
      </c>
      <c r="G1443" s="43">
        <f>(F1443-E1443)*1440</f>
        <v>12.999999999999954</v>
      </c>
      <c r="H1443" s="9" t="s">
        <v>3433</v>
      </c>
      <c r="I1443" s="9" t="s">
        <v>3434</v>
      </c>
      <c r="J1443" s="44">
        <v>7.87</v>
      </c>
      <c r="K1443" s="60">
        <v>5.94</v>
      </c>
      <c r="L1443" s="56">
        <v>4.18</v>
      </c>
      <c r="M1443" s="14">
        <f>K1443-L1443</f>
        <v>1.7600000000000007</v>
      </c>
      <c r="N1443" s="15">
        <f>IFERROR(M1443/K1443,0)</f>
        <v>0.29629629629629639</v>
      </c>
      <c r="O1443" s="14">
        <f>IFERROR(L1443/J1443,0)</f>
        <v>0.53113087674714099</v>
      </c>
      <c r="P1443" s="14">
        <f>IFERROR(L1443/G1443,0)</f>
        <v>0.32153846153846266</v>
      </c>
    </row>
    <row r="1444" spans="1:19" x14ac:dyDescent="0.3">
      <c r="A1444" s="9" t="s">
        <v>3240</v>
      </c>
      <c r="B1444" s="9" t="s">
        <v>18</v>
      </c>
      <c r="C1444" s="9" t="s">
        <v>184</v>
      </c>
      <c r="D1444" s="52">
        <v>46189</v>
      </c>
      <c r="E1444" s="48">
        <v>0.57638888888888895</v>
      </c>
      <c r="F1444" s="48">
        <v>0.58611111111111114</v>
      </c>
      <c r="G1444" s="43">
        <f>(F1444-E1444)*1440</f>
        <v>13.99999999999995</v>
      </c>
      <c r="H1444" s="9" t="s">
        <v>214</v>
      </c>
      <c r="I1444" s="9" t="s">
        <v>3435</v>
      </c>
      <c r="J1444" s="44">
        <v>9.4600000000000009</v>
      </c>
      <c r="K1444" s="60">
        <v>5.95</v>
      </c>
      <c r="L1444" s="56">
        <v>5.28</v>
      </c>
      <c r="M1444" s="14">
        <f>K1444-L1444</f>
        <v>0.66999999999999993</v>
      </c>
      <c r="N1444" s="15">
        <f>IFERROR(M1444/K1444,0)</f>
        <v>0.11260504201680671</v>
      </c>
      <c r="O1444" s="14">
        <f>IFERROR(L1444/J1444,0)</f>
        <v>0.55813953488372092</v>
      </c>
      <c r="P1444" s="14">
        <f>IFERROR(L1444/G1444,0)</f>
        <v>0.3771428571428585</v>
      </c>
      <c r="S1444" s="61">
        <v>1</v>
      </c>
    </row>
    <row r="1445" spans="1:19" x14ac:dyDescent="0.3">
      <c r="A1445" s="9" t="s">
        <v>3241</v>
      </c>
      <c r="B1445" s="9" t="s">
        <v>18</v>
      </c>
      <c r="C1445" s="9" t="s">
        <v>184</v>
      </c>
      <c r="D1445" s="52">
        <v>46189</v>
      </c>
      <c r="E1445" s="48">
        <v>0.58750000000000002</v>
      </c>
      <c r="F1445" s="48">
        <v>0.59513888888888888</v>
      </c>
      <c r="G1445" s="43">
        <f>(F1445-E1445)*1440</f>
        <v>10.999999999999961</v>
      </c>
      <c r="H1445" s="9" t="s">
        <v>3436</v>
      </c>
      <c r="I1445" s="9" t="s">
        <v>3437</v>
      </c>
      <c r="J1445" s="44">
        <v>7.12</v>
      </c>
      <c r="K1445" s="60">
        <v>4.93</v>
      </c>
      <c r="L1445" s="56">
        <v>4.0999999999999996</v>
      </c>
      <c r="M1445" s="14">
        <f>K1445-L1445</f>
        <v>0.83000000000000007</v>
      </c>
      <c r="N1445" s="15">
        <f>IFERROR(M1445/K1445,0)</f>
        <v>0.16835699797160245</v>
      </c>
      <c r="O1445" s="14">
        <f>IFERROR(L1445/J1445,0)</f>
        <v>0.57584269662921339</v>
      </c>
      <c r="P1445" s="14">
        <f>IFERROR(L1445/G1445,0)</f>
        <v>0.37272727272727402</v>
      </c>
    </row>
    <row r="1446" spans="1:19" x14ac:dyDescent="0.3">
      <c r="A1446" s="9" t="s">
        <v>3242</v>
      </c>
      <c r="B1446" s="9" t="s">
        <v>18</v>
      </c>
      <c r="C1446" s="9" t="s">
        <v>184</v>
      </c>
      <c r="D1446" s="52">
        <v>46189</v>
      </c>
      <c r="E1446" s="48">
        <v>0.6</v>
      </c>
      <c r="F1446" s="48">
        <v>0.61319444444444449</v>
      </c>
      <c r="G1446" s="43">
        <f>(F1446-E1446)*1440</f>
        <v>19.000000000000092</v>
      </c>
      <c r="H1446" s="9" t="s">
        <v>1214</v>
      </c>
      <c r="I1446" s="9" t="s">
        <v>1798</v>
      </c>
      <c r="J1446" s="44">
        <v>9.7799999999999994</v>
      </c>
      <c r="K1446" s="60">
        <v>7.96</v>
      </c>
      <c r="L1446" s="56">
        <v>6.25</v>
      </c>
      <c r="M1446" s="14">
        <f>K1446-L1446</f>
        <v>1.71</v>
      </c>
      <c r="N1446" s="15">
        <f>IFERROR(M1446/K1446,0)</f>
        <v>0.21482412060301506</v>
      </c>
      <c r="O1446" s="14">
        <f>IFERROR(L1446/J1446,0)</f>
        <v>0.63905930470347649</v>
      </c>
      <c r="P1446" s="14">
        <f>IFERROR(L1446/G1446,0)</f>
        <v>0.32894736842105105</v>
      </c>
    </row>
    <row r="1447" spans="1:19" x14ac:dyDescent="0.3">
      <c r="A1447" s="9" t="s">
        <v>3243</v>
      </c>
      <c r="B1447" s="9" t="s">
        <v>18</v>
      </c>
      <c r="C1447" s="9" t="s">
        <v>184</v>
      </c>
      <c r="D1447" s="52">
        <v>46189</v>
      </c>
      <c r="E1447" s="48">
        <v>0.61736111111111114</v>
      </c>
      <c r="F1447" s="48">
        <v>0.6333333333333333</v>
      </c>
      <c r="G1447" s="43">
        <f>(F1447-E1447)*1440</f>
        <v>22.999999999999918</v>
      </c>
      <c r="H1447" s="9" t="s">
        <v>1115</v>
      </c>
      <c r="I1447" s="9" t="s">
        <v>3438</v>
      </c>
      <c r="J1447" s="44">
        <v>12.67</v>
      </c>
      <c r="K1447" s="60">
        <v>9.9600000000000009</v>
      </c>
      <c r="L1447" s="56">
        <v>7.68</v>
      </c>
      <c r="M1447" s="14">
        <f>K1447-L1447</f>
        <v>2.2800000000000011</v>
      </c>
      <c r="N1447" s="15">
        <f>IFERROR(M1447/K1447,0)</f>
        <v>0.22891566265060251</v>
      </c>
      <c r="O1447" s="14">
        <f>IFERROR(L1447/J1447,0)</f>
        <v>0.6061562746645619</v>
      </c>
      <c r="P1447" s="14">
        <f>IFERROR(L1447/G1447,0)</f>
        <v>0.33391304347826206</v>
      </c>
    </row>
    <row r="1448" spans="1:19" x14ac:dyDescent="0.3">
      <c r="A1448" s="9" t="s">
        <v>3244</v>
      </c>
      <c r="B1448" s="9" t="s">
        <v>18</v>
      </c>
      <c r="C1448" s="9" t="s">
        <v>184</v>
      </c>
      <c r="D1448" s="52">
        <v>46189</v>
      </c>
      <c r="E1448" s="48">
        <v>0.63611111111111118</v>
      </c>
      <c r="F1448" s="48">
        <v>0.6479166666666667</v>
      </c>
      <c r="G1448" s="43">
        <f>(F1448-E1448)*1440</f>
        <v>16.99999999999994</v>
      </c>
      <c r="H1448" s="9" t="s">
        <v>3439</v>
      </c>
      <c r="I1448" s="9" t="s">
        <v>2616</v>
      </c>
      <c r="J1448" s="44">
        <v>12.39</v>
      </c>
      <c r="K1448" s="60">
        <v>7.95</v>
      </c>
      <c r="L1448" s="56">
        <v>5.39</v>
      </c>
      <c r="M1448" s="14">
        <f>K1448-L1448</f>
        <v>2.5600000000000005</v>
      </c>
      <c r="N1448" s="15">
        <f>IFERROR(M1448/K1448,0)</f>
        <v>0.32201257861635224</v>
      </c>
      <c r="O1448" s="14">
        <f>IFERROR(L1448/J1448,0)</f>
        <v>0.43502824858757055</v>
      </c>
      <c r="P1448" s="14">
        <f>IFERROR(L1448/G1448,0)</f>
        <v>0.31705882352941289</v>
      </c>
    </row>
    <row r="1449" spans="1:19" x14ac:dyDescent="0.3">
      <c r="A1449" s="9" t="s">
        <v>3245</v>
      </c>
      <c r="B1449" s="9" t="s">
        <v>18</v>
      </c>
      <c r="C1449" s="9" t="s">
        <v>184</v>
      </c>
      <c r="D1449" s="52">
        <v>46189</v>
      </c>
      <c r="E1449" s="48">
        <v>0.68125000000000002</v>
      </c>
      <c r="F1449" s="48">
        <v>0.70138888888888884</v>
      </c>
      <c r="G1449" s="43">
        <f>(F1449-E1449)*1440</f>
        <v>28.999999999999897</v>
      </c>
      <c r="H1449" s="9" t="s">
        <v>3440</v>
      </c>
      <c r="I1449" s="9" t="s">
        <v>1207</v>
      </c>
      <c r="J1449" s="44">
        <v>22.4</v>
      </c>
      <c r="K1449" s="60">
        <v>24.96</v>
      </c>
      <c r="L1449" s="56">
        <v>19.420000000000002</v>
      </c>
      <c r="M1449" s="14">
        <f>K1449-L1449</f>
        <v>5.5399999999999991</v>
      </c>
      <c r="N1449" s="15">
        <f>IFERROR(M1449/K1449,0)</f>
        <v>0.22195512820512817</v>
      </c>
      <c r="O1449" s="14">
        <f>IFERROR(L1449/J1449,0)</f>
        <v>0.86696428571428585</v>
      </c>
      <c r="P1449" s="14">
        <f>IFERROR(L1449/G1449,0)</f>
        <v>0.66965517241379557</v>
      </c>
    </row>
    <row r="1450" spans="1:19" x14ac:dyDescent="0.3">
      <c r="A1450" s="9" t="s">
        <v>3246</v>
      </c>
      <c r="B1450" s="9" t="s">
        <v>18</v>
      </c>
      <c r="C1450" s="9" t="s">
        <v>196</v>
      </c>
      <c r="D1450" s="52">
        <v>46189</v>
      </c>
      <c r="E1450" s="48">
        <v>0.7715277777777777</v>
      </c>
      <c r="F1450" s="48">
        <v>0.78263888888888899</v>
      </c>
      <c r="G1450" s="43">
        <f>(F1450-E1450)*1440</f>
        <v>16.000000000000263</v>
      </c>
      <c r="H1450" s="9" t="s">
        <v>3441</v>
      </c>
      <c r="I1450" s="9" t="s">
        <v>1286</v>
      </c>
      <c r="J1450" s="44">
        <v>7.47</v>
      </c>
      <c r="K1450" s="60">
        <v>8.99</v>
      </c>
      <c r="L1450" s="56">
        <v>6.78</v>
      </c>
      <c r="M1450" s="14">
        <f>K1450-L1450</f>
        <v>2.21</v>
      </c>
      <c r="N1450" s="15">
        <f>IFERROR(M1450/K1450,0)</f>
        <v>0.24582869855394882</v>
      </c>
      <c r="O1450" s="14">
        <f>IFERROR(L1450/J1450,0)</f>
        <v>0.90763052208835349</v>
      </c>
      <c r="P1450" s="14">
        <f>IFERROR(L1450/G1450,0)</f>
        <v>0.42374999999999308</v>
      </c>
    </row>
    <row r="1451" spans="1:19" x14ac:dyDescent="0.3">
      <c r="A1451" s="9" t="s">
        <v>3247</v>
      </c>
      <c r="B1451" s="9" t="s">
        <v>18</v>
      </c>
      <c r="C1451" s="9" t="s">
        <v>184</v>
      </c>
      <c r="D1451" s="52">
        <v>46189</v>
      </c>
      <c r="E1451" s="48">
        <v>0.78263888888888899</v>
      </c>
      <c r="F1451" s="48">
        <v>0.79027777777777775</v>
      </c>
      <c r="G1451" s="43">
        <f>(F1451-E1451)*1440</f>
        <v>10.999999999999801</v>
      </c>
      <c r="H1451" s="9" t="s">
        <v>3442</v>
      </c>
      <c r="I1451" s="9" t="s">
        <v>3319</v>
      </c>
      <c r="J1451" s="44">
        <v>6.92</v>
      </c>
      <c r="K1451" s="60">
        <v>11.96</v>
      </c>
      <c r="L1451" s="56">
        <v>8.7899999999999991</v>
      </c>
      <c r="M1451" s="14">
        <f>K1451-L1451</f>
        <v>3.1700000000000017</v>
      </c>
      <c r="N1451" s="15">
        <f>IFERROR(M1451/K1451,0)</f>
        <v>0.26505016722408037</v>
      </c>
      <c r="O1451" s="14">
        <f>IFERROR(L1451/J1451,0)</f>
        <v>1.2702312138728322</v>
      </c>
      <c r="P1451" s="14">
        <f>IFERROR(L1451/G1451,0)</f>
        <v>0.79909090909092351</v>
      </c>
    </row>
    <row r="1452" spans="1:19" x14ac:dyDescent="0.3">
      <c r="A1452" s="9" t="s">
        <v>3248</v>
      </c>
      <c r="B1452" s="9" t="s">
        <v>26</v>
      </c>
      <c r="C1452" s="9" t="s">
        <v>27</v>
      </c>
      <c r="D1452" s="52">
        <v>46189</v>
      </c>
      <c r="E1452" s="48">
        <v>0.7090277777777777</v>
      </c>
      <c r="F1452" s="48">
        <v>0.74930555555555556</v>
      </c>
      <c r="G1452" s="43">
        <f>(F1452-E1452)*1440</f>
        <v>58.000000000000114</v>
      </c>
      <c r="H1452" s="9" t="s">
        <v>531</v>
      </c>
      <c r="I1452" s="9" t="s">
        <v>3443</v>
      </c>
      <c r="J1452" s="44">
        <v>17.8</v>
      </c>
      <c r="K1452" s="60">
        <v>12.53</v>
      </c>
      <c r="L1452" s="56">
        <v>9.4</v>
      </c>
      <c r="M1452" s="14">
        <f>K1452-L1452</f>
        <v>3.129999999999999</v>
      </c>
      <c r="N1452" s="15">
        <f>IFERROR(M1452/K1452,0)</f>
        <v>0.24980047885075812</v>
      </c>
      <c r="O1452" s="14">
        <f>IFERROR(L1452/J1452,0)</f>
        <v>0.5280898876404494</v>
      </c>
      <c r="P1452" s="14">
        <f>IFERROR(L1452/G1452,0)</f>
        <v>0.16206896551724106</v>
      </c>
    </row>
    <row r="1453" spans="1:19" x14ac:dyDescent="0.3">
      <c r="A1453" s="9" t="s">
        <v>3249</v>
      </c>
      <c r="B1453" s="9" t="s">
        <v>26</v>
      </c>
      <c r="C1453" s="9" t="s">
        <v>26</v>
      </c>
      <c r="D1453" s="52">
        <v>46189</v>
      </c>
      <c r="E1453" s="48">
        <v>0.75763888888888886</v>
      </c>
      <c r="F1453" s="48">
        <v>0.76666666666666661</v>
      </c>
      <c r="G1453" s="43">
        <f>(F1453-E1453)*1440</f>
        <v>12.999999999999954</v>
      </c>
      <c r="H1453" s="9" t="s">
        <v>1688</v>
      </c>
      <c r="I1453" s="9" t="s">
        <v>3444</v>
      </c>
      <c r="J1453" s="44">
        <v>3.2</v>
      </c>
      <c r="K1453" s="60">
        <v>5.43</v>
      </c>
      <c r="L1453" s="56">
        <v>4.29</v>
      </c>
      <c r="M1453" s="14">
        <f>K1453-L1453</f>
        <v>1.1399999999999997</v>
      </c>
      <c r="N1453" s="15">
        <f>IFERROR(M1453/K1453,0)</f>
        <v>0.20994475138121543</v>
      </c>
      <c r="O1453" s="14">
        <f>IFERROR(L1453/J1453,0)</f>
        <v>1.340625</v>
      </c>
      <c r="P1453" s="14">
        <f>IFERROR(L1453/G1453,0)</f>
        <v>0.33000000000000118</v>
      </c>
      <c r="R1453" s="57">
        <v>1.32</v>
      </c>
    </row>
    <row r="1454" spans="1:19" x14ac:dyDescent="0.3">
      <c r="A1454" s="9" t="s">
        <v>3250</v>
      </c>
      <c r="B1454" s="9" t="s">
        <v>26</v>
      </c>
      <c r="C1454" s="9" t="s">
        <v>26</v>
      </c>
      <c r="D1454" s="52">
        <v>46189</v>
      </c>
      <c r="E1454" s="48">
        <v>0.82291666666666663</v>
      </c>
      <c r="F1454" s="48">
        <v>0.8354166666666667</v>
      </c>
      <c r="G1454" s="43">
        <f>(F1454-E1454)*1440</f>
        <v>18.000000000000096</v>
      </c>
      <c r="H1454" s="9" t="s">
        <v>650</v>
      </c>
      <c r="I1454" s="9" t="s">
        <v>3445</v>
      </c>
      <c r="J1454" s="44">
        <v>7.6</v>
      </c>
      <c r="K1454" s="60">
        <v>7.72</v>
      </c>
      <c r="L1454" s="56">
        <v>5.79</v>
      </c>
      <c r="M1454" s="14">
        <f>K1454-L1454</f>
        <v>1.9299999999999997</v>
      </c>
      <c r="N1454" s="15">
        <f>IFERROR(M1454/K1454,0)</f>
        <v>0.24999999999999997</v>
      </c>
      <c r="O1454" s="14">
        <f>IFERROR(L1454/J1454,0)</f>
        <v>0.76184210526315799</v>
      </c>
      <c r="P1454" s="14">
        <f>IFERROR(L1454/G1454,0)</f>
        <v>0.32166666666666494</v>
      </c>
    </row>
    <row r="1455" spans="1:19" x14ac:dyDescent="0.3">
      <c r="A1455" s="9" t="s">
        <v>3251</v>
      </c>
      <c r="B1455" s="9" t="s">
        <v>26</v>
      </c>
      <c r="C1455" s="9" t="s">
        <v>27</v>
      </c>
      <c r="D1455" s="52">
        <v>46189</v>
      </c>
      <c r="E1455" s="48">
        <v>0.83819444444444446</v>
      </c>
      <c r="F1455" s="48">
        <v>0.84652777777777777</v>
      </c>
      <c r="G1455" s="43">
        <f>(F1455-E1455)*1440</f>
        <v>11.999999999999957</v>
      </c>
      <c r="H1455" s="9" t="s">
        <v>3388</v>
      </c>
      <c r="I1455" s="9" t="s">
        <v>638</v>
      </c>
      <c r="J1455" s="44">
        <v>6.3</v>
      </c>
      <c r="K1455" s="60">
        <v>7.07</v>
      </c>
      <c r="L1455" s="56">
        <v>5.3</v>
      </c>
      <c r="M1455" s="14">
        <f>K1455-L1455</f>
        <v>1.7700000000000005</v>
      </c>
      <c r="N1455" s="15">
        <f>IFERROR(M1455/K1455,0)</f>
        <v>0.25035360678925039</v>
      </c>
      <c r="O1455" s="14">
        <f>IFERROR(L1455/J1455,0)</f>
        <v>0.84126984126984128</v>
      </c>
      <c r="P1455" s="14">
        <f>IFERROR(L1455/G1455,0)</f>
        <v>0.44166666666666821</v>
      </c>
      <c r="R1455" s="57">
        <v>1.64</v>
      </c>
    </row>
    <row r="1456" spans="1:19" x14ac:dyDescent="0.3">
      <c r="A1456" s="9" t="s">
        <v>3252</v>
      </c>
      <c r="B1456" s="9" t="s">
        <v>26</v>
      </c>
      <c r="C1456" s="9" t="s">
        <v>27</v>
      </c>
      <c r="D1456" s="52">
        <v>46189</v>
      </c>
      <c r="E1456" s="48">
        <v>0.85138888888888886</v>
      </c>
      <c r="F1456" s="48">
        <v>0.85833333333333339</v>
      </c>
      <c r="G1456" s="43">
        <f>(F1456-E1456)*1440</f>
        <v>10.000000000000124</v>
      </c>
      <c r="H1456" s="9" t="s">
        <v>1192</v>
      </c>
      <c r="I1456" s="9" t="s">
        <v>3446</v>
      </c>
      <c r="J1456" s="44">
        <v>4.4000000000000004</v>
      </c>
      <c r="K1456" s="60">
        <v>4.1500000000000004</v>
      </c>
      <c r="L1456" s="56">
        <v>3.11</v>
      </c>
      <c r="M1456" s="14">
        <f>K1456-L1456</f>
        <v>1.0400000000000005</v>
      </c>
      <c r="N1456" s="15">
        <f>IFERROR(M1456/K1456,0)</f>
        <v>0.25060240963855429</v>
      </c>
      <c r="O1456" s="14">
        <f>IFERROR(L1456/J1456,0)</f>
        <v>0.70681818181818168</v>
      </c>
      <c r="P1456" s="14">
        <f>IFERROR(L1456/G1456,0)</f>
        <v>0.31099999999999611</v>
      </c>
    </row>
    <row r="1457" spans="1:19" x14ac:dyDescent="0.3">
      <c r="A1457" s="9" t="s">
        <v>3253</v>
      </c>
      <c r="B1457" s="9" t="s">
        <v>26</v>
      </c>
      <c r="C1457" s="9" t="s">
        <v>26</v>
      </c>
      <c r="D1457" s="52">
        <v>46191</v>
      </c>
      <c r="E1457" s="48">
        <v>0.59444444444444444</v>
      </c>
      <c r="F1457" s="48">
        <v>0.6</v>
      </c>
      <c r="G1457" s="43">
        <f>(F1457-E1457)*1440</f>
        <v>7.9999999999999716</v>
      </c>
      <c r="H1457" s="9" t="s">
        <v>908</v>
      </c>
      <c r="I1457" s="9" t="s">
        <v>233</v>
      </c>
      <c r="J1457" s="44">
        <v>4.2</v>
      </c>
      <c r="K1457" s="60">
        <v>3.04</v>
      </c>
      <c r="L1457" s="56">
        <v>3.8</v>
      </c>
      <c r="M1457" s="14">
        <f>K1457-L1457</f>
        <v>-0.75999999999999979</v>
      </c>
      <c r="N1457" s="15">
        <f>IFERROR(M1457/K1457,0)</f>
        <v>-0.24999999999999992</v>
      </c>
      <c r="O1457" s="14">
        <f>IFERROR(L1457/J1457,0)</f>
        <v>0.90476190476190466</v>
      </c>
      <c r="P1457" s="14">
        <f>IFERROR(L1457/G1457,0)</f>
        <v>0.47500000000000164</v>
      </c>
    </row>
    <row r="1458" spans="1:19" x14ac:dyDescent="0.3">
      <c r="A1458" s="9" t="s">
        <v>3254</v>
      </c>
      <c r="B1458" s="9" t="s">
        <v>26</v>
      </c>
      <c r="C1458" s="9" t="s">
        <v>26</v>
      </c>
      <c r="D1458" s="52">
        <v>46191</v>
      </c>
      <c r="E1458" s="48">
        <v>0.68819444444444444</v>
      </c>
      <c r="F1458" s="48">
        <v>0.69097222222222221</v>
      </c>
      <c r="G1458" s="43">
        <f>(F1458-E1458)*1440</f>
        <v>3.9999999999999858</v>
      </c>
      <c r="H1458" s="9" t="s">
        <v>3447</v>
      </c>
      <c r="I1458" s="9" t="s">
        <v>3448</v>
      </c>
      <c r="J1458" s="44">
        <v>1.7</v>
      </c>
      <c r="K1458" s="60">
        <v>3.52</v>
      </c>
      <c r="L1458" s="56">
        <v>3.63</v>
      </c>
      <c r="M1458" s="14">
        <f>K1458-L1458</f>
        <v>-0.10999999999999988</v>
      </c>
      <c r="N1458" s="15">
        <f>IFERROR(M1458/K1458,0)</f>
        <v>-3.1249999999999965E-2</v>
      </c>
      <c r="O1458" s="14">
        <f>IFERROR(L1458/J1458,0)</f>
        <v>2.1352941176470588</v>
      </c>
      <c r="P1458" s="14">
        <f>IFERROR(L1458/G1458,0)</f>
        <v>0.90750000000000319</v>
      </c>
    </row>
    <row r="1459" spans="1:19" x14ac:dyDescent="0.3">
      <c r="A1459" s="9" t="s">
        <v>3255</v>
      </c>
      <c r="B1459" s="9" t="s">
        <v>26</v>
      </c>
      <c r="C1459" s="9" t="s">
        <v>27</v>
      </c>
      <c r="D1459" s="52">
        <v>46191</v>
      </c>
      <c r="E1459" s="48">
        <v>0.88402777777777775</v>
      </c>
      <c r="F1459" s="48">
        <v>0.89583333333333337</v>
      </c>
      <c r="G1459" s="43">
        <f>(F1459-E1459)*1440</f>
        <v>17.000000000000099</v>
      </c>
      <c r="H1459" s="9" t="s">
        <v>3449</v>
      </c>
      <c r="I1459" s="9" t="s">
        <v>3450</v>
      </c>
      <c r="J1459" s="44">
        <v>9.6999999999999993</v>
      </c>
      <c r="K1459" s="60">
        <v>6.56</v>
      </c>
      <c r="L1459" s="56">
        <v>4.92</v>
      </c>
      <c r="M1459" s="14">
        <f>K1459-L1459</f>
        <v>1.6399999999999997</v>
      </c>
      <c r="N1459" s="15">
        <f>IFERROR(M1459/K1459,0)</f>
        <v>0.24999999999999997</v>
      </c>
      <c r="O1459" s="14">
        <f>IFERROR(L1459/J1459,0)</f>
        <v>0.5072164948453608</v>
      </c>
      <c r="P1459" s="14">
        <f>IFERROR(L1459/G1459,0)</f>
        <v>0.28941176470588065</v>
      </c>
    </row>
    <row r="1460" spans="1:19" x14ac:dyDescent="0.3">
      <c r="A1460" s="9" t="s">
        <v>3256</v>
      </c>
      <c r="B1460" s="9" t="s">
        <v>18</v>
      </c>
      <c r="C1460" s="9" t="s">
        <v>184</v>
      </c>
      <c r="D1460" s="52">
        <v>46191</v>
      </c>
      <c r="E1460" s="48">
        <v>0.53680555555555554</v>
      </c>
      <c r="F1460" s="48">
        <v>0.5493055555555556</v>
      </c>
      <c r="G1460" s="43">
        <f>(F1460-E1460)*1440</f>
        <v>18.000000000000096</v>
      </c>
      <c r="H1460" s="9" t="s">
        <v>3451</v>
      </c>
      <c r="I1460" s="9" t="s">
        <v>1120</v>
      </c>
      <c r="J1460" s="44">
        <v>16.66</v>
      </c>
      <c r="K1460" s="60">
        <v>8.94</v>
      </c>
      <c r="L1460" s="56">
        <v>8.02</v>
      </c>
      <c r="M1460" s="14">
        <f>K1460-L1460</f>
        <v>0.91999999999999993</v>
      </c>
      <c r="N1460" s="15">
        <f>IFERROR(M1460/K1460,0)</f>
        <v>0.1029082774049217</v>
      </c>
      <c r="O1460" s="14">
        <f>IFERROR(L1460/J1460,0)</f>
        <v>0.48139255702280909</v>
      </c>
      <c r="P1460" s="14">
        <f>IFERROR(L1460/G1460,0)</f>
        <v>0.44555555555555315</v>
      </c>
    </row>
    <row r="1461" spans="1:19" x14ac:dyDescent="0.3">
      <c r="A1461" s="9" t="s">
        <v>3257</v>
      </c>
      <c r="B1461" s="9" t="s">
        <v>18</v>
      </c>
      <c r="C1461" s="9" t="s">
        <v>184</v>
      </c>
      <c r="D1461" s="52">
        <v>46191</v>
      </c>
      <c r="E1461" s="48">
        <v>0.57013888888888886</v>
      </c>
      <c r="F1461" s="48">
        <v>0.58680555555555558</v>
      </c>
      <c r="G1461" s="43">
        <f>(F1461-E1461)*1440</f>
        <v>24.000000000000075</v>
      </c>
      <c r="H1461" s="9" t="s">
        <v>1120</v>
      </c>
      <c r="I1461" s="9" t="s">
        <v>2795</v>
      </c>
      <c r="J1461" s="44">
        <v>14.9</v>
      </c>
      <c r="K1461" s="60">
        <v>13</v>
      </c>
      <c r="L1461" s="56">
        <v>7.76</v>
      </c>
      <c r="M1461" s="14">
        <f>K1461-L1461</f>
        <v>5.24</v>
      </c>
      <c r="N1461" s="15">
        <f>IFERROR(M1461/K1461,0)</f>
        <v>0.40307692307692311</v>
      </c>
      <c r="O1461" s="14">
        <f>IFERROR(L1461/J1461,0)</f>
        <v>0.52080536912751674</v>
      </c>
      <c r="P1461" s="14">
        <f>IFERROR(L1461/G1461,0)</f>
        <v>0.32333333333333231</v>
      </c>
      <c r="S1461" s="61">
        <v>1</v>
      </c>
    </row>
    <row r="1462" spans="1:19" x14ac:dyDescent="0.3">
      <c r="A1462" s="9" t="s">
        <v>3258</v>
      </c>
      <c r="B1462" s="9" t="s">
        <v>18</v>
      </c>
      <c r="C1462" s="9" t="s">
        <v>196</v>
      </c>
      <c r="D1462" s="52">
        <v>46191</v>
      </c>
      <c r="E1462" s="48">
        <v>0.60277777777777775</v>
      </c>
      <c r="F1462" s="48">
        <v>0.60625000000000007</v>
      </c>
      <c r="G1462" s="43">
        <f>(F1462-E1462)*1440</f>
        <v>5.0000000000001421</v>
      </c>
      <c r="H1462" s="9" t="s">
        <v>1285</v>
      </c>
      <c r="I1462" s="9" t="s">
        <v>1933</v>
      </c>
      <c r="J1462" s="44">
        <v>4.0199999999999996</v>
      </c>
      <c r="K1462" s="60">
        <v>4.9800000000000004</v>
      </c>
      <c r="L1462" s="56">
        <v>3.66</v>
      </c>
      <c r="M1462" s="14">
        <f>K1462-L1462</f>
        <v>1.3200000000000003</v>
      </c>
      <c r="N1462" s="15">
        <f>IFERROR(M1462/K1462,0)</f>
        <v>0.26506024096385544</v>
      </c>
      <c r="O1462" s="14">
        <f>IFERROR(L1462/J1462,0)</f>
        <v>0.91044776119403004</v>
      </c>
      <c r="P1462" s="14">
        <f>IFERROR(L1462/G1462,0)</f>
        <v>0.73199999999997922</v>
      </c>
    </row>
    <row r="1463" spans="1:19" x14ac:dyDescent="0.3">
      <c r="A1463" s="9" t="s">
        <v>3259</v>
      </c>
      <c r="B1463" s="9" t="s">
        <v>18</v>
      </c>
      <c r="C1463" s="9" t="s">
        <v>196</v>
      </c>
      <c r="D1463" s="52">
        <v>46191</v>
      </c>
      <c r="E1463" s="48">
        <v>0.6069444444444444</v>
      </c>
      <c r="F1463" s="48">
        <v>0.61527777777777781</v>
      </c>
      <c r="G1463" s="43">
        <f>(F1463-E1463)*1440</f>
        <v>12.000000000000117</v>
      </c>
      <c r="H1463" s="9" t="s">
        <v>554</v>
      </c>
      <c r="I1463" s="9" t="s">
        <v>819</v>
      </c>
      <c r="J1463" s="44">
        <v>4.3099999999999996</v>
      </c>
      <c r="K1463" s="60">
        <v>5.98</v>
      </c>
      <c r="L1463" s="56">
        <v>3.96</v>
      </c>
      <c r="M1463" s="14">
        <f>K1463-L1463</f>
        <v>2.0200000000000005</v>
      </c>
      <c r="N1463" s="15">
        <f>IFERROR(M1463/K1463,0)</f>
        <v>0.33779264214046828</v>
      </c>
      <c r="O1463" s="14">
        <f>IFERROR(L1463/J1463,0)</f>
        <v>0.91879350348027855</v>
      </c>
      <c r="P1463" s="14">
        <f>IFERROR(L1463/G1463,0)</f>
        <v>0.3299999999999968</v>
      </c>
    </row>
    <row r="1464" spans="1:19" x14ac:dyDescent="0.3">
      <c r="A1464" s="9" t="s">
        <v>3260</v>
      </c>
      <c r="B1464" s="9" t="s">
        <v>18</v>
      </c>
      <c r="C1464" s="9" t="s">
        <v>196</v>
      </c>
      <c r="D1464" s="52">
        <v>46191</v>
      </c>
      <c r="E1464" s="48">
        <v>0.6381944444444444</v>
      </c>
      <c r="F1464" s="48">
        <v>0.6479166666666667</v>
      </c>
      <c r="G1464" s="43">
        <f>(F1464-E1464)*1440</f>
        <v>14.00000000000011</v>
      </c>
      <c r="H1464" s="9" t="s">
        <v>3452</v>
      </c>
      <c r="I1464" s="9" t="s">
        <v>3453</v>
      </c>
      <c r="J1464" s="44">
        <v>9.15</v>
      </c>
      <c r="K1464" s="60">
        <v>8.93</v>
      </c>
      <c r="L1464" s="56">
        <v>6.9</v>
      </c>
      <c r="M1464" s="14">
        <f>K1464-L1464</f>
        <v>2.0299999999999994</v>
      </c>
      <c r="N1464" s="15">
        <f>IFERROR(M1464/K1464,0)</f>
        <v>0.22732362821948482</v>
      </c>
      <c r="O1464" s="14">
        <f>IFERROR(L1464/J1464,0)</f>
        <v>0.75409836065573776</v>
      </c>
      <c r="P1464" s="14">
        <f>IFERROR(L1464/G1464,0)</f>
        <v>0.492857142857139</v>
      </c>
    </row>
    <row r="1465" spans="1:19" x14ac:dyDescent="0.3">
      <c r="A1465" s="9" t="s">
        <v>3261</v>
      </c>
      <c r="B1465" s="9" t="s">
        <v>18</v>
      </c>
      <c r="C1465" s="9" t="s">
        <v>184</v>
      </c>
      <c r="D1465" s="52">
        <v>46191</v>
      </c>
      <c r="E1465" s="48">
        <v>0.65763888888888888</v>
      </c>
      <c r="F1465" s="48">
        <v>0.66527777777777775</v>
      </c>
      <c r="G1465" s="43">
        <f>(F1465-E1465)*1440</f>
        <v>10.999999999999961</v>
      </c>
      <c r="H1465" s="9" t="s">
        <v>2797</v>
      </c>
      <c r="I1465" s="9" t="s">
        <v>214</v>
      </c>
      <c r="J1465" s="44">
        <v>6.15</v>
      </c>
      <c r="K1465" s="60">
        <v>4.93</v>
      </c>
      <c r="L1465" s="56">
        <v>3.48</v>
      </c>
      <c r="M1465" s="14">
        <f>K1465-L1465</f>
        <v>1.4499999999999997</v>
      </c>
      <c r="N1465" s="15">
        <f>IFERROR(M1465/K1465,0)</f>
        <v>0.29411764705882348</v>
      </c>
      <c r="O1465" s="14">
        <f>IFERROR(L1465/J1465,0)</f>
        <v>0.56585365853658531</v>
      </c>
      <c r="P1465" s="14">
        <f>IFERROR(L1465/G1465,0)</f>
        <v>0.31636363636363751</v>
      </c>
    </row>
    <row r="1466" spans="1:19" x14ac:dyDescent="0.3">
      <c r="A1466" s="9" t="s">
        <v>3262</v>
      </c>
      <c r="B1466" s="9" t="s">
        <v>18</v>
      </c>
      <c r="C1466" s="9" t="s">
        <v>184</v>
      </c>
      <c r="D1466" s="52">
        <v>46191</v>
      </c>
      <c r="E1466" s="48">
        <v>0.66527777777777775</v>
      </c>
      <c r="F1466" s="48">
        <v>0.68194444444444446</v>
      </c>
      <c r="G1466" s="43">
        <f>(F1466-E1466)*1440</f>
        <v>24.000000000000075</v>
      </c>
      <c r="H1466" s="9" t="s">
        <v>214</v>
      </c>
      <c r="I1466" s="9" t="s">
        <v>3454</v>
      </c>
      <c r="J1466" s="44">
        <v>19.71</v>
      </c>
      <c r="K1466" s="60">
        <v>11.6</v>
      </c>
      <c r="L1466" s="56">
        <v>7.76</v>
      </c>
      <c r="M1466" s="14">
        <f>K1466-L1466</f>
        <v>3.84</v>
      </c>
      <c r="N1466" s="15">
        <f>IFERROR(M1466/K1466,0)</f>
        <v>0.33103448275862069</v>
      </c>
      <c r="O1466" s="14">
        <f>IFERROR(L1466/J1466,0)</f>
        <v>0.39370877727042108</v>
      </c>
      <c r="P1466" s="14">
        <f>IFERROR(L1466/G1466,0)</f>
        <v>0.32333333333333231</v>
      </c>
      <c r="Q1466" s="64">
        <v>0.7</v>
      </c>
    </row>
    <row r="1467" spans="1:19" x14ac:dyDescent="0.3">
      <c r="A1467" s="9" t="s">
        <v>3263</v>
      </c>
      <c r="B1467" s="9" t="s">
        <v>18</v>
      </c>
      <c r="C1467" s="9" t="s">
        <v>184</v>
      </c>
      <c r="D1467" s="52">
        <v>46191</v>
      </c>
      <c r="E1467" s="48">
        <v>0.69236111111111109</v>
      </c>
      <c r="F1467" s="48">
        <v>0.69930555555555562</v>
      </c>
      <c r="G1467" s="43">
        <f>(F1467-E1467)*1440</f>
        <v>10.000000000000124</v>
      </c>
      <c r="H1467" s="9" t="s">
        <v>3455</v>
      </c>
      <c r="I1467" s="9" t="s">
        <v>3456</v>
      </c>
      <c r="J1467" s="44">
        <v>5.0599999999999996</v>
      </c>
      <c r="K1467" s="60">
        <v>4.9400000000000004</v>
      </c>
      <c r="L1467" s="56">
        <v>3.99</v>
      </c>
      <c r="M1467" s="14">
        <f>K1467-L1467</f>
        <v>0.95000000000000018</v>
      </c>
      <c r="N1467" s="15">
        <f>IFERROR(M1467/K1467,0)</f>
        <v>0.19230769230769232</v>
      </c>
      <c r="O1467" s="14">
        <f>IFERROR(L1467/J1467,0)</f>
        <v>0.78853754940711474</v>
      </c>
      <c r="P1467" s="14">
        <f>IFERROR(L1467/G1467,0)</f>
        <v>0.39899999999999508</v>
      </c>
    </row>
    <row r="1468" spans="1:19" x14ac:dyDescent="0.3">
      <c r="A1468" s="9" t="s">
        <v>3264</v>
      </c>
      <c r="B1468" s="9" t="s">
        <v>18</v>
      </c>
      <c r="C1468" s="9" t="s">
        <v>184</v>
      </c>
      <c r="D1468" s="52">
        <v>46191</v>
      </c>
      <c r="E1468" s="48">
        <v>0.70208333333333339</v>
      </c>
      <c r="F1468" s="48">
        <v>0.72013888888888899</v>
      </c>
      <c r="G1468" s="43">
        <f>(F1468-E1468)*1440</f>
        <v>26.000000000000068</v>
      </c>
      <c r="H1468" s="9" t="s">
        <v>3457</v>
      </c>
      <c r="I1468" s="9" t="s">
        <v>3458</v>
      </c>
      <c r="J1468" s="44">
        <v>21.74</v>
      </c>
      <c r="K1468" s="60">
        <v>14.95</v>
      </c>
      <c r="L1468" s="56">
        <v>9.26</v>
      </c>
      <c r="M1468" s="14">
        <f>K1468-L1468</f>
        <v>5.6899999999999995</v>
      </c>
      <c r="N1468" s="15">
        <f>IFERROR(M1468/K1468,0)</f>
        <v>0.38060200668896321</v>
      </c>
      <c r="O1468" s="14">
        <f>IFERROR(L1468/J1468,0)</f>
        <v>0.42594296228150874</v>
      </c>
      <c r="P1468" s="14">
        <f>IFERROR(L1468/G1468,0)</f>
        <v>0.35615384615384521</v>
      </c>
    </row>
    <row r="1469" spans="1:19" x14ac:dyDescent="0.3">
      <c r="A1469" s="9" t="s">
        <v>3265</v>
      </c>
      <c r="B1469" s="9" t="s">
        <v>18</v>
      </c>
      <c r="C1469" s="9" t="s">
        <v>184</v>
      </c>
      <c r="D1469" s="52">
        <v>46191</v>
      </c>
      <c r="E1469" s="48">
        <v>0.73402777777777783</v>
      </c>
      <c r="F1469" s="48">
        <v>0.74375000000000002</v>
      </c>
      <c r="G1469" s="43">
        <f>(F1469-E1469)*1440</f>
        <v>13.99999999999995</v>
      </c>
      <c r="H1469" s="9" t="s">
        <v>214</v>
      </c>
      <c r="I1469" s="9" t="s">
        <v>2584</v>
      </c>
      <c r="J1469" s="44">
        <v>4.68</v>
      </c>
      <c r="K1469" s="60">
        <v>9.9600000000000009</v>
      </c>
      <c r="L1469" s="56">
        <v>7.61</v>
      </c>
      <c r="M1469" s="14">
        <f>K1469-L1469</f>
        <v>2.3500000000000005</v>
      </c>
      <c r="N1469" s="15">
        <f>IFERROR(M1469/K1469,0)</f>
        <v>0.23594377510040163</v>
      </c>
      <c r="O1469" s="14">
        <f>IFERROR(L1469/J1469,0)</f>
        <v>1.6260683760683763</v>
      </c>
      <c r="P1469" s="14">
        <f>IFERROR(L1469/G1469,0)</f>
        <v>0.54357142857143048</v>
      </c>
    </row>
    <row r="1470" spans="1:19" x14ac:dyDescent="0.3">
      <c r="A1470" s="9" t="s">
        <v>3266</v>
      </c>
      <c r="B1470" s="9" t="s">
        <v>18</v>
      </c>
      <c r="C1470" s="9" t="s">
        <v>184</v>
      </c>
      <c r="D1470" s="52">
        <v>46191</v>
      </c>
      <c r="E1470" s="48">
        <v>0.74444444444444446</v>
      </c>
      <c r="F1470" s="48">
        <v>0.7715277777777777</v>
      </c>
      <c r="G1470" s="43">
        <f>(F1470-E1470)*1440</f>
        <v>38.999999999999858</v>
      </c>
      <c r="H1470" s="9" t="s">
        <v>3459</v>
      </c>
      <c r="I1470" s="9" t="s">
        <v>3460</v>
      </c>
      <c r="J1470" s="44">
        <v>25.2</v>
      </c>
      <c r="K1470" s="60">
        <v>17.940000000000001</v>
      </c>
      <c r="L1470" s="56">
        <v>11.09</v>
      </c>
      <c r="M1470" s="14">
        <f>K1470-L1470</f>
        <v>6.8500000000000014</v>
      </c>
      <c r="N1470" s="15">
        <f>IFERROR(M1470/K1470,0)</f>
        <v>0.38182831661092537</v>
      </c>
      <c r="O1470" s="14">
        <f>IFERROR(L1470/J1470,0)</f>
        <v>0.44007936507936507</v>
      </c>
      <c r="P1470" s="14">
        <f>IFERROR(L1470/G1470,0)</f>
        <v>0.28435897435897539</v>
      </c>
      <c r="Q1470" s="64">
        <v>1.6</v>
      </c>
    </row>
    <row r="1471" spans="1:19" x14ac:dyDescent="0.3">
      <c r="A1471" s="9" t="s">
        <v>3267</v>
      </c>
      <c r="B1471" s="9" t="s">
        <v>18</v>
      </c>
      <c r="C1471" s="9" t="s">
        <v>196</v>
      </c>
      <c r="D1471" s="52">
        <v>46191</v>
      </c>
      <c r="E1471" s="48">
        <v>0.77638888888888891</v>
      </c>
      <c r="F1471" s="48">
        <v>0.79305555555555562</v>
      </c>
      <c r="G1471" s="43">
        <f>(F1471-E1471)*1440</f>
        <v>24.000000000000075</v>
      </c>
      <c r="H1471" s="9" t="s">
        <v>3461</v>
      </c>
      <c r="I1471" s="9" t="s">
        <v>632</v>
      </c>
      <c r="J1471" s="44">
        <v>20.75</v>
      </c>
      <c r="K1471" s="60">
        <v>16.989999999999998</v>
      </c>
      <c r="L1471" s="56">
        <v>10</v>
      </c>
      <c r="M1471" s="14">
        <f>K1471-L1471</f>
        <v>6.9899999999999984</v>
      </c>
      <c r="N1471" s="15">
        <f>IFERROR(M1471/K1471,0)</f>
        <v>0.41141848145968213</v>
      </c>
      <c r="O1471" s="14">
        <f>IFERROR(L1471/J1471,0)</f>
        <v>0.48192771084337349</v>
      </c>
      <c r="P1471" s="14">
        <f>IFERROR(L1471/G1471,0)</f>
        <v>0.41666666666666535</v>
      </c>
      <c r="S1471" s="61">
        <v>1.6</v>
      </c>
    </row>
    <row r="1472" spans="1:19" x14ac:dyDescent="0.3">
      <c r="A1472" s="9" t="s">
        <v>3268</v>
      </c>
      <c r="B1472" s="9" t="s">
        <v>18</v>
      </c>
      <c r="C1472" s="9" t="s">
        <v>184</v>
      </c>
      <c r="D1472" s="52">
        <v>46191</v>
      </c>
      <c r="E1472" s="48">
        <v>0.81944444444444453</v>
      </c>
      <c r="F1472" s="48">
        <v>0.8354166666666667</v>
      </c>
      <c r="G1472" s="43">
        <f>(F1472-E1472)*1440</f>
        <v>22.999999999999918</v>
      </c>
      <c r="H1472" s="9" t="s">
        <v>681</v>
      </c>
      <c r="I1472" s="9" t="s">
        <v>3462</v>
      </c>
      <c r="J1472" s="44">
        <v>8.75</v>
      </c>
      <c r="K1472" s="60">
        <v>7.94</v>
      </c>
      <c r="L1472" s="56">
        <v>6.28</v>
      </c>
      <c r="M1472" s="14">
        <f>K1472-L1472</f>
        <v>1.6600000000000001</v>
      </c>
      <c r="N1472" s="15">
        <f>IFERROR(M1472/K1472,0)</f>
        <v>0.20906801007556675</v>
      </c>
      <c r="O1472" s="14">
        <f>IFERROR(L1472/J1472,0)</f>
        <v>0.71771428571428575</v>
      </c>
      <c r="P1472" s="14">
        <f>IFERROR(L1472/G1472,0)</f>
        <v>0.27304347826087055</v>
      </c>
    </row>
    <row r="1473" spans="1:19" x14ac:dyDescent="0.3">
      <c r="A1473" s="9" t="s">
        <v>3269</v>
      </c>
      <c r="B1473" s="9" t="s">
        <v>18</v>
      </c>
      <c r="C1473" s="9" t="s">
        <v>184</v>
      </c>
      <c r="D1473" s="52">
        <v>46191</v>
      </c>
      <c r="E1473" s="48">
        <v>0.83958333333333324</v>
      </c>
      <c r="F1473" s="48">
        <v>0.84652777777777777</v>
      </c>
      <c r="G1473" s="43">
        <f>(F1473-E1473)*1440</f>
        <v>10.000000000000124</v>
      </c>
      <c r="H1473" s="9" t="s">
        <v>3463</v>
      </c>
      <c r="I1473" s="9" t="s">
        <v>604</v>
      </c>
      <c r="J1473" s="44">
        <v>4.49</v>
      </c>
      <c r="K1473" s="60">
        <v>3.96</v>
      </c>
      <c r="L1473" s="56">
        <v>3.57</v>
      </c>
      <c r="M1473" s="14">
        <f>K1473-L1473</f>
        <v>0.39000000000000012</v>
      </c>
      <c r="N1473" s="15">
        <f>IFERROR(M1473/K1473,0)</f>
        <v>9.8484848484848522E-2</v>
      </c>
      <c r="O1473" s="14">
        <f>IFERROR(L1473/J1473,0)</f>
        <v>0.7951002227171492</v>
      </c>
      <c r="P1473" s="14">
        <f>IFERROR(L1473/G1473,0)</f>
        <v>0.35699999999999554</v>
      </c>
    </row>
    <row r="1474" spans="1:19" x14ac:dyDescent="0.3">
      <c r="A1474" s="9" t="s">
        <v>3270</v>
      </c>
      <c r="B1474" s="9" t="s">
        <v>18</v>
      </c>
      <c r="C1474" s="9" t="s">
        <v>184</v>
      </c>
      <c r="D1474" s="52">
        <v>46192</v>
      </c>
      <c r="E1474" s="48">
        <v>0.625</v>
      </c>
      <c r="F1474" s="48">
        <v>0.63750000000000007</v>
      </c>
      <c r="G1474" s="43">
        <f>(F1474-E1474)*1440</f>
        <v>18.000000000000096</v>
      </c>
      <c r="H1474" s="9" t="s">
        <v>3464</v>
      </c>
      <c r="I1474" s="9" t="s">
        <v>3465</v>
      </c>
      <c r="J1474" s="44">
        <v>11.81</v>
      </c>
      <c r="K1474" s="60">
        <v>7.93</v>
      </c>
      <c r="L1474" s="56">
        <v>6.86</v>
      </c>
      <c r="M1474" s="14">
        <f>K1474-L1474</f>
        <v>1.0699999999999994</v>
      </c>
      <c r="N1474" s="15">
        <f>IFERROR(M1474/K1474,0)</f>
        <v>0.13493064312736436</v>
      </c>
      <c r="O1474" s="14">
        <f>IFERROR(L1474/J1474,0)</f>
        <v>0.58086367485182044</v>
      </c>
      <c r="P1474" s="14">
        <f>IFERROR(L1474/G1474,0)</f>
        <v>0.38111111111110912</v>
      </c>
    </row>
    <row r="1475" spans="1:19" x14ac:dyDescent="0.3">
      <c r="A1475" s="9" t="s">
        <v>3271</v>
      </c>
      <c r="B1475" s="9" t="s">
        <v>18</v>
      </c>
      <c r="C1475" s="9" t="s">
        <v>184</v>
      </c>
      <c r="D1475" s="52">
        <v>46192</v>
      </c>
      <c r="E1475" s="48">
        <v>0.71527777777777779</v>
      </c>
      <c r="F1475" s="48">
        <v>0.7270833333333333</v>
      </c>
      <c r="G1475" s="43">
        <f>(F1475-E1475)*1440</f>
        <v>16.99999999999994</v>
      </c>
      <c r="H1475" s="9" t="s">
        <v>2481</v>
      </c>
      <c r="I1475" s="9" t="s">
        <v>1689</v>
      </c>
      <c r="J1475" s="44">
        <v>10.92</v>
      </c>
      <c r="K1475" s="60">
        <v>7.94</v>
      </c>
      <c r="L1475" s="56">
        <v>6.58</v>
      </c>
      <c r="M1475" s="14">
        <f>K1475-L1475</f>
        <v>1.3600000000000003</v>
      </c>
      <c r="N1475" s="15">
        <f>IFERROR(M1475/K1475,0)</f>
        <v>0.17128463476070532</v>
      </c>
      <c r="O1475" s="14">
        <f>IFERROR(L1475/J1475,0)</f>
        <v>0.60256410256410253</v>
      </c>
      <c r="P1475" s="14">
        <f>IFERROR(L1475/G1475,0)</f>
        <v>0.38705882352941312</v>
      </c>
    </row>
    <row r="1476" spans="1:19" x14ac:dyDescent="0.3">
      <c r="A1476" s="9" t="s">
        <v>3272</v>
      </c>
      <c r="B1476" s="9" t="s">
        <v>18</v>
      </c>
      <c r="C1476" s="9" t="s">
        <v>196</v>
      </c>
      <c r="D1476" s="52">
        <v>46192</v>
      </c>
      <c r="E1476" s="48">
        <v>0.8208333333333333</v>
      </c>
      <c r="F1476" s="48">
        <v>0.8256944444444444</v>
      </c>
      <c r="G1476" s="43">
        <f>(F1476-E1476)*1440</f>
        <v>6.9999999999999751</v>
      </c>
      <c r="H1476" s="9" t="s">
        <v>592</v>
      </c>
      <c r="I1476" s="9" t="s">
        <v>3466</v>
      </c>
      <c r="J1476" s="44">
        <v>3.36</v>
      </c>
      <c r="K1476" s="60">
        <v>7.99</v>
      </c>
      <c r="L1476" s="56">
        <v>5.97</v>
      </c>
      <c r="M1476" s="14">
        <f>K1476-L1476</f>
        <v>2.0200000000000005</v>
      </c>
      <c r="N1476" s="15">
        <f>IFERROR(M1476/K1476,0)</f>
        <v>0.25281602002503134</v>
      </c>
      <c r="O1476" s="14">
        <f>IFERROR(L1476/J1476,0)</f>
        <v>1.7767857142857142</v>
      </c>
      <c r="P1476" s="14">
        <f>IFERROR(L1476/G1476,0)</f>
        <v>0.85285714285714587</v>
      </c>
    </row>
    <row r="1477" spans="1:19" x14ac:dyDescent="0.3">
      <c r="A1477" s="9" t="s">
        <v>3273</v>
      </c>
      <c r="B1477" s="9" t="s">
        <v>18</v>
      </c>
      <c r="C1477" s="9" t="s">
        <v>184</v>
      </c>
      <c r="D1477" s="52">
        <v>46192</v>
      </c>
      <c r="E1477" s="48">
        <v>0.83333333333333337</v>
      </c>
      <c r="F1477" s="48">
        <v>0.84861111111111109</v>
      </c>
      <c r="G1477" s="43">
        <f>(F1477-E1477)*1440</f>
        <v>21.999999999999922</v>
      </c>
      <c r="H1477" s="9" t="s">
        <v>3467</v>
      </c>
      <c r="I1477" s="9" t="s">
        <v>3468</v>
      </c>
      <c r="J1477" s="44">
        <v>10</v>
      </c>
      <c r="K1477" s="60">
        <v>7.93</v>
      </c>
      <c r="L1477" s="56">
        <v>5.49</v>
      </c>
      <c r="M1477" s="14">
        <f>K1477-L1477</f>
        <v>2.4399999999999995</v>
      </c>
      <c r="N1477" s="15">
        <f>IFERROR(M1477/K1477,0)</f>
        <v>0.30769230769230765</v>
      </c>
      <c r="O1477" s="14">
        <f>IFERROR(L1477/J1477,0)</f>
        <v>0.54900000000000004</v>
      </c>
      <c r="P1477" s="14">
        <f>IFERROR(L1477/G1477,0)</f>
        <v>0.24954545454545543</v>
      </c>
    </row>
    <row r="1478" spans="1:19" x14ac:dyDescent="0.3">
      <c r="A1478" s="9" t="s">
        <v>3274</v>
      </c>
      <c r="B1478" s="9" t="s">
        <v>18</v>
      </c>
      <c r="C1478" s="9" t="s">
        <v>184</v>
      </c>
      <c r="D1478" s="52">
        <v>46192</v>
      </c>
      <c r="E1478" s="48">
        <v>0.87013888888888891</v>
      </c>
      <c r="F1478" s="48">
        <v>0.8833333333333333</v>
      </c>
      <c r="G1478" s="43">
        <f>(F1478-E1478)*1440</f>
        <v>18.999999999999932</v>
      </c>
      <c r="H1478" s="9" t="s">
        <v>3469</v>
      </c>
      <c r="I1478" s="9" t="s">
        <v>3470</v>
      </c>
      <c r="J1478" s="44">
        <v>13.88</v>
      </c>
      <c r="K1478" s="60">
        <v>8.93</v>
      </c>
      <c r="L1478" s="56">
        <v>6.06</v>
      </c>
      <c r="M1478" s="14">
        <f>K1478-L1478</f>
        <v>2.87</v>
      </c>
      <c r="N1478" s="15">
        <f>IFERROR(M1478/K1478,0)</f>
        <v>0.32138857782754759</v>
      </c>
      <c r="O1478" s="14">
        <f>IFERROR(L1478/J1478,0)</f>
        <v>0.43659942363112386</v>
      </c>
      <c r="P1478" s="14">
        <f>IFERROR(L1478/G1478,0)</f>
        <v>0.31894736842105376</v>
      </c>
    </row>
    <row r="1479" spans="1:19" x14ac:dyDescent="0.3">
      <c r="A1479" s="9" t="s">
        <v>3275</v>
      </c>
      <c r="B1479" s="9" t="s">
        <v>26</v>
      </c>
      <c r="C1479" s="9" t="s">
        <v>27</v>
      </c>
      <c r="D1479" s="52">
        <v>46192</v>
      </c>
      <c r="E1479" s="48">
        <v>0.55625000000000002</v>
      </c>
      <c r="F1479" s="48">
        <v>0.56388888888888888</v>
      </c>
      <c r="G1479" s="43">
        <f>(F1479-E1479)*1440</f>
        <v>10.999999999999961</v>
      </c>
      <c r="H1479" s="9" t="s">
        <v>3471</v>
      </c>
      <c r="I1479" s="9" t="s">
        <v>1765</v>
      </c>
      <c r="J1479" s="44">
        <v>6</v>
      </c>
      <c r="K1479" s="60">
        <v>5.08</v>
      </c>
      <c r="L1479" s="56">
        <v>3.81</v>
      </c>
      <c r="M1479" s="14">
        <f>K1479-L1479</f>
        <v>1.27</v>
      </c>
      <c r="N1479" s="15">
        <f>IFERROR(M1479/K1479,0)</f>
        <v>0.25</v>
      </c>
      <c r="O1479" s="14">
        <f>IFERROR(L1479/J1479,0)</f>
        <v>0.63500000000000001</v>
      </c>
      <c r="P1479" s="14">
        <f>IFERROR(L1479/G1479,0)</f>
        <v>0.34636363636363759</v>
      </c>
    </row>
    <row r="1480" spans="1:19" x14ac:dyDescent="0.3">
      <c r="A1480" s="9" t="s">
        <v>3276</v>
      </c>
      <c r="B1480" s="9" t="s">
        <v>26</v>
      </c>
      <c r="C1480" s="9" t="s">
        <v>27</v>
      </c>
      <c r="D1480" s="52">
        <v>46192</v>
      </c>
      <c r="E1480" s="48">
        <v>0.57013888888888886</v>
      </c>
      <c r="F1480" s="48">
        <v>0.5854166666666667</v>
      </c>
      <c r="G1480" s="43">
        <f>(F1480-E1480)*1440</f>
        <v>22.000000000000082</v>
      </c>
      <c r="H1480" s="9" t="s">
        <v>3472</v>
      </c>
      <c r="I1480" s="9" t="s">
        <v>3473</v>
      </c>
      <c r="J1480" s="44">
        <v>19.2</v>
      </c>
      <c r="K1480" s="60">
        <v>11.65</v>
      </c>
      <c r="L1480" s="56">
        <v>8.74</v>
      </c>
      <c r="M1480" s="14">
        <f>K1480-L1480</f>
        <v>2.91</v>
      </c>
      <c r="N1480" s="15">
        <f>IFERROR(M1480/K1480,0)</f>
        <v>0.2497854077253219</v>
      </c>
      <c r="O1480" s="14">
        <f>IFERROR(L1480/J1480,0)</f>
        <v>0.45520833333333338</v>
      </c>
      <c r="P1480" s="14">
        <f>IFERROR(L1480/G1480,0)</f>
        <v>0.39727272727272583</v>
      </c>
    </row>
    <row r="1481" spans="1:19" x14ac:dyDescent="0.3">
      <c r="A1481" s="9" t="s">
        <v>3277</v>
      </c>
      <c r="B1481" s="9" t="s">
        <v>26</v>
      </c>
      <c r="C1481" s="9" t="s">
        <v>27</v>
      </c>
      <c r="D1481" s="52">
        <v>46192</v>
      </c>
      <c r="E1481" s="48">
        <v>0.58888888888888891</v>
      </c>
      <c r="F1481" s="48">
        <v>0.59444444444444444</v>
      </c>
      <c r="G1481" s="43">
        <f>(F1481-E1481)*1440</f>
        <v>7.9999999999999716</v>
      </c>
      <c r="H1481" s="9" t="s">
        <v>3474</v>
      </c>
      <c r="I1481" s="9" t="s">
        <v>3475</v>
      </c>
      <c r="J1481" s="44">
        <v>2.8</v>
      </c>
      <c r="K1481" s="60">
        <v>5.01</v>
      </c>
      <c r="L1481" s="56">
        <v>3.76</v>
      </c>
      <c r="M1481" s="14">
        <f>K1481-L1481</f>
        <v>1.25</v>
      </c>
      <c r="N1481" s="15">
        <f>IFERROR(M1481/K1481,0)</f>
        <v>0.24950099800399203</v>
      </c>
      <c r="O1481" s="14">
        <f>IFERROR(L1481/J1481,0)</f>
        <v>1.342857142857143</v>
      </c>
      <c r="P1481" s="14">
        <f>IFERROR(L1481/G1481,0)</f>
        <v>0.47000000000000164</v>
      </c>
      <c r="R1481" s="57">
        <v>1.1599999999999999</v>
      </c>
    </row>
    <row r="1482" spans="1:19" x14ac:dyDescent="0.3">
      <c r="A1482" s="9" t="s">
        <v>3278</v>
      </c>
      <c r="B1482" s="9" t="s">
        <v>26</v>
      </c>
      <c r="C1482" s="9" t="s">
        <v>27</v>
      </c>
      <c r="D1482" s="52">
        <v>46192</v>
      </c>
      <c r="E1482" s="48">
        <v>0.59722222222222221</v>
      </c>
      <c r="F1482" s="48">
        <v>0.60625000000000007</v>
      </c>
      <c r="G1482" s="43">
        <f>(F1482-E1482)*1440</f>
        <v>13.000000000000114</v>
      </c>
      <c r="H1482" s="9" t="s">
        <v>3476</v>
      </c>
      <c r="I1482" s="9" t="s">
        <v>2190</v>
      </c>
      <c r="J1482" s="44">
        <v>7.1</v>
      </c>
      <c r="K1482" s="60">
        <v>5.62</v>
      </c>
      <c r="L1482" s="56">
        <v>4.21</v>
      </c>
      <c r="M1482" s="14">
        <f>K1482-L1482</f>
        <v>1.4100000000000001</v>
      </c>
      <c r="N1482" s="15">
        <f>IFERROR(M1482/K1482,0)</f>
        <v>0.25088967971530252</v>
      </c>
      <c r="O1482" s="14">
        <f>IFERROR(L1482/J1482,0)</f>
        <v>0.59295774647887323</v>
      </c>
      <c r="P1482" s="14">
        <f>IFERROR(L1482/G1482,0)</f>
        <v>0.32384615384615101</v>
      </c>
    </row>
    <row r="1483" spans="1:19" x14ac:dyDescent="0.3">
      <c r="A1483" s="9" t="s">
        <v>3279</v>
      </c>
      <c r="B1483" s="9" t="s">
        <v>26</v>
      </c>
      <c r="C1483" s="9" t="s">
        <v>26</v>
      </c>
      <c r="D1483" s="52">
        <v>46192</v>
      </c>
      <c r="E1483" s="48">
        <v>0.60902777777777783</v>
      </c>
      <c r="F1483" s="48">
        <v>0.61805555555555558</v>
      </c>
      <c r="G1483" s="43">
        <f>(F1483-E1483)*1440</f>
        <v>12.999999999999954</v>
      </c>
      <c r="H1483" s="9" t="s">
        <v>1315</v>
      </c>
      <c r="I1483" s="9" t="s">
        <v>3477</v>
      </c>
      <c r="J1483" s="44">
        <v>9.3000000000000007</v>
      </c>
      <c r="K1483" s="60">
        <v>8.24</v>
      </c>
      <c r="L1483" s="56">
        <v>6.18</v>
      </c>
      <c r="M1483" s="14">
        <f>K1483-L1483</f>
        <v>2.0600000000000005</v>
      </c>
      <c r="N1483" s="15">
        <f>IFERROR(M1483/K1483,0)</f>
        <v>0.25000000000000006</v>
      </c>
      <c r="O1483" s="14">
        <f>IFERROR(L1483/J1483,0)</f>
        <v>0.66451612903225799</v>
      </c>
      <c r="P1483" s="14">
        <f>IFERROR(L1483/G1483,0)</f>
        <v>0.47538461538461707</v>
      </c>
    </row>
    <row r="1484" spans="1:19" x14ac:dyDescent="0.3">
      <c r="A1484" s="9" t="s">
        <v>3280</v>
      </c>
      <c r="B1484" s="9" t="s">
        <v>26</v>
      </c>
      <c r="C1484" s="9" t="s">
        <v>27</v>
      </c>
      <c r="D1484" s="52">
        <v>46192</v>
      </c>
      <c r="E1484" s="48">
        <v>0.67291666666666661</v>
      </c>
      <c r="F1484" s="48">
        <v>0.6777777777777777</v>
      </c>
      <c r="G1484" s="43">
        <f>(F1484-E1484)*1440</f>
        <v>6.9999999999999751</v>
      </c>
      <c r="H1484" s="9" t="s">
        <v>248</v>
      </c>
      <c r="I1484" s="9" t="s">
        <v>569</v>
      </c>
      <c r="J1484" s="44">
        <v>2.2000000000000002</v>
      </c>
      <c r="K1484" s="60">
        <v>4.24</v>
      </c>
      <c r="L1484" s="56">
        <v>3.18</v>
      </c>
      <c r="M1484" s="14">
        <f>K1484-L1484</f>
        <v>1.06</v>
      </c>
      <c r="N1484" s="15">
        <f>IFERROR(M1484/K1484,0)</f>
        <v>0.25</v>
      </c>
      <c r="O1484" s="14">
        <f>IFERROR(L1484/J1484,0)</f>
        <v>1.4454545454545453</v>
      </c>
      <c r="P1484" s="14">
        <f>IFERROR(L1484/G1484,0)</f>
        <v>0.4542857142857159</v>
      </c>
      <c r="R1484" s="57">
        <v>0.39</v>
      </c>
    </row>
    <row r="1485" spans="1:19" x14ac:dyDescent="0.3">
      <c r="A1485" s="9" t="s">
        <v>3281</v>
      </c>
      <c r="B1485" s="9" t="s">
        <v>26</v>
      </c>
      <c r="C1485" s="9" t="s">
        <v>26</v>
      </c>
      <c r="D1485" s="52">
        <v>46192</v>
      </c>
      <c r="E1485" s="48">
        <v>0.67986111111111114</v>
      </c>
      <c r="F1485" s="48">
        <v>0.68888888888888899</v>
      </c>
      <c r="G1485" s="43">
        <f>(F1485-E1485)*1440</f>
        <v>13.000000000000114</v>
      </c>
      <c r="H1485" s="9" t="s">
        <v>214</v>
      </c>
      <c r="I1485" s="9" t="s">
        <v>3478</v>
      </c>
      <c r="J1485" s="44">
        <v>3.8</v>
      </c>
      <c r="K1485" s="60">
        <v>4.26</v>
      </c>
      <c r="L1485" s="56">
        <v>3.99</v>
      </c>
      <c r="M1485" s="14">
        <f>K1485-L1485</f>
        <v>0.26999999999999957</v>
      </c>
      <c r="N1485" s="15">
        <f>IFERROR(M1485/K1485,0)</f>
        <v>6.3380281690140747E-2</v>
      </c>
      <c r="O1485" s="14">
        <f>IFERROR(L1485/J1485,0)</f>
        <v>1.05</v>
      </c>
      <c r="P1485" s="14">
        <f>IFERROR(L1485/G1485,0)</f>
        <v>0.30692307692307425</v>
      </c>
    </row>
    <row r="1486" spans="1:19" x14ac:dyDescent="0.3">
      <c r="A1486" s="9" t="s">
        <v>3282</v>
      </c>
      <c r="B1486" s="9" t="s">
        <v>26</v>
      </c>
      <c r="C1486" s="9" t="s">
        <v>27</v>
      </c>
      <c r="D1486" s="52">
        <v>46192</v>
      </c>
      <c r="E1486" s="48">
        <v>0.69166666666666676</v>
      </c>
      <c r="F1486" s="48">
        <v>0.69791666666666663</v>
      </c>
      <c r="G1486" s="43">
        <f>(F1486-E1486)*1440</f>
        <v>8.9999999999998082</v>
      </c>
      <c r="H1486" s="9" t="s">
        <v>3479</v>
      </c>
      <c r="I1486" s="9" t="s">
        <v>3480</v>
      </c>
      <c r="J1486" s="44">
        <v>2.6</v>
      </c>
      <c r="K1486" s="60">
        <v>4.24</v>
      </c>
      <c r="L1486" s="56">
        <v>3.18</v>
      </c>
      <c r="M1486" s="14">
        <f>K1486-L1486</f>
        <v>1.06</v>
      </c>
      <c r="N1486" s="15">
        <f>IFERROR(M1486/K1486,0)</f>
        <v>0.25</v>
      </c>
      <c r="O1486" s="14">
        <f>IFERROR(L1486/J1486,0)</f>
        <v>1.2230769230769232</v>
      </c>
      <c r="P1486" s="14">
        <f>IFERROR(L1486/G1486,0)</f>
        <v>0.35333333333334088</v>
      </c>
      <c r="R1486" s="57">
        <v>0.39</v>
      </c>
    </row>
    <row r="1487" spans="1:19" x14ac:dyDescent="0.3">
      <c r="A1487" s="9" t="s">
        <v>3283</v>
      </c>
      <c r="B1487" s="9" t="s">
        <v>26</v>
      </c>
      <c r="C1487" s="9" t="s">
        <v>26</v>
      </c>
      <c r="D1487" s="52">
        <v>46192</v>
      </c>
      <c r="E1487" s="48">
        <v>0.70138888888888884</v>
      </c>
      <c r="F1487" s="48">
        <v>0.70833333333333337</v>
      </c>
      <c r="G1487" s="43">
        <f>(F1487-E1487)*1440</f>
        <v>10.000000000000124</v>
      </c>
      <c r="H1487" s="9" t="s">
        <v>3481</v>
      </c>
      <c r="I1487" s="9" t="s">
        <v>3316</v>
      </c>
      <c r="J1487" s="44">
        <v>2.9</v>
      </c>
      <c r="K1487" s="60">
        <v>3.39</v>
      </c>
      <c r="L1487" s="56">
        <v>3.63</v>
      </c>
      <c r="M1487" s="14">
        <f>K1487-L1487</f>
        <v>-0.23999999999999977</v>
      </c>
      <c r="N1487" s="15">
        <f>IFERROR(M1487/K1487,0)</f>
        <v>-7.079646017699108E-2</v>
      </c>
      <c r="O1487" s="14">
        <f>IFERROR(L1487/J1487,0)</f>
        <v>1.2517241379310344</v>
      </c>
      <c r="P1487" s="14">
        <f>IFERROR(L1487/G1487,0)</f>
        <v>0.36299999999999549</v>
      </c>
      <c r="R1487" s="57">
        <v>0.44</v>
      </c>
    </row>
    <row r="1488" spans="1:19" x14ac:dyDescent="0.3">
      <c r="A1488" s="9" t="s">
        <v>3284</v>
      </c>
      <c r="B1488" s="9" t="s">
        <v>26</v>
      </c>
      <c r="C1488" s="9" t="s">
        <v>26</v>
      </c>
      <c r="D1488" s="52">
        <v>46192</v>
      </c>
      <c r="E1488" s="48">
        <v>0.73888888888888893</v>
      </c>
      <c r="F1488" s="48">
        <v>0.75347222222222221</v>
      </c>
      <c r="G1488" s="43">
        <f>(F1488-E1488)*1440</f>
        <v>20.999999999999925</v>
      </c>
      <c r="H1488" s="9" t="s">
        <v>3483</v>
      </c>
      <c r="I1488" s="9" t="s">
        <v>3482</v>
      </c>
      <c r="J1488" s="44">
        <v>11.5</v>
      </c>
      <c r="K1488" s="60">
        <v>6.28</v>
      </c>
      <c r="L1488" s="56">
        <v>8.91</v>
      </c>
      <c r="M1488" s="14">
        <f>K1488-L1488</f>
        <v>-2.63</v>
      </c>
      <c r="N1488" s="15">
        <f>IFERROR(M1488/K1488,0)</f>
        <v>-0.41878980891719741</v>
      </c>
      <c r="O1488" s="14">
        <f>IFERROR(L1488/J1488,0)</f>
        <v>0.77478260869565219</v>
      </c>
      <c r="P1488" s="14">
        <f>IFERROR(L1488/G1488,0)</f>
        <v>0.42428571428571582</v>
      </c>
      <c r="R1488" s="57">
        <v>1.79</v>
      </c>
      <c r="S1488" s="61">
        <v>1</v>
      </c>
    </row>
    <row r="1489" spans="1:19" x14ac:dyDescent="0.3">
      <c r="A1489" s="9" t="s">
        <v>3285</v>
      </c>
      <c r="B1489" s="9" t="s">
        <v>26</v>
      </c>
      <c r="C1489" s="9" t="s">
        <v>27</v>
      </c>
      <c r="D1489" s="52">
        <v>46192</v>
      </c>
      <c r="E1489" s="48">
        <v>0.75624999999999998</v>
      </c>
      <c r="F1489" s="48">
        <v>0.77708333333333324</v>
      </c>
      <c r="G1489" s="43">
        <f>(F1489-E1489)*1440</f>
        <v>29.999999999999893</v>
      </c>
      <c r="H1489" s="9" t="s">
        <v>3484</v>
      </c>
      <c r="I1489" s="9" t="s">
        <v>3485</v>
      </c>
      <c r="J1489" s="44">
        <v>17.3</v>
      </c>
      <c r="K1489" s="60">
        <v>13.43</v>
      </c>
      <c r="L1489" s="56">
        <v>10.17</v>
      </c>
      <c r="M1489" s="14">
        <f>K1489-L1489</f>
        <v>3.26</v>
      </c>
      <c r="N1489" s="15">
        <f>IFERROR(M1489/K1489,0)</f>
        <v>0.24274013402829486</v>
      </c>
      <c r="O1489" s="14">
        <f>IFERROR(L1489/J1489,0)</f>
        <v>0.58786127167630053</v>
      </c>
      <c r="P1489" s="14">
        <f>IFERROR(L1489/G1489,0)</f>
        <v>0.33900000000000119</v>
      </c>
    </row>
    <row r="1490" spans="1:19" x14ac:dyDescent="0.3">
      <c r="A1490" s="9" t="s">
        <v>3286</v>
      </c>
      <c r="B1490" s="9" t="s">
        <v>26</v>
      </c>
      <c r="C1490" s="9" t="s">
        <v>26</v>
      </c>
      <c r="D1490" s="52">
        <v>46192</v>
      </c>
      <c r="E1490" s="48">
        <v>0.77986111111111101</v>
      </c>
      <c r="F1490" s="48">
        <v>0.7895833333333333</v>
      </c>
      <c r="G1490" s="43">
        <f>(F1490-E1490)*1440</f>
        <v>14.00000000000011</v>
      </c>
      <c r="H1490" s="9" t="s">
        <v>3485</v>
      </c>
      <c r="I1490" s="9" t="s">
        <v>3486</v>
      </c>
      <c r="J1490" s="44">
        <v>9.4</v>
      </c>
      <c r="K1490" s="60">
        <v>8.94</v>
      </c>
      <c r="L1490" s="56">
        <v>8.48</v>
      </c>
      <c r="M1490" s="14">
        <f>K1490-L1490</f>
        <v>0.45999999999999908</v>
      </c>
      <c r="N1490" s="15">
        <f>IFERROR(M1490/K1490,0)</f>
        <v>5.1454138702460753E-2</v>
      </c>
      <c r="O1490" s="14">
        <f>IFERROR(L1490/J1490,0)</f>
        <v>0.90212765957446805</v>
      </c>
      <c r="P1490" s="14">
        <f>IFERROR(L1490/G1490,0)</f>
        <v>0.60571428571428099</v>
      </c>
      <c r="R1490" s="57">
        <v>0.4</v>
      </c>
      <c r="S1490" s="61">
        <v>1.8</v>
      </c>
    </row>
    <row r="1491" spans="1:19" x14ac:dyDescent="0.3">
      <c r="A1491" s="9" t="s">
        <v>3287</v>
      </c>
      <c r="B1491" s="9" t="s">
        <v>26</v>
      </c>
      <c r="C1491" s="9" t="s">
        <v>26</v>
      </c>
      <c r="D1491" s="52">
        <v>46192</v>
      </c>
      <c r="E1491" s="48">
        <v>0.7909722222222223</v>
      </c>
      <c r="F1491" s="48">
        <v>0.79791666666666661</v>
      </c>
      <c r="G1491" s="43">
        <f>(F1491-E1491)*1440</f>
        <v>9.9999999999998046</v>
      </c>
      <c r="H1491" s="9" t="s">
        <v>3487</v>
      </c>
      <c r="I1491" s="9" t="s">
        <v>3488</v>
      </c>
      <c r="J1491" s="44">
        <v>5.7</v>
      </c>
      <c r="K1491" s="60">
        <v>4.16</v>
      </c>
      <c r="L1491" s="56">
        <v>4.29</v>
      </c>
      <c r="M1491" s="14">
        <f>K1491-L1491</f>
        <v>-0.12999999999999989</v>
      </c>
      <c r="N1491" s="15">
        <f>IFERROR(M1491/K1491,0)</f>
        <v>-3.1249999999999972E-2</v>
      </c>
      <c r="O1491" s="14">
        <f>IFERROR(L1491/J1491,0)</f>
        <v>0.75263157894736843</v>
      </c>
      <c r="P1491" s="14">
        <f>IFERROR(L1491/G1491,0)</f>
        <v>0.42900000000000837</v>
      </c>
    </row>
    <row r="1492" spans="1:19" x14ac:dyDescent="0.3">
      <c r="A1492" s="9" t="s">
        <v>3288</v>
      </c>
      <c r="B1492" s="9" t="s">
        <v>26</v>
      </c>
      <c r="C1492" s="9" t="s">
        <v>27</v>
      </c>
      <c r="D1492" s="52">
        <v>46192</v>
      </c>
      <c r="E1492" s="48">
        <v>0.79999999999999993</v>
      </c>
      <c r="F1492" s="48">
        <v>0.80694444444444446</v>
      </c>
      <c r="G1492" s="43">
        <f>(F1492-E1492)*1440</f>
        <v>10.000000000000124</v>
      </c>
      <c r="H1492" s="9" t="s">
        <v>3017</v>
      </c>
      <c r="I1492" s="9" t="s">
        <v>1285</v>
      </c>
      <c r="J1492" s="44">
        <v>3.8</v>
      </c>
      <c r="K1492" s="60">
        <v>5.9</v>
      </c>
      <c r="L1492" s="56">
        <v>4.42</v>
      </c>
      <c r="M1492" s="14">
        <f>K1492-L1492</f>
        <v>1.4800000000000004</v>
      </c>
      <c r="N1492" s="15">
        <f>IFERROR(M1492/K1492,0)</f>
        <v>0.25084745762711869</v>
      </c>
      <c r="O1492" s="14">
        <f>IFERROR(L1492/J1492,0)</f>
        <v>1.1631578947368422</v>
      </c>
      <c r="P1492" s="14">
        <f>IFERROR(L1492/G1492,0)</f>
        <v>0.44199999999999451</v>
      </c>
    </row>
    <row r="1493" spans="1:19" x14ac:dyDescent="0.3">
      <c r="A1493" s="9" t="s">
        <v>3289</v>
      </c>
      <c r="B1493" s="9" t="s">
        <v>26</v>
      </c>
      <c r="C1493" s="9" t="s">
        <v>27</v>
      </c>
      <c r="D1493" s="52">
        <v>46192</v>
      </c>
      <c r="E1493" s="48">
        <v>0.8881944444444444</v>
      </c>
      <c r="F1493" s="48">
        <v>0.89236111111111116</v>
      </c>
      <c r="G1493" s="43">
        <f>(F1493-E1493)*1440</f>
        <v>6.0000000000001386</v>
      </c>
      <c r="H1493" s="9" t="s">
        <v>1260</v>
      </c>
      <c r="I1493" s="9" t="s">
        <v>3489</v>
      </c>
      <c r="J1493" s="44">
        <v>2.5</v>
      </c>
      <c r="K1493" s="60">
        <v>3.85</v>
      </c>
      <c r="L1493" s="56">
        <v>2.89</v>
      </c>
      <c r="M1493" s="14">
        <f>K1493-L1493</f>
        <v>0.96</v>
      </c>
      <c r="N1493" s="15">
        <f>IFERROR(M1493/K1493,0)</f>
        <v>0.24935064935064932</v>
      </c>
      <c r="O1493" s="14">
        <f>IFERROR(L1493/J1493,0)</f>
        <v>1.1560000000000001</v>
      </c>
      <c r="P1493" s="14">
        <f>IFERROR(L1493/G1493,0)</f>
        <v>0.48166666666665559</v>
      </c>
    </row>
    <row r="1494" spans="1:19" x14ac:dyDescent="0.3">
      <c r="A1494" s="9" t="s">
        <v>3290</v>
      </c>
      <c r="B1494" s="9" t="s">
        <v>26</v>
      </c>
      <c r="C1494" s="9" t="s">
        <v>27</v>
      </c>
      <c r="D1494" s="52">
        <v>46193</v>
      </c>
      <c r="E1494" s="48">
        <v>0.55138888888888882</v>
      </c>
      <c r="F1494" s="48">
        <v>0.56944444444444442</v>
      </c>
      <c r="G1494" s="43">
        <f>(F1494-E1494)*1440</f>
        <v>26.000000000000068</v>
      </c>
      <c r="H1494" s="9" t="s">
        <v>1697</v>
      </c>
      <c r="I1494" s="9" t="s">
        <v>214</v>
      </c>
      <c r="J1494" s="44">
        <v>21.2</v>
      </c>
      <c r="K1494" s="60">
        <v>12.16</v>
      </c>
      <c r="L1494" s="56">
        <v>9.1199999999999992</v>
      </c>
      <c r="M1494" s="14">
        <f>K1494-L1494</f>
        <v>3.0400000000000009</v>
      </c>
      <c r="N1494" s="15">
        <f>IFERROR(M1494/K1494,0)</f>
        <v>0.25000000000000006</v>
      </c>
      <c r="O1494" s="14">
        <f>IFERROR(L1494/J1494,0)</f>
        <v>0.43018867924528298</v>
      </c>
      <c r="P1494" s="14">
        <f>IFERROR(L1494/G1494,0)</f>
        <v>0.35076923076922983</v>
      </c>
    </row>
    <row r="1495" spans="1:19" x14ac:dyDescent="0.3">
      <c r="A1495" s="9" t="s">
        <v>3291</v>
      </c>
      <c r="B1495" s="9" t="s">
        <v>26</v>
      </c>
      <c r="C1495" s="9" t="s">
        <v>26</v>
      </c>
      <c r="D1495" s="52">
        <v>46193</v>
      </c>
      <c r="E1495" s="48">
        <v>0.59722222222222221</v>
      </c>
      <c r="F1495" s="48">
        <v>0.60555555555555551</v>
      </c>
      <c r="G1495" s="43">
        <f>(F1495-E1495)*1440</f>
        <v>11.999999999999957</v>
      </c>
      <c r="H1495" s="9" t="s">
        <v>1903</v>
      </c>
      <c r="I1495" s="9" t="s">
        <v>1736</v>
      </c>
      <c r="J1495" s="44">
        <v>5.4</v>
      </c>
      <c r="K1495" s="60">
        <v>7.7</v>
      </c>
      <c r="L1495" s="56">
        <v>7.22</v>
      </c>
      <c r="M1495" s="14">
        <f>K1495-L1495</f>
        <v>0.48000000000000043</v>
      </c>
      <c r="N1495" s="15">
        <f>IFERROR(M1495/K1495,0)</f>
        <v>6.2337662337662393E-2</v>
      </c>
      <c r="O1495" s="14">
        <f>IFERROR(L1495/J1495,0)</f>
        <v>1.3370370370370368</v>
      </c>
      <c r="P1495" s="14">
        <f>IFERROR(L1495/G1495,0)</f>
        <v>0.60166666666666879</v>
      </c>
      <c r="R1495" s="57">
        <v>4.82</v>
      </c>
    </row>
    <row r="1496" spans="1:19" x14ac:dyDescent="0.3">
      <c r="A1496" s="9" t="s">
        <v>3292</v>
      </c>
      <c r="B1496" s="9" t="s">
        <v>26</v>
      </c>
      <c r="C1496" s="9" t="s">
        <v>27</v>
      </c>
      <c r="D1496" s="52">
        <v>46193</v>
      </c>
      <c r="E1496" s="48">
        <v>0.6118055555555556</v>
      </c>
      <c r="F1496" s="48">
        <v>0.61875000000000002</v>
      </c>
      <c r="G1496" s="43">
        <f>(F1496-E1496)*1440</f>
        <v>9.9999999999999645</v>
      </c>
      <c r="H1496" s="9" t="s">
        <v>843</v>
      </c>
      <c r="I1496" s="9" t="s">
        <v>3989</v>
      </c>
      <c r="J1496" s="44">
        <v>7.7</v>
      </c>
      <c r="K1496" s="60">
        <v>6.79</v>
      </c>
      <c r="L1496" s="56">
        <v>5.09</v>
      </c>
      <c r="M1496" s="14">
        <f>K1496-L1496</f>
        <v>1.7000000000000002</v>
      </c>
      <c r="N1496" s="15">
        <f>IFERROR(M1496/K1496,0)</f>
        <v>0.25036818851251841</v>
      </c>
      <c r="O1496" s="14">
        <f>IFERROR(L1496/J1496,0)</f>
        <v>0.66103896103896098</v>
      </c>
      <c r="P1496" s="14">
        <f>IFERROR(L1496/G1496,0)</f>
        <v>0.50900000000000178</v>
      </c>
      <c r="R1496" s="57">
        <v>1.57</v>
      </c>
    </row>
    <row r="1497" spans="1:19" x14ac:dyDescent="0.3">
      <c r="A1497" s="9" t="s">
        <v>3293</v>
      </c>
      <c r="B1497" s="9" t="s">
        <v>26</v>
      </c>
      <c r="C1497" s="9" t="s">
        <v>27</v>
      </c>
      <c r="D1497" s="52">
        <v>46193</v>
      </c>
      <c r="E1497" s="48">
        <v>0.62222222222222223</v>
      </c>
      <c r="F1497" s="48">
        <v>0.63124999999999998</v>
      </c>
      <c r="G1497" s="43">
        <f>(F1497-E1497)*1440</f>
        <v>12.999999999999954</v>
      </c>
      <c r="H1497" s="9" t="s">
        <v>3371</v>
      </c>
      <c r="I1497" s="9" t="s">
        <v>3990</v>
      </c>
      <c r="J1497" s="44">
        <v>9</v>
      </c>
      <c r="K1497" s="60">
        <v>9.1199999999999992</v>
      </c>
      <c r="L1497" s="56">
        <v>6.84</v>
      </c>
      <c r="M1497" s="14">
        <f>K1497-L1497</f>
        <v>2.2799999999999994</v>
      </c>
      <c r="N1497" s="15">
        <f>IFERROR(M1497/K1497,0)</f>
        <v>0.24999999999999994</v>
      </c>
      <c r="O1497" s="14">
        <f>IFERROR(L1497/J1497,0)</f>
        <v>0.76</v>
      </c>
      <c r="P1497" s="14">
        <f>IFERROR(L1497/G1497,0)</f>
        <v>0.52615384615384797</v>
      </c>
    </row>
    <row r="1498" spans="1:19" x14ac:dyDescent="0.3">
      <c r="A1498" s="9" t="s">
        <v>3294</v>
      </c>
      <c r="B1498" s="9" t="s">
        <v>26</v>
      </c>
      <c r="C1498" s="9" t="s">
        <v>27</v>
      </c>
      <c r="D1498" s="52">
        <v>46193</v>
      </c>
      <c r="E1498" s="48">
        <v>0.66736111111111107</v>
      </c>
      <c r="F1498" s="48">
        <v>0.68194444444444446</v>
      </c>
      <c r="G1498" s="43">
        <f>(F1498-E1498)*1440</f>
        <v>21.000000000000085</v>
      </c>
      <c r="H1498" s="9" t="s">
        <v>3991</v>
      </c>
      <c r="I1498" s="9" t="s">
        <v>3452</v>
      </c>
      <c r="J1498" s="44">
        <v>17.899999999999999</v>
      </c>
      <c r="K1498" s="60">
        <v>10.08</v>
      </c>
      <c r="L1498" s="56">
        <v>7.56</v>
      </c>
      <c r="M1498" s="14">
        <f>K1498-L1498</f>
        <v>2.5200000000000005</v>
      </c>
      <c r="N1498" s="15">
        <f>IFERROR(M1498/K1498,0)</f>
        <v>0.25000000000000006</v>
      </c>
      <c r="O1498" s="14">
        <f>IFERROR(L1498/J1498,0)</f>
        <v>0.4223463687150838</v>
      </c>
      <c r="P1498" s="14">
        <f>IFERROR(L1498/G1498,0)</f>
        <v>0.35999999999999854</v>
      </c>
    </row>
    <row r="1499" spans="1:19" x14ac:dyDescent="0.3">
      <c r="A1499" s="9" t="s">
        <v>3295</v>
      </c>
      <c r="B1499" s="9" t="s">
        <v>26</v>
      </c>
      <c r="C1499" s="9" t="s">
        <v>27</v>
      </c>
      <c r="D1499" s="52">
        <v>46193</v>
      </c>
      <c r="E1499" s="48">
        <v>0.68680555555555556</v>
      </c>
      <c r="F1499" s="48">
        <v>0.69930555555555562</v>
      </c>
      <c r="G1499" s="43">
        <f>(F1499-E1499)*1440</f>
        <v>18.000000000000096</v>
      </c>
      <c r="H1499" s="9" t="s">
        <v>729</v>
      </c>
      <c r="I1499" s="9" t="s">
        <v>214</v>
      </c>
      <c r="J1499" s="44">
        <v>12</v>
      </c>
      <c r="K1499" s="60">
        <v>11.65</v>
      </c>
      <c r="L1499" s="56">
        <v>8.74</v>
      </c>
      <c r="M1499" s="14">
        <f>K1499-L1499</f>
        <v>2.91</v>
      </c>
      <c r="N1499" s="15">
        <f>IFERROR(M1499/K1499,0)</f>
        <v>0.2497854077253219</v>
      </c>
      <c r="O1499" s="14">
        <f>IFERROR(L1499/J1499,0)</f>
        <v>0.72833333333333339</v>
      </c>
      <c r="P1499" s="14">
        <f>IFERROR(L1499/G1499,0)</f>
        <v>0.48555555555555296</v>
      </c>
    </row>
    <row r="1500" spans="1:19" x14ac:dyDescent="0.3">
      <c r="A1500" s="9" t="s">
        <v>3296</v>
      </c>
      <c r="B1500" s="9" t="s">
        <v>26</v>
      </c>
      <c r="C1500" s="9" t="s">
        <v>27</v>
      </c>
      <c r="D1500" s="52">
        <v>46193</v>
      </c>
      <c r="E1500" s="48">
        <v>0.71319444444444446</v>
      </c>
      <c r="F1500" s="48">
        <v>0.72013888888888899</v>
      </c>
      <c r="G1500" s="43">
        <f>(F1500-E1500)*1440</f>
        <v>10.000000000000124</v>
      </c>
      <c r="H1500" s="9" t="s">
        <v>3992</v>
      </c>
      <c r="I1500" s="9" t="s">
        <v>3993</v>
      </c>
      <c r="J1500" s="44">
        <v>6</v>
      </c>
      <c r="K1500" s="60">
        <v>6.65</v>
      </c>
      <c r="L1500" s="56">
        <v>4.99</v>
      </c>
      <c r="M1500" s="14">
        <f>K1500-L1500</f>
        <v>1.6600000000000001</v>
      </c>
      <c r="N1500" s="15">
        <f>IFERROR(M1500/K1500,0)</f>
        <v>0.24962406015037594</v>
      </c>
      <c r="O1500" s="14">
        <f>IFERROR(L1500/J1500,0)</f>
        <v>0.83166666666666667</v>
      </c>
      <c r="P1500" s="14">
        <f>IFERROR(L1500/G1500,0)</f>
        <v>0.49899999999999384</v>
      </c>
    </row>
    <row r="1501" spans="1:19" x14ac:dyDescent="0.3">
      <c r="A1501" s="9" t="s">
        <v>3490</v>
      </c>
      <c r="B1501" s="9" t="s">
        <v>26</v>
      </c>
      <c r="C1501" s="9" t="s">
        <v>27</v>
      </c>
      <c r="D1501" s="52">
        <v>46193</v>
      </c>
      <c r="E1501" s="48">
        <v>0.72430555555555554</v>
      </c>
      <c r="F1501" s="48">
        <v>0.73125000000000007</v>
      </c>
      <c r="G1501" s="43">
        <f>(F1501-E1501)*1440</f>
        <v>10.000000000000124</v>
      </c>
      <c r="H1501" s="9" t="s">
        <v>1324</v>
      </c>
      <c r="I1501" s="9" t="s">
        <v>698</v>
      </c>
      <c r="J1501" s="44">
        <v>3.4</v>
      </c>
      <c r="K1501" s="60">
        <v>6.78</v>
      </c>
      <c r="L1501" s="56">
        <v>5.08</v>
      </c>
      <c r="M1501" s="14">
        <f>K1501-L1501</f>
        <v>1.7000000000000002</v>
      </c>
      <c r="N1501" s="15">
        <f>IFERROR(M1501/K1501,0)</f>
        <v>0.2507374631268437</v>
      </c>
      <c r="O1501" s="14">
        <f>IFERROR(L1501/J1501,0)</f>
        <v>1.4941176470588236</v>
      </c>
      <c r="P1501" s="14">
        <f>IFERROR(L1501/G1501,0)</f>
        <v>0.50799999999999368</v>
      </c>
    </row>
    <row r="1502" spans="1:19" x14ac:dyDescent="0.3">
      <c r="A1502" s="9" t="s">
        <v>3491</v>
      </c>
      <c r="B1502" s="9" t="s">
        <v>26</v>
      </c>
      <c r="C1502" s="9" t="s">
        <v>27</v>
      </c>
      <c r="D1502" s="52">
        <v>46193</v>
      </c>
      <c r="E1502" s="48">
        <v>0.75624999999999998</v>
      </c>
      <c r="F1502" s="48">
        <v>0.76250000000000007</v>
      </c>
      <c r="G1502" s="43">
        <f>(F1502-E1502)*1440</f>
        <v>9.0000000000001279</v>
      </c>
      <c r="H1502" s="9" t="s">
        <v>3994</v>
      </c>
      <c r="I1502" s="9" t="s">
        <v>1284</v>
      </c>
      <c r="J1502" s="44">
        <v>3.5</v>
      </c>
      <c r="K1502" s="60">
        <v>5.78</v>
      </c>
      <c r="L1502" s="56">
        <v>4.33</v>
      </c>
      <c r="M1502" s="14">
        <f>K1502-L1502</f>
        <v>1.4500000000000002</v>
      </c>
      <c r="N1502" s="15">
        <f>IFERROR(M1502/K1502,0)</f>
        <v>0.2508650519031142</v>
      </c>
      <c r="O1502" s="14">
        <f>IFERROR(L1502/J1502,0)</f>
        <v>1.2371428571428571</v>
      </c>
      <c r="P1502" s="14">
        <f>IFERROR(L1502/G1502,0)</f>
        <v>0.48111111111110427</v>
      </c>
    </row>
    <row r="1503" spans="1:19" x14ac:dyDescent="0.3">
      <c r="A1503" s="9" t="s">
        <v>3492</v>
      </c>
      <c r="B1503" s="9" t="s">
        <v>26</v>
      </c>
      <c r="C1503" s="9" t="s">
        <v>26</v>
      </c>
      <c r="D1503" s="52">
        <v>46193</v>
      </c>
      <c r="E1503" s="48">
        <v>0.77361111111111114</v>
      </c>
      <c r="F1503" s="48">
        <v>0.78472222222222221</v>
      </c>
      <c r="G1503" s="43">
        <f>(F1503-E1503)*1440</f>
        <v>15.999999999999943</v>
      </c>
      <c r="H1503" s="9" t="s">
        <v>242</v>
      </c>
      <c r="I1503" s="9" t="s">
        <v>1171</v>
      </c>
      <c r="J1503" s="44">
        <v>5.9</v>
      </c>
      <c r="K1503" s="60">
        <v>6.33</v>
      </c>
      <c r="L1503" s="56">
        <v>4.75</v>
      </c>
      <c r="M1503" s="14">
        <f>K1503-L1503</f>
        <v>1.58</v>
      </c>
      <c r="N1503" s="15">
        <f>IFERROR(M1503/K1503,0)</f>
        <v>0.2496050552922591</v>
      </c>
      <c r="O1503" s="14">
        <f>IFERROR(L1503/J1503,0)</f>
        <v>0.80508474576271183</v>
      </c>
      <c r="P1503" s="14">
        <f>IFERROR(L1503/G1503,0)</f>
        <v>0.29687500000000105</v>
      </c>
      <c r="R1503" s="57">
        <v>1.05</v>
      </c>
    </row>
    <row r="1504" spans="1:19" x14ac:dyDescent="0.3">
      <c r="A1504" s="9" t="s">
        <v>3493</v>
      </c>
      <c r="B1504" s="9" t="s">
        <v>26</v>
      </c>
      <c r="C1504" s="9" t="s">
        <v>27</v>
      </c>
      <c r="D1504" s="52">
        <v>46193</v>
      </c>
      <c r="E1504" s="48">
        <v>0.81527777777777777</v>
      </c>
      <c r="F1504" s="48">
        <v>0.82638888888888884</v>
      </c>
      <c r="G1504" s="43">
        <f>(F1504-E1504)*1440</f>
        <v>15.999999999999943</v>
      </c>
      <c r="H1504" s="9" t="s">
        <v>2616</v>
      </c>
      <c r="I1504" s="9" t="s">
        <v>3995</v>
      </c>
      <c r="J1504" s="44">
        <v>8.1999999999999993</v>
      </c>
      <c r="K1504" s="60">
        <v>5.97</v>
      </c>
      <c r="L1504" s="56">
        <v>4.4800000000000004</v>
      </c>
      <c r="M1504" s="14">
        <f>K1504-L1504</f>
        <v>1.4899999999999993</v>
      </c>
      <c r="N1504" s="15">
        <f>IFERROR(M1504/K1504,0)</f>
        <v>0.24958123953098818</v>
      </c>
      <c r="O1504" s="14">
        <f>IFERROR(L1504/J1504,0)</f>
        <v>0.5463414634146343</v>
      </c>
      <c r="P1504" s="14">
        <f>IFERROR(L1504/G1504,0)</f>
        <v>0.28000000000000103</v>
      </c>
    </row>
    <row r="1505" spans="1:16" x14ac:dyDescent="0.3">
      <c r="A1505" s="9" t="s">
        <v>3494</v>
      </c>
      <c r="B1505" s="9" t="s">
        <v>26</v>
      </c>
      <c r="C1505" s="9" t="s">
        <v>27</v>
      </c>
      <c r="D1505" s="52">
        <v>46193</v>
      </c>
      <c r="E1505" s="48">
        <v>0.82986111111111116</v>
      </c>
      <c r="F1505" s="48">
        <v>0.83819444444444446</v>
      </c>
      <c r="G1505" s="43">
        <f>(F1505-E1505)*1440</f>
        <v>11.999999999999957</v>
      </c>
      <c r="H1505" s="9" t="s">
        <v>3996</v>
      </c>
      <c r="I1505" s="9" t="s">
        <v>3997</v>
      </c>
      <c r="J1505" s="44">
        <v>6.7</v>
      </c>
      <c r="K1505" s="60">
        <v>6.41</v>
      </c>
      <c r="L1505" s="56">
        <v>4.8099999999999996</v>
      </c>
      <c r="M1505" s="14">
        <f>K1505-L1505</f>
        <v>1.6000000000000005</v>
      </c>
      <c r="N1505" s="15">
        <f>IFERROR(M1505/K1505,0)</f>
        <v>0.24960998439937604</v>
      </c>
      <c r="O1505" s="14">
        <f>IFERROR(L1505/J1505,0)</f>
        <v>0.71791044776119395</v>
      </c>
      <c r="P1505" s="14">
        <f>IFERROR(L1505/G1505,0)</f>
        <v>0.40083333333333471</v>
      </c>
    </row>
    <row r="1506" spans="1:16" x14ac:dyDescent="0.3">
      <c r="A1506" s="9" t="s">
        <v>3495</v>
      </c>
      <c r="B1506" s="9" t="s">
        <v>26</v>
      </c>
      <c r="C1506" s="67" t="s">
        <v>27</v>
      </c>
      <c r="D1506" s="52">
        <v>46193</v>
      </c>
      <c r="E1506" s="48">
        <v>0.84791666666666676</v>
      </c>
      <c r="F1506" s="48">
        <v>0.8618055555555556</v>
      </c>
      <c r="G1506" s="43">
        <f>(F1506-E1506)*1440</f>
        <v>19.999999999999929</v>
      </c>
      <c r="H1506" s="9" t="s">
        <v>3998</v>
      </c>
      <c r="I1506" s="9" t="s">
        <v>3999</v>
      </c>
      <c r="J1506" s="44">
        <v>15.4</v>
      </c>
      <c r="K1506" s="60">
        <v>10.53</v>
      </c>
      <c r="L1506" s="56">
        <v>7.9</v>
      </c>
      <c r="M1506" s="14">
        <f>K1506-L1506</f>
        <v>2.629999999999999</v>
      </c>
      <c r="N1506" s="15">
        <f>IFERROR(M1506/K1506,0)</f>
        <v>0.24976258309591634</v>
      </c>
      <c r="O1506" s="14">
        <f>IFERROR(L1506/J1506,0)</f>
        <v>0.51298701298701299</v>
      </c>
      <c r="P1506" s="14">
        <f>IFERROR(L1506/G1506,0)</f>
        <v>0.39500000000000141</v>
      </c>
    </row>
    <row r="1507" spans="1:16" x14ac:dyDescent="0.3">
      <c r="A1507" s="9" t="s">
        <v>3496</v>
      </c>
      <c r="B1507" s="9" t="s">
        <v>18</v>
      </c>
      <c r="C1507" s="9" t="s">
        <v>184</v>
      </c>
      <c r="D1507" s="52">
        <v>46193</v>
      </c>
      <c r="E1507" s="48">
        <v>0.57013888888888886</v>
      </c>
      <c r="F1507" s="48">
        <v>0.57708333333333328</v>
      </c>
      <c r="G1507" s="43">
        <f>(F1507-E1507)*1440</f>
        <v>9.9999999999999645</v>
      </c>
      <c r="H1507" s="9" t="s">
        <v>214</v>
      </c>
      <c r="I1507" s="9" t="s">
        <v>2871</v>
      </c>
      <c r="J1507" s="44">
        <v>5.2</v>
      </c>
      <c r="K1507" s="60">
        <v>7.94</v>
      </c>
      <c r="L1507" s="56">
        <v>5.26</v>
      </c>
      <c r="M1507" s="14">
        <f>K1507-L1507</f>
        <v>2.6800000000000006</v>
      </c>
      <c r="N1507" s="15">
        <f>IFERROR(M1507/K1507,0)</f>
        <v>0.33753148614609579</v>
      </c>
      <c r="O1507" s="14">
        <f>IFERROR(L1507/J1507,0)</f>
        <v>1.0115384615384615</v>
      </c>
      <c r="P1507" s="14">
        <f>IFERROR(L1507/G1507,0)</f>
        <v>0.5260000000000018</v>
      </c>
    </row>
    <row r="1508" spans="1:16" x14ac:dyDescent="0.3">
      <c r="A1508" s="9" t="s">
        <v>3497</v>
      </c>
      <c r="B1508" s="9" t="s">
        <v>18</v>
      </c>
      <c r="C1508" s="9" t="s">
        <v>196</v>
      </c>
      <c r="D1508" s="52">
        <v>46193</v>
      </c>
      <c r="E1508" s="48">
        <v>0.57638888888888895</v>
      </c>
      <c r="F1508" s="48">
        <v>0.58124999999999993</v>
      </c>
      <c r="G1508" s="43">
        <f>(F1508-E1508)*1440</f>
        <v>6.9999999999998153</v>
      </c>
      <c r="H1508" s="9" t="s">
        <v>4000</v>
      </c>
      <c r="I1508" s="9" t="s">
        <v>214</v>
      </c>
      <c r="J1508" s="44">
        <v>4.91</v>
      </c>
      <c r="K1508" s="60">
        <v>5.99</v>
      </c>
      <c r="L1508" s="56">
        <v>4.43</v>
      </c>
      <c r="M1508" s="14">
        <f>K1508-L1508</f>
        <v>1.5600000000000005</v>
      </c>
      <c r="N1508" s="15">
        <f>IFERROR(M1508/K1508,0)</f>
        <v>0.26043405676126885</v>
      </c>
      <c r="O1508" s="14">
        <f>IFERROR(L1508/J1508,0)</f>
        <v>0.90224032586558034</v>
      </c>
      <c r="P1508" s="14">
        <f>IFERROR(L1508/G1508,0)</f>
        <v>0.63285714285715955</v>
      </c>
    </row>
    <row r="1509" spans="1:16" x14ac:dyDescent="0.3">
      <c r="A1509" s="9" t="s">
        <v>3498</v>
      </c>
      <c r="B1509" s="9" t="s">
        <v>18</v>
      </c>
      <c r="C1509" s="9" t="s">
        <v>184</v>
      </c>
      <c r="D1509" s="52">
        <v>46193</v>
      </c>
      <c r="E1509" s="48">
        <v>0.63124999999999998</v>
      </c>
      <c r="F1509" s="48">
        <v>0.6479166666666667</v>
      </c>
      <c r="G1509" s="43">
        <f>(F1509-E1509)*1440</f>
        <v>24.000000000000075</v>
      </c>
      <c r="H1509" s="69" t="s">
        <v>4001</v>
      </c>
      <c r="I1509" s="9" t="s">
        <v>4002</v>
      </c>
      <c r="J1509" s="44">
        <v>16.510000000000002</v>
      </c>
      <c r="K1509" s="60">
        <v>20.010000000000002</v>
      </c>
      <c r="L1509" s="56">
        <v>12.32</v>
      </c>
      <c r="M1509" s="14">
        <f>K1509-L1509</f>
        <v>7.6900000000000013</v>
      </c>
      <c r="N1509" s="15">
        <f>IFERROR(M1509/K1509,0)</f>
        <v>0.38430784607696156</v>
      </c>
      <c r="O1509" s="14">
        <f>IFERROR(L1509/J1509,0)</f>
        <v>0.74621441550575407</v>
      </c>
      <c r="P1509" s="14">
        <f>IFERROR(L1509/G1509,0)</f>
        <v>0.51333333333333175</v>
      </c>
    </row>
    <row r="1510" spans="1:16" x14ac:dyDescent="0.3">
      <c r="A1510" s="9" t="s">
        <v>3499</v>
      </c>
      <c r="B1510" s="9" t="s">
        <v>18</v>
      </c>
      <c r="C1510" s="9" t="s">
        <v>184</v>
      </c>
      <c r="D1510" s="52">
        <v>46193</v>
      </c>
      <c r="E1510" s="48">
        <v>0.65555555555555556</v>
      </c>
      <c r="F1510" s="48">
        <v>0.65902777777777777</v>
      </c>
      <c r="G1510" s="43">
        <f>(F1510-E1510)*1440</f>
        <v>4.9999999999999822</v>
      </c>
      <c r="H1510" s="9" t="s">
        <v>4003</v>
      </c>
      <c r="I1510" s="9" t="s">
        <v>4004</v>
      </c>
      <c r="J1510" s="44">
        <v>2.95</v>
      </c>
      <c r="K1510" s="60">
        <v>4.93</v>
      </c>
      <c r="L1510" s="56">
        <v>4.05</v>
      </c>
      <c r="M1510" s="14">
        <f>K1510-L1510</f>
        <v>0.87999999999999989</v>
      </c>
      <c r="N1510" s="15">
        <f>IFERROR(M1510/K1510,0)</f>
        <v>0.17849898580121704</v>
      </c>
      <c r="O1510" s="14">
        <f>IFERROR(L1510/J1510,0)</f>
        <v>1.3728813559322033</v>
      </c>
      <c r="P1510" s="14">
        <f>IFERROR(L1510/G1510,0)</f>
        <v>0.81000000000000283</v>
      </c>
    </row>
    <row r="1511" spans="1:16" x14ac:dyDescent="0.3">
      <c r="A1511" s="9" t="s">
        <v>3500</v>
      </c>
      <c r="B1511" s="9" t="s">
        <v>18</v>
      </c>
      <c r="C1511" s="9" t="s">
        <v>184</v>
      </c>
      <c r="D1511" s="52">
        <v>46193</v>
      </c>
      <c r="E1511" s="48">
        <v>0.70138888888888884</v>
      </c>
      <c r="F1511" s="48">
        <v>0.7055555555555556</v>
      </c>
      <c r="G1511" s="43">
        <f>(F1511-E1511)*1440</f>
        <v>6.0000000000001386</v>
      </c>
      <c r="H1511" s="9" t="s">
        <v>214</v>
      </c>
      <c r="I1511" s="9" t="s">
        <v>4005</v>
      </c>
      <c r="J1511" s="44">
        <v>3.98</v>
      </c>
      <c r="K1511" s="60">
        <v>8.93</v>
      </c>
      <c r="L1511" s="56">
        <v>6.76</v>
      </c>
      <c r="M1511" s="14">
        <f>K1511-L1511</f>
        <v>2.17</v>
      </c>
      <c r="N1511" s="15">
        <f>IFERROR(M1511/K1511,0)</f>
        <v>0.24300111982082867</v>
      </c>
      <c r="O1511" s="14">
        <f>IFERROR(L1511/J1511,0)</f>
        <v>1.6984924623115578</v>
      </c>
      <c r="P1511" s="14">
        <f>IFERROR(L1511/G1511,0)</f>
        <v>1.1266666666666405</v>
      </c>
    </row>
    <row r="1512" spans="1:16" x14ac:dyDescent="0.3">
      <c r="A1512" s="9" t="s">
        <v>3501</v>
      </c>
      <c r="B1512" s="9" t="s">
        <v>18</v>
      </c>
      <c r="C1512" s="9" t="s">
        <v>184</v>
      </c>
      <c r="D1512" s="52">
        <v>46193</v>
      </c>
      <c r="E1512" s="48">
        <v>0.73263888888888884</v>
      </c>
      <c r="F1512" s="48">
        <v>0.73819444444444438</v>
      </c>
      <c r="G1512" s="43">
        <f>(F1512-E1512)*1440</f>
        <v>7.9999999999999716</v>
      </c>
      <c r="H1512" s="9" t="s">
        <v>204</v>
      </c>
      <c r="I1512" s="9" t="s">
        <v>1247</v>
      </c>
      <c r="J1512" s="44">
        <v>3.64</v>
      </c>
      <c r="K1512" s="60">
        <v>9.94</v>
      </c>
      <c r="L1512" s="56">
        <v>6.6</v>
      </c>
      <c r="M1512" s="14">
        <f>K1512-L1512</f>
        <v>3.34</v>
      </c>
      <c r="N1512" s="15">
        <f>IFERROR(M1512/K1512,0)</f>
        <v>0.33601609657947684</v>
      </c>
      <c r="O1512" s="14">
        <f>IFERROR(L1512/J1512,0)</f>
        <v>1.813186813186813</v>
      </c>
      <c r="P1512" s="14">
        <f>IFERROR(L1512/G1512,0)</f>
        <v>0.82500000000000284</v>
      </c>
    </row>
    <row r="1513" spans="1:16" x14ac:dyDescent="0.3">
      <c r="A1513" s="9" t="s">
        <v>3502</v>
      </c>
      <c r="B1513" s="9" t="s">
        <v>18</v>
      </c>
      <c r="C1513" s="9" t="s">
        <v>184</v>
      </c>
      <c r="D1513" s="52">
        <v>46193</v>
      </c>
      <c r="E1513" s="48">
        <v>0.76250000000000007</v>
      </c>
      <c r="F1513" s="48">
        <v>0.7680555555555556</v>
      </c>
      <c r="G1513" s="43">
        <f>(F1513-E1513)*1440</f>
        <v>7.9999999999999716</v>
      </c>
      <c r="H1513" s="9" t="s">
        <v>4006</v>
      </c>
      <c r="I1513" s="9" t="s">
        <v>233</v>
      </c>
      <c r="J1513" s="44">
        <v>5.76</v>
      </c>
      <c r="K1513" s="60">
        <v>6.94</v>
      </c>
      <c r="L1513" s="56">
        <v>5.65</v>
      </c>
      <c r="M1513" s="14">
        <f>K1513-L1513</f>
        <v>1.29</v>
      </c>
      <c r="N1513" s="15">
        <f>IFERROR(M1513/K1513,0)</f>
        <v>0.18587896253602304</v>
      </c>
      <c r="O1513" s="14">
        <f>IFERROR(L1513/J1513,0)</f>
        <v>0.9809027777777779</v>
      </c>
      <c r="P1513" s="14">
        <f>IFERROR(L1513/G1513,0)</f>
        <v>0.7062500000000026</v>
      </c>
    </row>
    <row r="1514" spans="1:16" x14ac:dyDescent="0.3">
      <c r="A1514" s="9" t="s">
        <v>3503</v>
      </c>
      <c r="B1514" s="9" t="s">
        <v>18</v>
      </c>
      <c r="C1514" s="9" t="s">
        <v>184</v>
      </c>
      <c r="D1514" s="52">
        <v>46194</v>
      </c>
      <c r="E1514" s="48">
        <v>0.55694444444444446</v>
      </c>
      <c r="F1514" s="48">
        <v>0.56944444444444442</v>
      </c>
      <c r="G1514" s="43">
        <f>(F1514-E1514)*1440</f>
        <v>17.999999999999936</v>
      </c>
      <c r="H1514" s="9" t="s">
        <v>4007</v>
      </c>
      <c r="I1514" s="9" t="s">
        <v>4008</v>
      </c>
      <c r="J1514" s="44">
        <v>18.12</v>
      </c>
      <c r="K1514" s="60">
        <v>11.95</v>
      </c>
      <c r="L1514" s="56">
        <v>7.77</v>
      </c>
      <c r="M1514" s="14">
        <f>K1514-L1514</f>
        <v>4.18</v>
      </c>
      <c r="N1514" s="15">
        <f>IFERROR(M1514/K1514,0)</f>
        <v>0.3497907949790795</v>
      </c>
      <c r="O1514" s="14">
        <f>IFERROR(L1514/J1514,0)</f>
        <v>0.42880794701986752</v>
      </c>
      <c r="P1514" s="14">
        <f>IFERROR(L1514/G1514,0)</f>
        <v>0.4316666666666682</v>
      </c>
    </row>
    <row r="1515" spans="1:16" x14ac:dyDescent="0.3">
      <c r="A1515" s="9" t="s">
        <v>3504</v>
      </c>
      <c r="B1515" s="9" t="s">
        <v>18</v>
      </c>
      <c r="C1515" s="9" t="s">
        <v>184</v>
      </c>
      <c r="D1515" s="52">
        <v>46194</v>
      </c>
      <c r="E1515" s="48">
        <v>0.60277777777777775</v>
      </c>
      <c r="F1515" s="48">
        <v>0.61249999999999993</v>
      </c>
      <c r="G1515" s="43">
        <f>(F1515-E1515)*1440</f>
        <v>13.99999999999995</v>
      </c>
      <c r="H1515" s="9" t="s">
        <v>4009</v>
      </c>
      <c r="I1515" s="9" t="s">
        <v>4010</v>
      </c>
      <c r="J1515" s="44">
        <v>13.28</v>
      </c>
      <c r="K1515" s="60">
        <v>15.94</v>
      </c>
      <c r="L1515" s="56">
        <v>10.36</v>
      </c>
      <c r="M1515" s="14">
        <f>K1515-L1515</f>
        <v>5.58</v>
      </c>
      <c r="N1515" s="15">
        <f>IFERROR(M1515/K1515,0)</f>
        <v>0.3500627352572146</v>
      </c>
      <c r="O1515" s="14">
        <f>IFERROR(L1515/J1515,0)</f>
        <v>0.78012048192771088</v>
      </c>
      <c r="P1515" s="14">
        <f>IFERROR(L1515/G1515,0)</f>
        <v>0.74000000000000254</v>
      </c>
    </row>
    <row r="1516" spans="1:16" x14ac:dyDescent="0.3">
      <c r="A1516" s="9" t="s">
        <v>3505</v>
      </c>
      <c r="B1516" s="9" t="s">
        <v>18</v>
      </c>
      <c r="C1516" s="9" t="s">
        <v>184</v>
      </c>
      <c r="D1516" s="52">
        <v>46194</v>
      </c>
      <c r="E1516" s="48">
        <v>0.64374999999999993</v>
      </c>
      <c r="F1516" s="48">
        <v>0.65208333333333335</v>
      </c>
      <c r="G1516" s="43">
        <f>(F1516-E1516)*1440</f>
        <v>12.000000000000117</v>
      </c>
      <c r="H1516" s="9" t="s">
        <v>1229</v>
      </c>
      <c r="I1516" s="9" t="s">
        <v>884</v>
      </c>
      <c r="J1516" s="44">
        <v>6.83</v>
      </c>
      <c r="K1516" s="60">
        <v>5.22</v>
      </c>
      <c r="L1516" s="56">
        <v>4.9800000000000004</v>
      </c>
      <c r="M1516" s="14">
        <f>K1516-L1516</f>
        <v>0.23999999999999932</v>
      </c>
      <c r="N1516" s="15">
        <f>IFERROR(M1516/K1516,0)</f>
        <v>4.5977011494252748E-2</v>
      </c>
      <c r="O1516" s="14">
        <f>IFERROR(L1516/J1516,0)</f>
        <v>0.72913616398243053</v>
      </c>
      <c r="P1516" s="14">
        <f>IFERROR(L1516/G1516,0)</f>
        <v>0.41499999999999598</v>
      </c>
    </row>
    <row r="1517" spans="1:16" x14ac:dyDescent="0.3">
      <c r="A1517" s="9" t="s">
        <v>3506</v>
      </c>
      <c r="B1517" s="9" t="s">
        <v>18</v>
      </c>
      <c r="C1517" s="9" t="s">
        <v>196</v>
      </c>
      <c r="D1517" s="52">
        <v>46194</v>
      </c>
      <c r="E1517" s="48">
        <v>0.68888888888888899</v>
      </c>
      <c r="F1517" s="48">
        <v>0.69652777777777775</v>
      </c>
      <c r="G1517" s="43">
        <f>(F1517-E1517)*1440</f>
        <v>10.999999999999801</v>
      </c>
      <c r="H1517" s="9" t="s">
        <v>4011</v>
      </c>
      <c r="I1517" s="9" t="s">
        <v>748</v>
      </c>
      <c r="J1517" s="44">
        <v>7.68</v>
      </c>
      <c r="K1517" s="60">
        <v>10.98</v>
      </c>
      <c r="L1517" s="56">
        <v>7.86</v>
      </c>
      <c r="M1517" s="14">
        <f>K1517-L1517</f>
        <v>3.12</v>
      </c>
      <c r="N1517" s="15">
        <f>IFERROR(M1517/K1517,0)</f>
        <v>0.28415300546448086</v>
      </c>
      <c r="O1517" s="14">
        <f>IFERROR(L1517/J1517,0)</f>
        <v>1.0234375</v>
      </c>
      <c r="P1517" s="14">
        <f>IFERROR(L1517/G1517,0)</f>
        <v>0.71454545454546747</v>
      </c>
    </row>
    <row r="1518" spans="1:16" x14ac:dyDescent="0.3">
      <c r="A1518" s="9" t="s">
        <v>3507</v>
      </c>
      <c r="B1518" s="9" t="s">
        <v>18</v>
      </c>
      <c r="C1518" s="9" t="s">
        <v>184</v>
      </c>
      <c r="D1518" s="52">
        <v>46194</v>
      </c>
      <c r="E1518" s="48">
        <v>0.7006944444444444</v>
      </c>
      <c r="F1518" s="48">
        <v>0.70416666666666661</v>
      </c>
      <c r="G1518" s="43">
        <f>(F1518-E1518)*1440</f>
        <v>4.9999999999999822</v>
      </c>
      <c r="H1518" s="9" t="s">
        <v>4012</v>
      </c>
      <c r="I1518" s="9" t="s">
        <v>4013</v>
      </c>
      <c r="J1518" s="44">
        <v>2.42</v>
      </c>
      <c r="K1518" s="60">
        <v>6.95</v>
      </c>
      <c r="L1518" s="56">
        <v>5.4</v>
      </c>
      <c r="M1518" s="14">
        <f>K1518-L1518</f>
        <v>1.5499999999999998</v>
      </c>
      <c r="N1518" s="15">
        <f>IFERROR(M1518/K1518,0)</f>
        <v>0.22302158273381292</v>
      </c>
      <c r="O1518" s="14">
        <f>IFERROR(L1518/J1518,0)</f>
        <v>2.2314049586776861</v>
      </c>
      <c r="P1518" s="14">
        <f>IFERROR(L1518/G1518,0)</f>
        <v>1.0800000000000038</v>
      </c>
    </row>
    <row r="1519" spans="1:16" x14ac:dyDescent="0.3">
      <c r="A1519" s="9" t="s">
        <v>3508</v>
      </c>
      <c r="B1519" s="9" t="s">
        <v>18</v>
      </c>
      <c r="C1519" s="9" t="s">
        <v>184</v>
      </c>
      <c r="D1519" s="52">
        <v>46194</v>
      </c>
      <c r="E1519" s="48">
        <v>0.72638888888888886</v>
      </c>
      <c r="F1519" s="48">
        <v>0.73749999999999993</v>
      </c>
      <c r="G1519" s="43">
        <f>(F1519-E1519)*1440</f>
        <v>15.999999999999943</v>
      </c>
      <c r="H1519" s="9" t="s">
        <v>1169</v>
      </c>
      <c r="I1519" s="9" t="s">
        <v>1795</v>
      </c>
      <c r="J1519" s="44">
        <v>10.63</v>
      </c>
      <c r="K1519" s="60">
        <v>8.94</v>
      </c>
      <c r="L1519" s="56">
        <v>5.81</v>
      </c>
      <c r="M1519" s="14">
        <f>K1519-L1519</f>
        <v>3.13</v>
      </c>
      <c r="N1519" s="15">
        <f>IFERROR(M1519/K1519,0)</f>
        <v>0.35011185682326623</v>
      </c>
      <c r="O1519" s="14">
        <f>IFERROR(L1519/J1519,0)</f>
        <v>0.5465663217309501</v>
      </c>
      <c r="P1519" s="14">
        <f>IFERROR(L1519/G1519,0)</f>
        <v>0.36312500000000125</v>
      </c>
    </row>
    <row r="1520" spans="1:16" x14ac:dyDescent="0.3">
      <c r="A1520" s="9" t="s">
        <v>3509</v>
      </c>
      <c r="B1520" s="9" t="s">
        <v>18</v>
      </c>
      <c r="C1520" s="9" t="s">
        <v>184</v>
      </c>
      <c r="D1520" s="52">
        <v>46194</v>
      </c>
      <c r="E1520" s="48">
        <v>0.75486111111111109</v>
      </c>
      <c r="F1520" s="48">
        <v>0.76388888888888884</v>
      </c>
      <c r="G1520" s="43">
        <f>(F1520-E1520)*1440</f>
        <v>12.999999999999954</v>
      </c>
      <c r="H1520" s="9" t="s">
        <v>1898</v>
      </c>
      <c r="I1520" s="9" t="s">
        <v>214</v>
      </c>
      <c r="J1520" s="44">
        <v>7.11</v>
      </c>
      <c r="K1520" s="60">
        <v>11.94</v>
      </c>
      <c r="L1520" s="56">
        <v>7.87</v>
      </c>
      <c r="M1520" s="14">
        <f>K1520-L1520</f>
        <v>4.0699999999999994</v>
      </c>
      <c r="N1520" s="15">
        <f>IFERROR(M1520/K1520,0)</f>
        <v>0.34087102177554435</v>
      </c>
      <c r="O1520" s="14">
        <f>IFERROR(L1520/J1520,0)</f>
        <v>1.1068917018284106</v>
      </c>
      <c r="P1520" s="14">
        <f>IFERROR(L1520/G1520,0)</f>
        <v>0.60538461538461752</v>
      </c>
    </row>
    <row r="1521" spans="1:18" x14ac:dyDescent="0.3">
      <c r="A1521" s="9" t="s">
        <v>3510</v>
      </c>
      <c r="B1521" s="9" t="s">
        <v>26</v>
      </c>
      <c r="C1521" s="9" t="s">
        <v>27</v>
      </c>
      <c r="D1521" s="52">
        <v>46194</v>
      </c>
      <c r="E1521" s="48">
        <v>0.53680555555555554</v>
      </c>
      <c r="F1521" s="48">
        <v>0.55069444444444449</v>
      </c>
      <c r="G1521" s="43">
        <f>(F1521-E1521)*1440</f>
        <v>20.000000000000089</v>
      </c>
      <c r="H1521" s="9" t="s">
        <v>4014</v>
      </c>
      <c r="I1521" s="9" t="s">
        <v>531</v>
      </c>
      <c r="J1521" s="44">
        <v>20</v>
      </c>
      <c r="K1521" s="60">
        <v>11.82</v>
      </c>
      <c r="L1521" s="56">
        <v>8.86</v>
      </c>
      <c r="M1521" s="14">
        <f>K1521-L1521</f>
        <v>2.9600000000000009</v>
      </c>
      <c r="N1521" s="15">
        <f>IFERROR(M1521/K1521,0)</f>
        <v>0.25042301184433169</v>
      </c>
      <c r="O1521" s="14">
        <f>IFERROR(L1521/J1521,0)</f>
        <v>0.44299999999999995</v>
      </c>
      <c r="P1521" s="14">
        <f>IFERROR(L1521/G1521,0)</f>
        <v>0.44299999999999801</v>
      </c>
    </row>
    <row r="1522" spans="1:18" x14ac:dyDescent="0.3">
      <c r="A1522" s="9" t="s">
        <v>3511</v>
      </c>
      <c r="B1522" s="9" t="s">
        <v>26</v>
      </c>
      <c r="C1522" s="9" t="s">
        <v>27</v>
      </c>
      <c r="D1522" s="52">
        <v>46194</v>
      </c>
      <c r="E1522" s="48">
        <v>0.59375</v>
      </c>
      <c r="F1522" s="48">
        <v>0.6020833333333333</v>
      </c>
      <c r="G1522" s="43">
        <f>(F1522-E1522)*1440</f>
        <v>11.999999999999957</v>
      </c>
      <c r="H1522" s="9" t="s">
        <v>2862</v>
      </c>
      <c r="I1522" s="9" t="s">
        <v>4015</v>
      </c>
      <c r="J1522" s="44">
        <v>8.9</v>
      </c>
      <c r="K1522" s="60">
        <v>7.32</v>
      </c>
      <c r="L1522" s="56">
        <v>5.49</v>
      </c>
      <c r="M1522" s="14">
        <f>K1522-L1522</f>
        <v>1.83</v>
      </c>
      <c r="N1522" s="15">
        <f>IFERROR(M1522/K1522,0)</f>
        <v>0.25</v>
      </c>
      <c r="O1522" s="14">
        <f>IFERROR(L1522/J1522,0)</f>
        <v>0.61685393258426968</v>
      </c>
      <c r="P1522" s="14">
        <f>IFERROR(L1522/G1522,0)</f>
        <v>0.45750000000000163</v>
      </c>
    </row>
    <row r="1523" spans="1:18" x14ac:dyDescent="0.3">
      <c r="A1523" s="9" t="s">
        <v>3512</v>
      </c>
      <c r="B1523" s="9" t="s">
        <v>26</v>
      </c>
      <c r="C1523" s="9" t="s">
        <v>27</v>
      </c>
      <c r="D1523" s="52">
        <v>46194</v>
      </c>
      <c r="E1523" s="48">
        <v>0.62708333333333333</v>
      </c>
      <c r="F1523" s="48">
        <v>0.64097222222222217</v>
      </c>
      <c r="G1523" s="43">
        <f>(F1523-E1523)*1440</f>
        <v>19.999999999999929</v>
      </c>
      <c r="H1523" s="9" t="s">
        <v>4016</v>
      </c>
      <c r="I1523" s="9" t="s">
        <v>4017</v>
      </c>
      <c r="J1523" s="44">
        <v>17.7</v>
      </c>
      <c r="K1523" s="60">
        <v>13.19</v>
      </c>
      <c r="L1523" s="56">
        <v>11.06</v>
      </c>
      <c r="M1523" s="14">
        <f>K1523-L1523</f>
        <v>2.129999999999999</v>
      </c>
      <c r="N1523" s="15">
        <f>IFERROR(M1523/K1523,0)</f>
        <v>0.16148597422289607</v>
      </c>
      <c r="O1523" s="14">
        <f>IFERROR(L1523/J1523,0)</f>
        <v>0.624858757062147</v>
      </c>
      <c r="P1523" s="14">
        <f>IFERROR(L1523/G1523,0)</f>
        <v>0.55300000000000193</v>
      </c>
    </row>
    <row r="1524" spans="1:18" x14ac:dyDescent="0.3">
      <c r="A1524" s="9" t="s">
        <v>3513</v>
      </c>
      <c r="B1524" s="9" t="s">
        <v>26</v>
      </c>
      <c r="C1524" s="9" t="s">
        <v>26</v>
      </c>
      <c r="D1524" s="52">
        <v>46194</v>
      </c>
      <c r="E1524" s="48">
        <v>0.71388888888888891</v>
      </c>
      <c r="F1524" s="48">
        <v>0.72638888888888886</v>
      </c>
      <c r="G1524" s="43">
        <f>(F1524-E1524)*1440</f>
        <v>17.999999999999936</v>
      </c>
      <c r="H1524" s="9" t="s">
        <v>4018</v>
      </c>
      <c r="I1524" s="9" t="s">
        <v>225</v>
      </c>
      <c r="J1524" s="44">
        <v>11.3</v>
      </c>
      <c r="K1524" s="60">
        <v>9.66</v>
      </c>
      <c r="L1524" s="56">
        <v>9.06</v>
      </c>
      <c r="M1524" s="14">
        <f>K1524-L1524</f>
        <v>0.59999999999999964</v>
      </c>
      <c r="N1524" s="15">
        <f>IFERROR(M1524/K1524,0)</f>
        <v>6.2111801242235989E-2</v>
      </c>
      <c r="O1524" s="14">
        <f>IFERROR(L1524/J1524,0)</f>
        <v>0.80176991150442478</v>
      </c>
      <c r="P1524" s="14">
        <f>IFERROR(L1524/G1524,0)</f>
        <v>0.50333333333333519</v>
      </c>
    </row>
    <row r="1525" spans="1:18" x14ac:dyDescent="0.3">
      <c r="A1525" s="9" t="s">
        <v>3514</v>
      </c>
      <c r="B1525" s="9" t="s">
        <v>26</v>
      </c>
      <c r="C1525" s="9" t="s">
        <v>26</v>
      </c>
      <c r="D1525" s="52">
        <v>46194</v>
      </c>
      <c r="E1525" s="48">
        <v>0.74513888888888891</v>
      </c>
      <c r="F1525" s="48">
        <v>0.75416666666666676</v>
      </c>
      <c r="G1525" s="43">
        <f>(F1525-E1525)*1440</f>
        <v>13.000000000000114</v>
      </c>
      <c r="H1525" s="9" t="s">
        <v>1246</v>
      </c>
      <c r="I1525" s="9" t="s">
        <v>1751</v>
      </c>
      <c r="J1525" s="44">
        <v>7</v>
      </c>
      <c r="K1525" s="60">
        <v>6.75</v>
      </c>
      <c r="L1525" s="56">
        <v>8.06</v>
      </c>
      <c r="M1525" s="14">
        <f>K1525-L1525</f>
        <v>-1.3100000000000005</v>
      </c>
      <c r="N1525" s="15">
        <f>IFERROR(M1525/K1525,0)</f>
        <v>-0.19407407407407415</v>
      </c>
      <c r="O1525" s="14">
        <f>IFERROR(L1525/J1525,0)</f>
        <v>1.1514285714285715</v>
      </c>
      <c r="P1525" s="14">
        <f>IFERROR(L1525/G1525,0)</f>
        <v>0.61999999999999467</v>
      </c>
      <c r="R1525" s="57">
        <v>4.3499999999999996</v>
      </c>
    </row>
    <row r="1526" spans="1:18" x14ac:dyDescent="0.3">
      <c r="A1526" s="9" t="s">
        <v>3515</v>
      </c>
      <c r="B1526" s="9" t="s">
        <v>26</v>
      </c>
      <c r="C1526" s="9" t="s">
        <v>27</v>
      </c>
      <c r="D1526" s="52">
        <v>46194</v>
      </c>
      <c r="E1526" s="48">
        <v>0.77569444444444446</v>
      </c>
      <c r="F1526" s="48">
        <v>0.78402777777777777</v>
      </c>
      <c r="G1526" s="43">
        <f>(F1526-E1526)*1440</f>
        <v>11.999999999999957</v>
      </c>
      <c r="H1526" s="9" t="s">
        <v>214</v>
      </c>
      <c r="I1526" s="9" t="s">
        <v>872</v>
      </c>
      <c r="J1526" s="44">
        <v>8.6999999999999993</v>
      </c>
      <c r="K1526" s="60">
        <v>6.06</v>
      </c>
      <c r="L1526" s="56">
        <v>4.54</v>
      </c>
      <c r="M1526" s="14">
        <f>K1526-L1526</f>
        <v>1.5199999999999996</v>
      </c>
      <c r="N1526" s="15">
        <f>IFERROR(M1526/K1526,0)</f>
        <v>0.25082508250825075</v>
      </c>
      <c r="O1526" s="14">
        <f>IFERROR(L1526/J1526,0)</f>
        <v>0.52183908045977012</v>
      </c>
      <c r="P1526" s="14">
        <f>IFERROR(L1526/G1526,0)</f>
        <v>0.37833333333333469</v>
      </c>
    </row>
    <row r="1527" spans="1:18" x14ac:dyDescent="0.3">
      <c r="A1527" s="9" t="s">
        <v>3516</v>
      </c>
      <c r="B1527" s="9" t="s">
        <v>26</v>
      </c>
      <c r="C1527" s="9" t="s">
        <v>27</v>
      </c>
      <c r="D1527" s="52">
        <v>46194</v>
      </c>
      <c r="E1527" s="48">
        <v>0.78680555555555554</v>
      </c>
      <c r="F1527" s="48">
        <v>0.79791666666666661</v>
      </c>
      <c r="G1527" s="43">
        <f>(F1527-E1527)*1440</f>
        <v>15.999999999999943</v>
      </c>
      <c r="H1527" s="9" t="s">
        <v>4019</v>
      </c>
      <c r="I1527" s="9" t="s">
        <v>4020</v>
      </c>
      <c r="J1527" s="44">
        <v>8.8000000000000007</v>
      </c>
      <c r="K1527" s="60">
        <v>8.0299999999999994</v>
      </c>
      <c r="L1527" s="56">
        <v>6.02</v>
      </c>
      <c r="M1527" s="14">
        <f>K1527-L1527</f>
        <v>2.0099999999999998</v>
      </c>
      <c r="N1527" s="15">
        <f>IFERROR(M1527/K1527,0)</f>
        <v>0.25031133250311333</v>
      </c>
      <c r="O1527" s="14">
        <f>IFERROR(L1527/J1527,0)</f>
        <v>0.68409090909090897</v>
      </c>
      <c r="P1527" s="14">
        <f>IFERROR(L1527/G1527,0)</f>
        <v>0.37625000000000131</v>
      </c>
    </row>
    <row r="1528" spans="1:18" x14ac:dyDescent="0.3">
      <c r="A1528" s="9" t="s">
        <v>3517</v>
      </c>
      <c r="B1528" s="9" t="s">
        <v>26</v>
      </c>
      <c r="C1528" s="9" t="s">
        <v>27</v>
      </c>
      <c r="D1528" s="52">
        <v>46194</v>
      </c>
      <c r="E1528" s="48">
        <v>0.82500000000000007</v>
      </c>
      <c r="F1528" s="48">
        <v>0.83124999999999993</v>
      </c>
      <c r="G1528" s="43">
        <f>(F1528-E1528)*1440</f>
        <v>8.9999999999998082</v>
      </c>
      <c r="H1528" s="9" t="s">
        <v>4021</v>
      </c>
      <c r="I1528" s="9" t="s">
        <v>4022</v>
      </c>
      <c r="J1528" s="44">
        <v>6.2</v>
      </c>
      <c r="K1528" s="60">
        <v>6.05</v>
      </c>
      <c r="L1528" s="56">
        <v>4.54</v>
      </c>
      <c r="M1528" s="14">
        <f>K1528-L1528</f>
        <v>1.5099999999999998</v>
      </c>
      <c r="N1528" s="15">
        <f>IFERROR(M1528/K1528,0)</f>
        <v>0.24958677685950412</v>
      </c>
      <c r="O1528" s="14">
        <f>IFERROR(L1528/J1528,0)</f>
        <v>0.73225806451612907</v>
      </c>
      <c r="P1528" s="14">
        <f>IFERROR(L1528/G1528,0)</f>
        <v>0.50444444444445524</v>
      </c>
    </row>
    <row r="1529" spans="1:18" x14ac:dyDescent="0.3">
      <c r="A1529" s="9" t="s">
        <v>3518</v>
      </c>
      <c r="B1529" s="9" t="s">
        <v>26</v>
      </c>
      <c r="C1529" s="9" t="s">
        <v>27</v>
      </c>
      <c r="D1529" s="52">
        <v>46194</v>
      </c>
      <c r="E1529" s="48">
        <v>0.83263888888888893</v>
      </c>
      <c r="F1529" s="48">
        <v>0.84791666666666676</v>
      </c>
      <c r="G1529" s="43">
        <f>(F1529-E1529)*1440</f>
        <v>22.000000000000082</v>
      </c>
      <c r="H1529" s="9" t="s">
        <v>4023</v>
      </c>
      <c r="I1529" s="9" t="s">
        <v>4024</v>
      </c>
      <c r="J1529" s="44">
        <v>19.2</v>
      </c>
      <c r="K1529" s="60">
        <v>11.51</v>
      </c>
      <c r="L1529" s="56">
        <v>8.6300000000000008</v>
      </c>
      <c r="M1529" s="14">
        <f>K1529-L1529</f>
        <v>2.879999999999999</v>
      </c>
      <c r="N1529" s="15">
        <f>IFERROR(M1529/K1529,0)</f>
        <v>0.25021720243266715</v>
      </c>
      <c r="O1529" s="14">
        <f>IFERROR(L1529/J1529,0)</f>
        <v>0.44947916666666671</v>
      </c>
      <c r="P1529" s="14">
        <f>IFERROR(L1529/G1529,0)</f>
        <v>0.39227272727272583</v>
      </c>
    </row>
    <row r="1530" spans="1:18" x14ac:dyDescent="0.3">
      <c r="A1530" s="9" t="s">
        <v>3519</v>
      </c>
      <c r="B1530" s="9" t="s">
        <v>26</v>
      </c>
      <c r="C1530" s="9" t="s">
        <v>27</v>
      </c>
      <c r="D1530" s="52">
        <v>46195</v>
      </c>
      <c r="E1530" s="48">
        <v>0.60347222222222219</v>
      </c>
      <c r="F1530" s="48">
        <v>0.61388888888888882</v>
      </c>
      <c r="G1530" s="43">
        <f>(F1530-E1530)*1440</f>
        <v>14.999999999999947</v>
      </c>
      <c r="H1530" s="9" t="s">
        <v>4025</v>
      </c>
      <c r="I1530" s="9" t="s">
        <v>4026</v>
      </c>
      <c r="J1530" s="44">
        <v>9.8000000000000007</v>
      </c>
      <c r="K1530" s="60">
        <v>7.02</v>
      </c>
      <c r="L1530" s="56">
        <v>5.26</v>
      </c>
      <c r="M1530" s="14">
        <f>K1530-L1530</f>
        <v>1.7599999999999998</v>
      </c>
      <c r="N1530" s="15">
        <f>IFERROR(M1530/K1530,0)</f>
        <v>0.25071225071225067</v>
      </c>
      <c r="O1530" s="14">
        <f>IFERROR(L1530/J1530,0)</f>
        <v>0.53673469387755091</v>
      </c>
      <c r="P1530" s="14">
        <f>IFERROR(L1530/G1530,0)</f>
        <v>0.3506666666666679</v>
      </c>
    </row>
    <row r="1531" spans="1:18" x14ac:dyDescent="0.3">
      <c r="A1531" s="9" t="s">
        <v>3520</v>
      </c>
      <c r="B1531" s="9" t="s">
        <v>26</v>
      </c>
      <c r="C1531" s="9" t="s">
        <v>27</v>
      </c>
      <c r="D1531" s="52">
        <v>46195</v>
      </c>
      <c r="E1531" s="48">
        <v>0.61805555555555558</v>
      </c>
      <c r="F1531" s="48">
        <v>0.62430555555555556</v>
      </c>
      <c r="G1531" s="43">
        <f>(F1531-E1531)*1440</f>
        <v>8.999999999999968</v>
      </c>
      <c r="H1531" s="9" t="s">
        <v>4027</v>
      </c>
      <c r="I1531" s="9" t="s">
        <v>569</v>
      </c>
      <c r="J1531" s="44">
        <v>4.5999999999999996</v>
      </c>
      <c r="K1531" s="60">
        <v>5.95</v>
      </c>
      <c r="L1531" s="56">
        <v>4.46</v>
      </c>
      <c r="M1531" s="14">
        <f>K1531-L1531</f>
        <v>1.4900000000000002</v>
      </c>
      <c r="N1531" s="15">
        <f>IFERROR(M1531/K1531,0)</f>
        <v>0.25042016806722694</v>
      </c>
      <c r="O1531" s="14">
        <f>IFERROR(L1531/J1531,0)</f>
        <v>0.96956521739130441</v>
      </c>
      <c r="P1531" s="14">
        <f>IFERROR(L1531/G1531,0)</f>
        <v>0.4955555555555573</v>
      </c>
      <c r="R1531" s="57">
        <v>1.37</v>
      </c>
    </row>
    <row r="1532" spans="1:18" x14ac:dyDescent="0.3">
      <c r="A1532" s="9" t="s">
        <v>3521</v>
      </c>
      <c r="B1532" s="9" t="s">
        <v>26</v>
      </c>
      <c r="C1532" s="9" t="s">
        <v>27</v>
      </c>
      <c r="D1532" s="52">
        <v>46195</v>
      </c>
      <c r="E1532" s="48">
        <v>0.63958333333333328</v>
      </c>
      <c r="F1532" s="48">
        <v>0.65069444444444446</v>
      </c>
      <c r="G1532" s="43">
        <f>(F1532-E1532)*1440</f>
        <v>16.000000000000103</v>
      </c>
      <c r="H1532" s="9" t="s">
        <v>4028</v>
      </c>
      <c r="I1532" s="9" t="s">
        <v>214</v>
      </c>
      <c r="J1532" s="44">
        <v>11.2</v>
      </c>
      <c r="K1532" s="60">
        <v>7.47</v>
      </c>
      <c r="L1532" s="56">
        <v>6.16</v>
      </c>
      <c r="M1532" s="14">
        <f>K1532-L1532</f>
        <v>1.3099999999999996</v>
      </c>
      <c r="N1532" s="15">
        <f>IFERROR(M1532/K1532,0)</f>
        <v>0.17536813922356087</v>
      </c>
      <c r="O1532" s="14">
        <f>IFERROR(L1532/J1532,0)</f>
        <v>0.55000000000000004</v>
      </c>
      <c r="P1532" s="14">
        <f>IFERROR(L1532/G1532,0)</f>
        <v>0.38499999999999751</v>
      </c>
    </row>
    <row r="1533" spans="1:18" x14ac:dyDescent="0.3">
      <c r="A1533" s="9" t="s">
        <v>3522</v>
      </c>
      <c r="B1533" s="9" t="s">
        <v>26</v>
      </c>
      <c r="C1533" s="9" t="s">
        <v>26</v>
      </c>
      <c r="D1533" s="52">
        <v>46195</v>
      </c>
      <c r="E1533" s="48">
        <v>0.65208333333333335</v>
      </c>
      <c r="F1533" s="48">
        <v>0.65763888888888888</v>
      </c>
      <c r="G1533" s="43">
        <f>(F1533-E1533)*1440</f>
        <v>7.9999999999999716</v>
      </c>
      <c r="H1533" s="9" t="s">
        <v>214</v>
      </c>
      <c r="I1533" s="9" t="s">
        <v>4029</v>
      </c>
      <c r="J1533" s="44">
        <v>3.5</v>
      </c>
      <c r="K1533" s="60">
        <v>4.4000000000000004</v>
      </c>
      <c r="L1533" s="56">
        <v>3.63</v>
      </c>
      <c r="M1533" s="14">
        <f>K1533-L1533</f>
        <v>0.77000000000000046</v>
      </c>
      <c r="N1533" s="15">
        <f>IFERROR(M1533/K1533,0)</f>
        <v>0.1750000000000001</v>
      </c>
      <c r="O1533" s="14">
        <f>IFERROR(L1533/J1533,0)</f>
        <v>1.0371428571428571</v>
      </c>
      <c r="P1533" s="14">
        <f>IFERROR(L1533/G1533,0)</f>
        <v>0.4537500000000016</v>
      </c>
    </row>
    <row r="1534" spans="1:18" x14ac:dyDescent="0.3">
      <c r="A1534" s="9" t="s">
        <v>3523</v>
      </c>
      <c r="B1534" s="9" t="s">
        <v>26</v>
      </c>
      <c r="C1534" s="9" t="s">
        <v>27</v>
      </c>
      <c r="D1534" s="52">
        <v>46195</v>
      </c>
      <c r="E1534" s="48">
        <v>0.68958333333333333</v>
      </c>
      <c r="F1534" s="48">
        <v>0.7006944444444444</v>
      </c>
      <c r="G1534" s="43">
        <f>(F1534-E1534)*1440</f>
        <v>15.999999999999943</v>
      </c>
      <c r="H1534" s="9" t="s">
        <v>4030</v>
      </c>
      <c r="I1534" s="9" t="s">
        <v>2218</v>
      </c>
      <c r="J1534" s="44">
        <v>9.5</v>
      </c>
      <c r="K1534" s="60">
        <v>7.86</v>
      </c>
      <c r="L1534" s="56">
        <v>5.89</v>
      </c>
      <c r="M1534" s="14">
        <f>K1534-L1534</f>
        <v>1.9700000000000006</v>
      </c>
      <c r="N1534" s="15">
        <f>IFERROR(M1534/K1534,0)</f>
        <v>0.25063613231552168</v>
      </c>
      <c r="O1534" s="14">
        <f>IFERROR(L1534/J1534,0)</f>
        <v>0.62</v>
      </c>
      <c r="P1534" s="14">
        <f>IFERROR(L1534/G1534,0)</f>
        <v>0.36812500000000131</v>
      </c>
    </row>
    <row r="1535" spans="1:18" x14ac:dyDescent="0.3">
      <c r="A1535" s="9" t="s">
        <v>3524</v>
      </c>
      <c r="B1535" s="9" t="s">
        <v>26</v>
      </c>
      <c r="C1535" s="9" t="s">
        <v>26</v>
      </c>
      <c r="D1535" s="52">
        <v>46195</v>
      </c>
      <c r="E1535" s="48">
        <v>0.70347222222222217</v>
      </c>
      <c r="F1535" s="48">
        <v>0.71944444444444444</v>
      </c>
      <c r="G1535" s="43">
        <f>(F1535-E1535)*1440</f>
        <v>23.000000000000078</v>
      </c>
      <c r="H1535" s="9" t="s">
        <v>4031</v>
      </c>
      <c r="I1535" s="9" t="s">
        <v>4032</v>
      </c>
      <c r="J1535" s="44">
        <v>10.199999999999999</v>
      </c>
      <c r="K1535" s="60">
        <v>10.039999999999999</v>
      </c>
      <c r="L1535" s="56">
        <v>7.53</v>
      </c>
      <c r="M1535" s="14">
        <f>K1535-L1535</f>
        <v>2.5099999999999989</v>
      </c>
      <c r="N1535" s="15">
        <f>IFERROR(M1535/K1535,0)</f>
        <v>0.24999999999999992</v>
      </c>
      <c r="O1535" s="14">
        <f>IFERROR(L1535/J1535,0)</f>
        <v>0.7382352941176471</v>
      </c>
      <c r="P1535" s="14">
        <f>IFERROR(L1535/G1535,0)</f>
        <v>0.32739130434782499</v>
      </c>
      <c r="R1535" s="57">
        <v>2.34</v>
      </c>
    </row>
    <row r="1536" spans="1:18" x14ac:dyDescent="0.3">
      <c r="A1536" s="9" t="s">
        <v>3525</v>
      </c>
      <c r="B1536" s="9" t="s">
        <v>26</v>
      </c>
      <c r="C1536" s="9" t="s">
        <v>26</v>
      </c>
      <c r="D1536" s="52">
        <v>46195</v>
      </c>
      <c r="E1536" s="48">
        <v>0.72430555555555554</v>
      </c>
      <c r="F1536" s="48">
        <v>0.73333333333333339</v>
      </c>
      <c r="G1536" s="43">
        <f>(F1536-E1536)*1440</f>
        <v>13.000000000000114</v>
      </c>
      <c r="H1536" s="9" t="s">
        <v>666</v>
      </c>
      <c r="I1536" s="9" t="s">
        <v>3030</v>
      </c>
      <c r="J1536" s="44">
        <v>4.5999999999999996</v>
      </c>
      <c r="K1536" s="60">
        <v>3.82</v>
      </c>
      <c r="L1536" s="56">
        <v>4.09</v>
      </c>
      <c r="M1536" s="14">
        <f>K1536-L1536</f>
        <v>-0.27</v>
      </c>
      <c r="N1536" s="15">
        <f>IFERROR(M1536/K1536,0)</f>
        <v>-7.0680628272251314E-2</v>
      </c>
      <c r="O1536" s="14">
        <f>IFERROR(L1536/J1536,0)</f>
        <v>0.88913043478260878</v>
      </c>
      <c r="P1536" s="14">
        <f>IFERROR(L1536/G1536,0)</f>
        <v>0.31461538461538185</v>
      </c>
    </row>
    <row r="1537" spans="1:18" x14ac:dyDescent="0.3">
      <c r="A1537" s="9" t="s">
        <v>3526</v>
      </c>
      <c r="B1537" s="9" t="s">
        <v>26</v>
      </c>
      <c r="C1537" s="9" t="s">
        <v>26</v>
      </c>
      <c r="D1537" s="52">
        <v>46195</v>
      </c>
      <c r="E1537" s="48">
        <v>0.7368055555555556</v>
      </c>
      <c r="F1537" s="48">
        <v>0.74375000000000002</v>
      </c>
      <c r="G1537" s="43">
        <f>(F1537-E1537)*1440</f>
        <v>9.9999999999999645</v>
      </c>
      <c r="H1537" s="9" t="s">
        <v>243</v>
      </c>
      <c r="I1537" s="9" t="s">
        <v>4033</v>
      </c>
      <c r="J1537" s="44">
        <v>4.2</v>
      </c>
      <c r="K1537" s="60">
        <v>5.86</v>
      </c>
      <c r="L1537" s="56">
        <v>4.3899999999999997</v>
      </c>
      <c r="M1537" s="14">
        <f>K1537-L1537</f>
        <v>1.4700000000000006</v>
      </c>
      <c r="N1537" s="15">
        <f>IFERROR(M1537/K1537,0)</f>
        <v>0.25085324232081918</v>
      </c>
      <c r="O1537" s="14">
        <f>IFERROR(L1537/J1537,0)</f>
        <v>1.0452380952380951</v>
      </c>
      <c r="P1537" s="14">
        <f>IFERROR(L1537/G1537,0)</f>
        <v>0.4390000000000015</v>
      </c>
    </row>
    <row r="1538" spans="1:18" x14ac:dyDescent="0.3">
      <c r="A1538" s="9" t="s">
        <v>3527</v>
      </c>
      <c r="B1538" s="9" t="s">
        <v>26</v>
      </c>
      <c r="C1538" s="9" t="s">
        <v>26</v>
      </c>
      <c r="D1538" s="52">
        <v>46195</v>
      </c>
      <c r="E1538" s="48">
        <v>0.74722222222222223</v>
      </c>
      <c r="F1538" s="48">
        <v>0.75347222222222221</v>
      </c>
      <c r="G1538" s="43">
        <f>(F1538-E1538)*1440</f>
        <v>8.999999999999968</v>
      </c>
      <c r="H1538" s="9" t="s">
        <v>4034</v>
      </c>
      <c r="I1538" s="9" t="s">
        <v>4035</v>
      </c>
      <c r="J1538" s="44">
        <v>3.2</v>
      </c>
      <c r="K1538" s="60">
        <v>7.48</v>
      </c>
      <c r="L1538" s="56">
        <v>5.61</v>
      </c>
      <c r="M1538" s="14">
        <f>K1538-L1538</f>
        <v>1.87</v>
      </c>
      <c r="N1538" s="15">
        <f>IFERROR(M1538/K1538,0)</f>
        <v>0.25</v>
      </c>
      <c r="O1538" s="14">
        <f>IFERROR(L1538/J1538,0)</f>
        <v>1.753125</v>
      </c>
      <c r="P1538" s="14">
        <f>IFERROR(L1538/G1538,0)</f>
        <v>0.62333333333333563</v>
      </c>
    </row>
    <row r="1539" spans="1:18" x14ac:dyDescent="0.3">
      <c r="A1539" s="9" t="s">
        <v>3528</v>
      </c>
      <c r="B1539" s="9" t="s">
        <v>26</v>
      </c>
      <c r="C1539" s="9" t="s">
        <v>27</v>
      </c>
      <c r="D1539" s="52">
        <v>46195</v>
      </c>
      <c r="E1539" s="48">
        <v>0.83194444444444438</v>
      </c>
      <c r="F1539" s="48">
        <v>0.83958333333333324</v>
      </c>
      <c r="G1539" s="43">
        <f>(F1539-E1539)*1440</f>
        <v>10.999999999999961</v>
      </c>
      <c r="H1539" s="9" t="s">
        <v>2595</v>
      </c>
      <c r="I1539" s="9" t="s">
        <v>214</v>
      </c>
      <c r="J1539" s="44">
        <v>6.9</v>
      </c>
      <c r="K1539" s="60">
        <v>7.85</v>
      </c>
      <c r="L1539" s="56">
        <v>5.89</v>
      </c>
      <c r="M1539" s="14">
        <f>K1539-L1539</f>
        <v>1.96</v>
      </c>
      <c r="N1539" s="15">
        <f>IFERROR(M1539/K1539,0)</f>
        <v>0.24968152866242038</v>
      </c>
      <c r="O1539" s="14">
        <f>IFERROR(L1539/J1539,0)</f>
        <v>0.85362318840579698</v>
      </c>
      <c r="P1539" s="14">
        <f>IFERROR(L1539/G1539,0)</f>
        <v>0.53545454545454729</v>
      </c>
      <c r="R1539" s="57">
        <v>2.61</v>
      </c>
    </row>
    <row r="1540" spans="1:18" x14ac:dyDescent="0.3">
      <c r="A1540" s="9" t="s">
        <v>3529</v>
      </c>
      <c r="B1540" s="9" t="s">
        <v>26</v>
      </c>
      <c r="C1540" s="9" t="s">
        <v>27</v>
      </c>
      <c r="D1540" s="52">
        <v>46195</v>
      </c>
      <c r="E1540" s="48">
        <v>0.84027777777777779</v>
      </c>
      <c r="F1540" s="48">
        <v>0.85138888888888886</v>
      </c>
      <c r="G1540" s="43">
        <f>(F1540-E1540)*1440</f>
        <v>15.999999999999943</v>
      </c>
      <c r="H1540" s="9" t="s">
        <v>214</v>
      </c>
      <c r="I1540" s="9" t="s">
        <v>800</v>
      </c>
      <c r="J1540" s="44">
        <v>16.5</v>
      </c>
      <c r="K1540" s="60">
        <v>10.08</v>
      </c>
      <c r="L1540" s="56">
        <v>7.56</v>
      </c>
      <c r="M1540" s="14">
        <f>K1540-L1540</f>
        <v>2.5200000000000005</v>
      </c>
      <c r="N1540" s="15">
        <f>IFERROR(M1540/K1540,0)</f>
        <v>0.25000000000000006</v>
      </c>
      <c r="O1540" s="14">
        <f>IFERROR(L1540/J1540,0)</f>
        <v>0.45818181818181813</v>
      </c>
      <c r="P1540" s="14">
        <f>IFERROR(L1540/G1540,0)</f>
        <v>0.47250000000000164</v>
      </c>
    </row>
    <row r="1541" spans="1:18" x14ac:dyDescent="0.3">
      <c r="A1541" s="9" t="s">
        <v>3530</v>
      </c>
      <c r="B1541" s="9" t="s">
        <v>18</v>
      </c>
      <c r="C1541" s="9" t="s">
        <v>184</v>
      </c>
      <c r="D1541" s="52">
        <v>46195</v>
      </c>
      <c r="E1541" s="48">
        <v>0.54652777777777783</v>
      </c>
      <c r="F1541" s="48">
        <v>0.57291666666666663</v>
      </c>
      <c r="G1541" s="43">
        <f>(F1541-E1541)*1440</f>
        <v>37.999999999999865</v>
      </c>
      <c r="H1541" s="9" t="s">
        <v>3426</v>
      </c>
      <c r="I1541" s="9" t="s">
        <v>3427</v>
      </c>
      <c r="J1541" s="44">
        <v>22.8</v>
      </c>
      <c r="K1541" s="60">
        <v>17.940000000000001</v>
      </c>
      <c r="L1541" s="56">
        <v>11.66</v>
      </c>
      <c r="M1541" s="14">
        <f>K1541-L1541</f>
        <v>6.2800000000000011</v>
      </c>
      <c r="N1541" s="15">
        <f>IFERROR(M1541/K1541,0)</f>
        <v>0.35005574136008921</v>
      </c>
      <c r="O1541" s="14">
        <f>IFERROR(L1541/J1541,0)</f>
        <v>0.51140350877192986</v>
      </c>
      <c r="P1541" s="14">
        <f>IFERROR(L1541/G1541,0)</f>
        <v>0.30684210526315897</v>
      </c>
    </row>
    <row r="1542" spans="1:18" x14ac:dyDescent="0.3">
      <c r="A1542" s="9" t="s">
        <v>3531</v>
      </c>
      <c r="B1542" s="9" t="s">
        <v>18</v>
      </c>
      <c r="C1542" s="9" t="s">
        <v>184</v>
      </c>
      <c r="D1542" s="52">
        <v>46195</v>
      </c>
      <c r="E1542" s="48">
        <v>0.57847222222222217</v>
      </c>
      <c r="F1542" s="48">
        <v>0.59097222222222223</v>
      </c>
      <c r="G1542" s="43">
        <f>(F1542-E1542)*1440</f>
        <v>18.000000000000096</v>
      </c>
      <c r="H1542" s="9" t="s">
        <v>1871</v>
      </c>
      <c r="I1542" s="9" t="s">
        <v>4036</v>
      </c>
      <c r="J1542" s="44">
        <v>9.7899999999999991</v>
      </c>
      <c r="K1542" s="60">
        <v>7.95</v>
      </c>
      <c r="L1542" s="56">
        <v>5.17</v>
      </c>
      <c r="M1542" s="14">
        <f>K1542-L1542</f>
        <v>2.7800000000000002</v>
      </c>
      <c r="N1542" s="15">
        <f>IFERROR(M1542/K1542,0)</f>
        <v>0.349685534591195</v>
      </c>
      <c r="O1542" s="14">
        <f>IFERROR(L1542/J1542,0)</f>
        <v>0.52808988764044951</v>
      </c>
      <c r="P1542" s="14">
        <f>IFERROR(L1542/G1542,0)</f>
        <v>0.28722222222222071</v>
      </c>
    </row>
    <row r="1543" spans="1:18" x14ac:dyDescent="0.3">
      <c r="A1543" s="9" t="s">
        <v>3532</v>
      </c>
      <c r="B1543" s="9" t="s">
        <v>18</v>
      </c>
      <c r="C1543" s="9" t="s">
        <v>184</v>
      </c>
      <c r="D1543" s="52">
        <v>46195</v>
      </c>
      <c r="E1543" s="48">
        <v>0.62361111111111112</v>
      </c>
      <c r="F1543" s="48">
        <v>0.63402777777777775</v>
      </c>
      <c r="G1543" s="43">
        <f>(F1543-E1543)*1440</f>
        <v>14.999999999999947</v>
      </c>
      <c r="H1543" s="9" t="s">
        <v>2861</v>
      </c>
      <c r="I1543" s="9" t="s">
        <v>4016</v>
      </c>
      <c r="J1543" s="44">
        <v>8.8699999999999992</v>
      </c>
      <c r="K1543" s="60">
        <v>5.96</v>
      </c>
      <c r="L1543" s="56">
        <v>3.87</v>
      </c>
      <c r="M1543" s="14">
        <f>K1543-L1543</f>
        <v>2.09</v>
      </c>
      <c r="N1543" s="15">
        <f>IFERROR(M1543/K1543,0)</f>
        <v>0.35067114093959728</v>
      </c>
      <c r="O1543" s="14">
        <f>IFERROR(L1543/J1543,0)</f>
        <v>0.43630214205186024</v>
      </c>
      <c r="P1543" s="14">
        <f>IFERROR(L1543/G1543,0)</f>
        <v>0.25800000000000095</v>
      </c>
    </row>
    <row r="1544" spans="1:18" x14ac:dyDescent="0.3">
      <c r="A1544" s="9" t="s">
        <v>3533</v>
      </c>
      <c r="B1544" s="9" t="s">
        <v>18</v>
      </c>
      <c r="C1544" s="9" t="s">
        <v>184</v>
      </c>
      <c r="D1544" s="52">
        <v>46195</v>
      </c>
      <c r="E1544" s="48">
        <v>0.75486111111111109</v>
      </c>
      <c r="F1544" s="48">
        <v>0.76527777777777783</v>
      </c>
      <c r="G1544" s="43">
        <f>(F1544-E1544)*1440</f>
        <v>15.000000000000107</v>
      </c>
      <c r="H1544" s="9" t="s">
        <v>4037</v>
      </c>
      <c r="I1544" s="9" t="s">
        <v>1285</v>
      </c>
      <c r="J1544" s="44">
        <v>7.87</v>
      </c>
      <c r="K1544" s="60">
        <v>6.93</v>
      </c>
      <c r="L1544" s="56">
        <v>5.34</v>
      </c>
      <c r="M1544" s="14">
        <f>K1544-L1544</f>
        <v>1.5899999999999999</v>
      </c>
      <c r="N1544" s="15">
        <f>IFERROR(M1544/K1544,0)</f>
        <v>0.22943722943722944</v>
      </c>
      <c r="O1544" s="14">
        <f>IFERROR(L1544/J1544,0)</f>
        <v>0.67852604828462515</v>
      </c>
      <c r="P1544" s="14">
        <f>IFERROR(L1544/G1544,0)</f>
        <v>0.35599999999999749</v>
      </c>
    </row>
    <row r="1545" spans="1:18" x14ac:dyDescent="0.3">
      <c r="A1545" s="9" t="s">
        <v>3534</v>
      </c>
      <c r="B1545" s="9" t="s">
        <v>18</v>
      </c>
      <c r="C1545" s="9" t="s">
        <v>184</v>
      </c>
      <c r="D1545" s="52">
        <v>46195</v>
      </c>
      <c r="E1545" s="48">
        <v>0.7729166666666667</v>
      </c>
      <c r="F1545" s="48">
        <v>0.78125</v>
      </c>
      <c r="G1545" s="43">
        <f>(F1545-E1545)*1440</f>
        <v>11.999999999999957</v>
      </c>
      <c r="H1545" s="9" t="s">
        <v>4038</v>
      </c>
      <c r="I1545" s="9" t="s">
        <v>4039</v>
      </c>
      <c r="J1545" s="44">
        <v>9.4</v>
      </c>
      <c r="K1545" s="60">
        <v>8.9499999999999993</v>
      </c>
      <c r="L1545" s="56">
        <v>6.77</v>
      </c>
      <c r="M1545" s="14">
        <f>K1545-L1545</f>
        <v>2.1799999999999997</v>
      </c>
      <c r="N1545" s="15">
        <f>IFERROR(M1545/K1545,0)</f>
        <v>0.2435754189944134</v>
      </c>
      <c r="O1545" s="14">
        <f>IFERROR(L1545/J1545,0)</f>
        <v>0.72021276595744677</v>
      </c>
      <c r="P1545" s="14">
        <f>IFERROR(L1545/G1545,0)</f>
        <v>0.56416666666666859</v>
      </c>
    </row>
    <row r="1546" spans="1:18" x14ac:dyDescent="0.3">
      <c r="A1546" s="9" t="s">
        <v>3535</v>
      </c>
      <c r="B1546" s="9" t="s">
        <v>18</v>
      </c>
      <c r="C1546" s="9" t="s">
        <v>184</v>
      </c>
      <c r="D1546" s="52">
        <v>46195</v>
      </c>
      <c r="E1546" s="48">
        <v>0.78541666666666676</v>
      </c>
      <c r="F1546" s="48">
        <v>0.79791666666666661</v>
      </c>
      <c r="G1546" s="43">
        <f>(F1546-E1546)*1440</f>
        <v>17.999999999999776</v>
      </c>
      <c r="H1546" s="9" t="s">
        <v>743</v>
      </c>
      <c r="I1546" s="9" t="s">
        <v>561</v>
      </c>
      <c r="J1546" s="44">
        <v>9.26</v>
      </c>
      <c r="K1546" s="60">
        <v>10.84</v>
      </c>
      <c r="L1546" s="56">
        <v>7.46</v>
      </c>
      <c r="M1546" s="14">
        <f>K1546-L1546</f>
        <v>3.38</v>
      </c>
      <c r="N1546" s="15">
        <f>IFERROR(M1546/K1546,0)</f>
        <v>0.31180811808118081</v>
      </c>
      <c r="O1546" s="14">
        <f>IFERROR(L1546/J1546,0)</f>
        <v>0.80561555075593949</v>
      </c>
      <c r="P1546" s="14">
        <f>IFERROR(L1546/G1546,0)</f>
        <v>0.41444444444444961</v>
      </c>
    </row>
    <row r="1547" spans="1:18" x14ac:dyDescent="0.3">
      <c r="A1547" s="9" t="s">
        <v>3536</v>
      </c>
      <c r="B1547" s="9" t="s">
        <v>18</v>
      </c>
      <c r="C1547" s="9" t="s">
        <v>184</v>
      </c>
      <c r="D1547" s="52">
        <v>46196</v>
      </c>
      <c r="E1547" s="48">
        <v>0.68819444444444444</v>
      </c>
      <c r="F1547" s="48">
        <v>0.69305555555555554</v>
      </c>
      <c r="G1547" s="43">
        <f>(F1547-E1547)*1440</f>
        <v>6.9999999999999751</v>
      </c>
      <c r="H1547" s="9" t="s">
        <v>743</v>
      </c>
      <c r="I1547" s="9" t="s">
        <v>3423</v>
      </c>
      <c r="J1547" s="44">
        <v>3.33</v>
      </c>
      <c r="K1547" s="60">
        <v>6.96</v>
      </c>
      <c r="L1547" s="56">
        <v>6.11</v>
      </c>
      <c r="M1547" s="14">
        <f>K1547-L1547</f>
        <v>0.84999999999999964</v>
      </c>
      <c r="N1547" s="15">
        <f>IFERROR(M1547/K1547,0)</f>
        <v>0.12212643678160914</v>
      </c>
      <c r="O1547" s="14">
        <f>IFERROR(L1547/J1547,0)</f>
        <v>1.8348348348348349</v>
      </c>
      <c r="P1547" s="14">
        <f>IFERROR(L1547/G1547,0)</f>
        <v>0.872857142857146</v>
      </c>
    </row>
    <row r="1548" spans="1:18" x14ac:dyDescent="0.3">
      <c r="A1548" s="9" t="s">
        <v>3537</v>
      </c>
      <c r="B1548" s="9" t="s">
        <v>18</v>
      </c>
      <c r="C1548" s="9" t="s">
        <v>184</v>
      </c>
      <c r="D1548" s="52">
        <v>46196</v>
      </c>
      <c r="E1548" s="48">
        <v>0.69791666666666663</v>
      </c>
      <c r="F1548" s="48">
        <v>0.70624999999999993</v>
      </c>
      <c r="G1548" s="43">
        <f>(F1548-E1548)*1440</f>
        <v>11.999999999999957</v>
      </c>
      <c r="H1548" s="9" t="s">
        <v>582</v>
      </c>
      <c r="I1548" s="9" t="s">
        <v>4040</v>
      </c>
      <c r="J1548" s="44">
        <v>4.42</v>
      </c>
      <c r="K1548" s="60">
        <v>6.94</v>
      </c>
      <c r="L1548" s="56">
        <v>6.16</v>
      </c>
      <c r="M1548" s="14">
        <f>K1548-L1548</f>
        <v>0.78000000000000025</v>
      </c>
      <c r="N1548" s="15">
        <f>IFERROR(M1548/K1548,0)</f>
        <v>0.1123919308357349</v>
      </c>
      <c r="O1548" s="14">
        <f>IFERROR(L1548/J1548,0)</f>
        <v>1.3936651583710409</v>
      </c>
      <c r="P1548" s="14">
        <f>IFERROR(L1548/G1548,0)</f>
        <v>0.5133333333333352</v>
      </c>
    </row>
    <row r="1549" spans="1:18" x14ac:dyDescent="0.3">
      <c r="A1549" s="9" t="s">
        <v>3538</v>
      </c>
      <c r="B1549" s="9" t="s">
        <v>18</v>
      </c>
      <c r="C1549" s="9" t="s">
        <v>184</v>
      </c>
      <c r="D1549" s="52">
        <v>46196</v>
      </c>
      <c r="E1549" s="48">
        <v>0.7090277777777777</v>
      </c>
      <c r="F1549" s="48">
        <v>0.71527777777777779</v>
      </c>
      <c r="G1549" s="43">
        <f>(F1549-E1549)*1440</f>
        <v>9.0000000000001279</v>
      </c>
      <c r="H1549" s="9" t="s">
        <v>2220</v>
      </c>
      <c r="I1549" s="9" t="s">
        <v>4041</v>
      </c>
      <c r="J1549" s="44">
        <v>4.24</v>
      </c>
      <c r="K1549" s="60">
        <v>10.94</v>
      </c>
      <c r="L1549" s="56">
        <v>7.85</v>
      </c>
      <c r="M1549" s="14">
        <f>K1549-L1549</f>
        <v>3.09</v>
      </c>
      <c r="N1549" s="15">
        <f>IFERROR(M1549/K1549,0)</f>
        <v>0.28244972577696525</v>
      </c>
      <c r="O1549" s="14">
        <f>IFERROR(L1549/J1549,0)</f>
        <v>1.8514150943396224</v>
      </c>
      <c r="P1549" s="14">
        <f>IFERROR(L1549/G1549,0)</f>
        <v>0.8722222222222098</v>
      </c>
    </row>
    <row r="1550" spans="1:18" x14ac:dyDescent="0.3">
      <c r="A1550" s="9" t="s">
        <v>3539</v>
      </c>
      <c r="B1550" s="9" t="s">
        <v>18</v>
      </c>
      <c r="C1550" s="9" t="s">
        <v>184</v>
      </c>
      <c r="D1550" s="52">
        <v>46196</v>
      </c>
      <c r="E1550" s="48">
        <v>0.71666666666666667</v>
      </c>
      <c r="F1550" s="48">
        <v>0.72361111111111109</v>
      </c>
      <c r="G1550" s="43">
        <f>(F1550-E1550)*1440</f>
        <v>9.9999999999999645</v>
      </c>
      <c r="H1550" s="9" t="s">
        <v>1185</v>
      </c>
      <c r="I1550" s="9" t="s">
        <v>1231</v>
      </c>
      <c r="J1550" s="44">
        <v>3.39</v>
      </c>
      <c r="K1550" s="60">
        <v>9.9499999999999993</v>
      </c>
      <c r="L1550" s="56">
        <v>6.76</v>
      </c>
      <c r="M1550" s="14">
        <f>K1550-L1550</f>
        <v>3.1899999999999995</v>
      </c>
      <c r="N1550" s="15">
        <f>IFERROR(M1550/K1550,0)</f>
        <v>0.32060301507537686</v>
      </c>
      <c r="O1550" s="14">
        <f>IFERROR(L1550/J1550,0)</f>
        <v>1.9941002949852507</v>
      </c>
      <c r="P1550" s="14">
        <f>IFERROR(L1550/G1550,0)</f>
        <v>0.67600000000000238</v>
      </c>
    </row>
    <row r="1551" spans="1:18" x14ac:dyDescent="0.3">
      <c r="A1551" s="9" t="s">
        <v>3540</v>
      </c>
      <c r="B1551" s="9" t="s">
        <v>18</v>
      </c>
      <c r="C1551" s="9" t="s">
        <v>184</v>
      </c>
      <c r="D1551" s="52">
        <v>46196</v>
      </c>
      <c r="E1551" s="48">
        <v>0.72777777777777775</v>
      </c>
      <c r="F1551" s="48">
        <v>0.75277777777777777</v>
      </c>
      <c r="G1551" s="43">
        <f>(F1551-E1551)*1440</f>
        <v>36.000000000000028</v>
      </c>
      <c r="H1551" s="9" t="s">
        <v>4042</v>
      </c>
      <c r="I1551" s="9" t="s">
        <v>4043</v>
      </c>
      <c r="J1551" s="44">
        <v>8.83</v>
      </c>
      <c r="K1551" s="60">
        <v>18.59</v>
      </c>
      <c r="L1551" s="56">
        <v>12.9</v>
      </c>
      <c r="M1551" s="14">
        <f>K1551-L1551</f>
        <v>5.6899999999999995</v>
      </c>
      <c r="N1551" s="15">
        <f>IFERROR(M1551/K1551,0)</f>
        <v>0.30607853684776759</v>
      </c>
      <c r="O1551" s="14">
        <f>IFERROR(L1551/J1551,0)</f>
        <v>1.4609286523216309</v>
      </c>
      <c r="P1551" s="14">
        <f>IFERROR(L1551/G1551,0)</f>
        <v>0.35833333333333306</v>
      </c>
    </row>
    <row r="1552" spans="1:18" x14ac:dyDescent="0.3">
      <c r="A1552" s="9" t="s">
        <v>3541</v>
      </c>
      <c r="B1552" s="9" t="s">
        <v>18</v>
      </c>
      <c r="C1552" s="9" t="s">
        <v>196</v>
      </c>
      <c r="D1552" s="52">
        <v>46196</v>
      </c>
      <c r="E1552" s="48">
        <v>0.7631944444444444</v>
      </c>
      <c r="F1552" s="48">
        <v>0.7680555555555556</v>
      </c>
      <c r="G1552" s="43">
        <f>(F1552-E1552)*1440</f>
        <v>7.000000000000135</v>
      </c>
      <c r="H1552" s="9" t="s">
        <v>2216</v>
      </c>
      <c r="I1552" s="9" t="s">
        <v>1856</v>
      </c>
      <c r="J1552" s="44">
        <v>4.58</v>
      </c>
      <c r="K1552" s="60">
        <v>10.99</v>
      </c>
      <c r="L1552" s="56">
        <v>9.1999999999999993</v>
      </c>
      <c r="M1552" s="14">
        <f>K1552-L1552</f>
        <v>1.7900000000000009</v>
      </c>
      <c r="N1552" s="15">
        <f>IFERROR(M1552/K1552,0)</f>
        <v>0.16287534121929034</v>
      </c>
      <c r="O1552" s="14">
        <f>IFERROR(L1552/J1552,0)</f>
        <v>2.0087336244541483</v>
      </c>
      <c r="P1552" s="14">
        <f>IFERROR(L1552/G1552,0)</f>
        <v>1.3142857142856887</v>
      </c>
    </row>
    <row r="1553" spans="1:19" x14ac:dyDescent="0.3">
      <c r="A1553" s="9" t="s">
        <v>3542</v>
      </c>
      <c r="B1553" s="9" t="s">
        <v>18</v>
      </c>
      <c r="C1553" s="9" t="s">
        <v>184</v>
      </c>
      <c r="D1553" s="52">
        <v>46196</v>
      </c>
      <c r="E1553" s="48">
        <v>0.77569444444444446</v>
      </c>
      <c r="F1553" s="48">
        <v>0.78125</v>
      </c>
      <c r="G1553" s="43">
        <f>(F1553-E1553)*1440</f>
        <v>7.9999999999999716</v>
      </c>
      <c r="H1553" s="9" t="s">
        <v>1960</v>
      </c>
      <c r="I1553" s="9" t="s">
        <v>243</v>
      </c>
      <c r="J1553" s="44">
        <v>5.84</v>
      </c>
      <c r="K1553" s="60">
        <v>5.93</v>
      </c>
      <c r="L1553" s="56">
        <v>4.92</v>
      </c>
      <c r="M1553" s="14">
        <f>K1553-L1553</f>
        <v>1.0099999999999998</v>
      </c>
      <c r="N1553" s="15">
        <f>IFERROR(M1553/K1553,0)</f>
        <v>0.17032040472175378</v>
      </c>
      <c r="O1553" s="14">
        <f>IFERROR(L1553/J1553,0)</f>
        <v>0.84246575342465757</v>
      </c>
      <c r="P1553" s="14">
        <f>IFERROR(L1553/G1553,0)</f>
        <v>0.61500000000000221</v>
      </c>
    </row>
    <row r="1554" spans="1:19" x14ac:dyDescent="0.3">
      <c r="A1554" s="9" t="s">
        <v>3543</v>
      </c>
      <c r="B1554" s="9" t="s">
        <v>18</v>
      </c>
      <c r="C1554" s="9" t="s">
        <v>196</v>
      </c>
      <c r="D1554" s="52">
        <v>46196</v>
      </c>
      <c r="E1554" s="48">
        <v>0.79861111111111116</v>
      </c>
      <c r="F1554" s="48">
        <v>0.8027777777777777</v>
      </c>
      <c r="G1554" s="43">
        <f>(F1554-E1554)*1440</f>
        <v>5.9999999999998188</v>
      </c>
      <c r="H1554" s="9" t="s">
        <v>2568</v>
      </c>
      <c r="I1554" s="9" t="s">
        <v>4044</v>
      </c>
      <c r="J1554" s="44">
        <v>3.32</v>
      </c>
      <c r="K1554" s="60">
        <v>4.9800000000000004</v>
      </c>
      <c r="L1554" s="56">
        <v>3.52</v>
      </c>
      <c r="M1554" s="14">
        <f>K1554-L1554</f>
        <v>1.4600000000000004</v>
      </c>
      <c r="N1554" s="15">
        <f>IFERROR(M1554/K1554,0)</f>
        <v>0.29317269076305225</v>
      </c>
      <c r="O1554" s="14">
        <f>IFERROR(L1554/J1554,0)</f>
        <v>1.0602409638554218</v>
      </c>
      <c r="P1554" s="14">
        <f>IFERROR(L1554/G1554,0)</f>
        <v>0.58666666666668443</v>
      </c>
    </row>
    <row r="1555" spans="1:19" x14ac:dyDescent="0.3">
      <c r="A1555" s="9" t="s">
        <v>3544</v>
      </c>
      <c r="B1555" s="9" t="s">
        <v>18</v>
      </c>
      <c r="C1555" s="9" t="s">
        <v>2184</v>
      </c>
      <c r="D1555" s="52">
        <v>46196</v>
      </c>
      <c r="E1555" s="48">
        <v>0.80625000000000002</v>
      </c>
      <c r="F1555" s="48">
        <v>0.81666666666666676</v>
      </c>
      <c r="G1555" s="43">
        <f>(F1555-E1555)*1440</f>
        <v>15.000000000000107</v>
      </c>
      <c r="H1555" s="9" t="s">
        <v>4044</v>
      </c>
      <c r="I1555" s="9" t="s">
        <v>214</v>
      </c>
      <c r="J1555" s="44">
        <v>5.0199999999999996</v>
      </c>
      <c r="K1555" s="60">
        <v>5.18</v>
      </c>
      <c r="L1555" s="56">
        <v>3.89</v>
      </c>
      <c r="M1555" s="14">
        <f>K1555-L1555</f>
        <v>1.2899999999999996</v>
      </c>
      <c r="N1555" s="15">
        <f>IFERROR(M1555/K1555,0)</f>
        <v>0.24903474903474898</v>
      </c>
      <c r="O1555" s="14">
        <f>IFERROR(L1555/J1555,0)</f>
        <v>0.77490039840637459</v>
      </c>
      <c r="P1555" s="14">
        <f>IFERROR(L1555/G1555,0)</f>
        <v>0.25933333333333147</v>
      </c>
    </row>
    <row r="1556" spans="1:19" x14ac:dyDescent="0.3">
      <c r="A1556" s="9" t="s">
        <v>3545</v>
      </c>
      <c r="B1556" s="9" t="s">
        <v>18</v>
      </c>
      <c r="C1556" s="9" t="s">
        <v>196</v>
      </c>
      <c r="D1556" s="52">
        <v>46196</v>
      </c>
      <c r="E1556" s="48">
        <v>0.81666666666666676</v>
      </c>
      <c r="F1556" s="48">
        <v>0.82500000000000007</v>
      </c>
      <c r="G1556" s="43">
        <f>(F1556-E1556)*1440</f>
        <v>11.999999999999957</v>
      </c>
      <c r="H1556" s="9" t="s">
        <v>2861</v>
      </c>
      <c r="I1556" s="9" t="s">
        <v>3065</v>
      </c>
      <c r="J1556" s="44">
        <v>9.1199999999999992</v>
      </c>
      <c r="K1556" s="60">
        <v>6.99</v>
      </c>
      <c r="L1556" s="56">
        <v>4.6100000000000003</v>
      </c>
      <c r="M1556" s="14">
        <f>K1556-L1556</f>
        <v>2.38</v>
      </c>
      <c r="N1556" s="15">
        <f>IFERROR(M1556/K1556,0)</f>
        <v>0.34048640915593703</v>
      </c>
      <c r="O1556" s="14">
        <f>IFERROR(L1556/J1556,0)</f>
        <v>0.50548245614035092</v>
      </c>
      <c r="P1556" s="14">
        <f>IFERROR(L1556/G1556,0)</f>
        <v>0.38416666666666804</v>
      </c>
    </row>
    <row r="1557" spans="1:19" x14ac:dyDescent="0.3">
      <c r="A1557" s="9" t="s">
        <v>3546</v>
      </c>
      <c r="B1557" s="9" t="s">
        <v>18</v>
      </c>
      <c r="C1557" s="9" t="s">
        <v>196</v>
      </c>
      <c r="D1557" s="52">
        <v>46196</v>
      </c>
      <c r="E1557" s="48">
        <v>0.86388888888888893</v>
      </c>
      <c r="F1557" s="48">
        <v>0.87847222222222221</v>
      </c>
      <c r="G1557" s="43">
        <f>(F1557-E1557)*1440</f>
        <v>20.999999999999925</v>
      </c>
      <c r="H1557" s="9" t="s">
        <v>225</v>
      </c>
      <c r="I1557" s="9" t="s">
        <v>1221</v>
      </c>
      <c r="J1557" s="44">
        <v>23.61</v>
      </c>
      <c r="K1557" s="60">
        <v>13.98</v>
      </c>
      <c r="L1557" s="56">
        <v>9.09</v>
      </c>
      <c r="M1557" s="14">
        <f>K1557-L1557</f>
        <v>4.8900000000000006</v>
      </c>
      <c r="N1557" s="15">
        <f>IFERROR(M1557/K1557,0)</f>
        <v>0.34978540772532191</v>
      </c>
      <c r="O1557" s="14">
        <f>IFERROR(L1557/J1557,0)</f>
        <v>0.38500635324015248</v>
      </c>
      <c r="P1557" s="14">
        <f>IFERROR(L1557/G1557,0)</f>
        <v>0.43285714285714438</v>
      </c>
    </row>
    <row r="1558" spans="1:19" x14ac:dyDescent="0.3">
      <c r="A1558" s="9" t="s">
        <v>3547</v>
      </c>
      <c r="B1558" s="9" t="s">
        <v>26</v>
      </c>
      <c r="C1558" s="9" t="s">
        <v>27</v>
      </c>
      <c r="D1558" s="52">
        <v>46196</v>
      </c>
      <c r="E1558" s="48">
        <v>0.5625</v>
      </c>
      <c r="F1558" s="48">
        <v>0.58263888888888882</v>
      </c>
      <c r="G1558" s="43">
        <f>(F1558-E1558)*1440</f>
        <v>28.999999999999897</v>
      </c>
      <c r="H1558" s="9" t="s">
        <v>4045</v>
      </c>
      <c r="I1558" s="9" t="s">
        <v>4046</v>
      </c>
      <c r="J1558" s="44">
        <v>19.100000000000001</v>
      </c>
      <c r="K1558" s="60">
        <v>13.8</v>
      </c>
      <c r="L1558" s="56">
        <v>11.74</v>
      </c>
      <c r="M1558" s="14">
        <f>K1558-L1558</f>
        <v>2.0600000000000005</v>
      </c>
      <c r="N1558" s="15">
        <f>IFERROR(M1558/K1558,0)</f>
        <v>0.14927536231884062</v>
      </c>
      <c r="O1558" s="14">
        <f>IFERROR(L1558/J1558,0)</f>
        <v>0.61465968586387432</v>
      </c>
      <c r="P1558" s="14">
        <f>IFERROR(L1558/G1558,0)</f>
        <v>0.40482758620689802</v>
      </c>
      <c r="S1558" s="61">
        <v>2</v>
      </c>
    </row>
    <row r="1559" spans="1:19" x14ac:dyDescent="0.3">
      <c r="A1559" s="9" t="s">
        <v>3548</v>
      </c>
      <c r="B1559" s="9" t="s">
        <v>26</v>
      </c>
      <c r="C1559" s="9" t="s">
        <v>26</v>
      </c>
      <c r="D1559" s="52">
        <v>46196</v>
      </c>
      <c r="E1559" s="48">
        <v>0.58611111111111114</v>
      </c>
      <c r="F1559" s="48">
        <v>0.6</v>
      </c>
      <c r="G1559" s="43">
        <f>(F1559-E1559)*1440</f>
        <v>19.999999999999929</v>
      </c>
      <c r="H1559" s="9" t="s">
        <v>4047</v>
      </c>
      <c r="I1559" s="9" t="s">
        <v>554</v>
      </c>
      <c r="J1559" s="44">
        <v>10.199999999999999</v>
      </c>
      <c r="K1559" s="60">
        <v>6.6</v>
      </c>
      <c r="L1559" s="56">
        <v>6.19</v>
      </c>
      <c r="M1559" s="14">
        <f>K1559-L1559</f>
        <v>0.40999999999999925</v>
      </c>
      <c r="N1559" s="15">
        <f>IFERROR(M1559/K1559,0)</f>
        <v>6.2121212121212015E-2</v>
      </c>
      <c r="O1559" s="14">
        <f>IFERROR(L1559/J1559,0)</f>
        <v>0.60686274509803928</v>
      </c>
      <c r="P1559" s="14">
        <f>IFERROR(L1559/G1559,0)</f>
        <v>0.30950000000000111</v>
      </c>
    </row>
    <row r="1560" spans="1:19" x14ac:dyDescent="0.3">
      <c r="A1560" s="9" t="s">
        <v>3549</v>
      </c>
      <c r="B1560" s="9" t="s">
        <v>26</v>
      </c>
      <c r="C1560" s="9" t="s">
        <v>27</v>
      </c>
      <c r="D1560" s="52">
        <v>46196</v>
      </c>
      <c r="E1560" s="48">
        <v>0.60347222222222219</v>
      </c>
      <c r="F1560" s="48">
        <v>0.6118055555555556</v>
      </c>
      <c r="G1560" s="43">
        <f>(F1560-E1560)*1440</f>
        <v>12.000000000000117</v>
      </c>
      <c r="H1560" s="9" t="s">
        <v>4048</v>
      </c>
      <c r="I1560" s="9" t="s">
        <v>2861</v>
      </c>
      <c r="J1560" s="44">
        <v>7.6</v>
      </c>
      <c r="K1560" s="60">
        <v>6.65</v>
      </c>
      <c r="L1560" s="56">
        <v>5.49</v>
      </c>
      <c r="M1560" s="14">
        <f>K1560-L1560</f>
        <v>1.1600000000000001</v>
      </c>
      <c r="N1560" s="15">
        <f>IFERROR(M1560/K1560,0)</f>
        <v>0.17443609022556392</v>
      </c>
      <c r="O1560" s="14">
        <f>IFERROR(L1560/J1560,0)</f>
        <v>0.72236842105263166</v>
      </c>
      <c r="P1560" s="14">
        <f>IFERROR(L1560/G1560,0)</f>
        <v>0.45749999999999552</v>
      </c>
      <c r="R1560" s="57">
        <v>1.1100000000000001</v>
      </c>
    </row>
    <row r="1561" spans="1:19" x14ac:dyDescent="0.3">
      <c r="A1561" s="9" t="s">
        <v>3550</v>
      </c>
      <c r="B1561" s="9" t="s">
        <v>26</v>
      </c>
      <c r="C1561" s="9" t="s">
        <v>27</v>
      </c>
      <c r="D1561" s="52">
        <v>46196</v>
      </c>
      <c r="E1561" s="48">
        <v>0.61249999999999993</v>
      </c>
      <c r="F1561" s="48">
        <v>0.62708333333333333</v>
      </c>
      <c r="G1561" s="43">
        <f>(F1561-E1561)*1440</f>
        <v>21.000000000000085</v>
      </c>
      <c r="H1561" s="9" t="s">
        <v>214</v>
      </c>
      <c r="I1561" s="9" t="s">
        <v>4049</v>
      </c>
      <c r="J1561" s="44">
        <v>9.9</v>
      </c>
      <c r="K1561" s="60">
        <v>6.49</v>
      </c>
      <c r="L1561" s="56">
        <v>4.87</v>
      </c>
      <c r="M1561" s="14">
        <f>K1561-L1561</f>
        <v>1.62</v>
      </c>
      <c r="N1561" s="15">
        <f>IFERROR(M1561/K1561,0)</f>
        <v>0.24961479198767336</v>
      </c>
      <c r="O1561" s="14">
        <f>IFERROR(L1561/J1561,0)</f>
        <v>0.49191919191919192</v>
      </c>
      <c r="P1561" s="14">
        <f>IFERROR(L1561/G1561,0)</f>
        <v>0.23190476190476098</v>
      </c>
    </row>
    <row r="1562" spans="1:19" x14ac:dyDescent="0.3">
      <c r="A1562" s="9" t="s">
        <v>3551</v>
      </c>
      <c r="B1562" s="9" t="s">
        <v>26</v>
      </c>
      <c r="C1562" s="9" t="s">
        <v>26</v>
      </c>
      <c r="D1562" s="52">
        <v>46196</v>
      </c>
      <c r="E1562" s="48">
        <v>0.63263888888888886</v>
      </c>
      <c r="F1562" s="48">
        <v>0.6381944444444444</v>
      </c>
      <c r="G1562" s="43">
        <f>(F1562-E1562)*1440</f>
        <v>7.9999999999999716</v>
      </c>
      <c r="H1562" s="9" t="s">
        <v>4050</v>
      </c>
      <c r="I1562" s="9" t="s">
        <v>4051</v>
      </c>
      <c r="J1562" s="44">
        <v>1.6</v>
      </c>
      <c r="K1562" s="60">
        <v>3.52</v>
      </c>
      <c r="L1562" s="56">
        <v>3.3</v>
      </c>
      <c r="M1562" s="14">
        <f>K1562-L1562</f>
        <v>0.2200000000000002</v>
      </c>
      <c r="N1562" s="15">
        <f>IFERROR(M1562/K1562,0)</f>
        <v>6.2500000000000056E-2</v>
      </c>
      <c r="O1562" s="14">
        <f>IFERROR(L1562/J1562,0)</f>
        <v>2.0624999999999996</v>
      </c>
      <c r="P1562" s="14">
        <f>IFERROR(L1562/G1562,0)</f>
        <v>0.41250000000000142</v>
      </c>
    </row>
    <row r="1563" spans="1:19" x14ac:dyDescent="0.3">
      <c r="A1563" s="9" t="s">
        <v>3552</v>
      </c>
      <c r="B1563" s="9" t="s">
        <v>26</v>
      </c>
      <c r="C1563" s="9" t="s">
        <v>27</v>
      </c>
      <c r="D1563" s="52">
        <v>46196</v>
      </c>
      <c r="E1563" s="48">
        <v>0.64722222222222225</v>
      </c>
      <c r="F1563" s="48">
        <v>0.66180555555555554</v>
      </c>
      <c r="G1563" s="43">
        <f>(F1563-E1563)*1440</f>
        <v>20.999999999999925</v>
      </c>
      <c r="H1563" s="9" t="s">
        <v>4051</v>
      </c>
      <c r="I1563" s="9" t="s">
        <v>4052</v>
      </c>
      <c r="J1563" s="44">
        <v>10.1</v>
      </c>
      <c r="K1563" s="60">
        <v>8.52</v>
      </c>
      <c r="L1563" s="56">
        <v>6.39</v>
      </c>
      <c r="M1563" s="14">
        <f>K1563-L1563</f>
        <v>2.13</v>
      </c>
      <c r="N1563" s="15">
        <f>IFERROR(M1563/K1563,0)</f>
        <v>0.25</v>
      </c>
      <c r="O1563" s="14">
        <f>IFERROR(L1563/J1563,0)</f>
        <v>0.63267326732673268</v>
      </c>
      <c r="P1563" s="14">
        <f>IFERROR(L1563/G1563,0)</f>
        <v>0.30428571428571533</v>
      </c>
    </row>
    <row r="1564" spans="1:19" x14ac:dyDescent="0.3">
      <c r="A1564" s="9" t="s">
        <v>3553</v>
      </c>
      <c r="B1564" s="9" t="s">
        <v>26</v>
      </c>
      <c r="C1564" s="9" t="s">
        <v>26</v>
      </c>
      <c r="D1564" s="52">
        <v>46196</v>
      </c>
      <c r="E1564" s="48">
        <v>0.84375</v>
      </c>
      <c r="F1564" s="48">
        <v>0.8569444444444444</v>
      </c>
      <c r="G1564" s="43">
        <f>(F1564-E1564)*1440</f>
        <v>18.999999999999932</v>
      </c>
      <c r="H1564" s="9" t="s">
        <v>1172</v>
      </c>
      <c r="I1564" s="9" t="s">
        <v>4053</v>
      </c>
      <c r="J1564" s="44">
        <v>13.1</v>
      </c>
      <c r="K1564" s="60">
        <v>8.49</v>
      </c>
      <c r="L1564" s="56">
        <v>7.37</v>
      </c>
      <c r="M1564" s="14">
        <f>K1564-L1564</f>
        <v>1.1200000000000001</v>
      </c>
      <c r="N1564" s="15">
        <f>IFERROR(M1564/K1564,0)</f>
        <v>0.1319199057714959</v>
      </c>
      <c r="O1564" s="14">
        <f>IFERROR(L1564/J1564,0)</f>
        <v>0.5625954198473283</v>
      </c>
      <c r="P1564" s="14">
        <f>IFERROR(L1564/G1564,0)</f>
        <v>0.38789473684210662</v>
      </c>
    </row>
    <row r="1565" spans="1:19" x14ac:dyDescent="0.3">
      <c r="A1565" s="9" t="s">
        <v>3554</v>
      </c>
      <c r="B1565" s="9" t="s">
        <v>26</v>
      </c>
      <c r="C1565" s="9" t="s">
        <v>27</v>
      </c>
      <c r="D1565" s="52">
        <v>46197</v>
      </c>
      <c r="E1565" s="48">
        <v>0.56319444444444444</v>
      </c>
      <c r="F1565" s="48">
        <v>0.57500000000000007</v>
      </c>
      <c r="G1565" s="43">
        <f>(F1565-E1565)*1440</f>
        <v>17.000000000000099</v>
      </c>
      <c r="H1565" s="9" t="s">
        <v>2468</v>
      </c>
      <c r="I1565" s="9" t="s">
        <v>4054</v>
      </c>
      <c r="J1565" s="44">
        <v>7.3</v>
      </c>
      <c r="K1565" s="60">
        <v>5.7</v>
      </c>
      <c r="L1565" s="56">
        <v>4.2699999999999996</v>
      </c>
      <c r="M1565" s="14">
        <f>K1565-L1565</f>
        <v>1.4300000000000006</v>
      </c>
      <c r="N1565" s="15">
        <f>IFERROR(M1565/K1565,0)</f>
        <v>0.25087719298245625</v>
      </c>
      <c r="O1565" s="14">
        <f>IFERROR(L1565/J1565,0)</f>
        <v>0.58493150684931505</v>
      </c>
      <c r="P1565" s="14">
        <f>IFERROR(L1565/G1565,0)</f>
        <v>0.25117647058823378</v>
      </c>
    </row>
    <row r="1566" spans="1:19" x14ac:dyDescent="0.3">
      <c r="A1566" s="9" t="s">
        <v>3555</v>
      </c>
      <c r="B1566" s="9" t="s">
        <v>26</v>
      </c>
      <c r="C1566" s="9" t="s">
        <v>27</v>
      </c>
      <c r="D1566" s="52">
        <v>46197</v>
      </c>
      <c r="E1566" s="48">
        <v>0.59097222222222223</v>
      </c>
      <c r="F1566" s="48">
        <v>0.6</v>
      </c>
      <c r="G1566" s="43">
        <f>(F1566-E1566)*1440</f>
        <v>12.999999999999954</v>
      </c>
      <c r="H1566" s="9" t="s">
        <v>3992</v>
      </c>
      <c r="I1566" s="9" t="s">
        <v>650</v>
      </c>
      <c r="J1566" s="44">
        <v>8.9</v>
      </c>
      <c r="K1566" s="60">
        <v>5.1100000000000003</v>
      </c>
      <c r="L1566" s="56">
        <v>4.21</v>
      </c>
      <c r="M1566" s="14">
        <f>K1566-L1566</f>
        <v>0.90000000000000036</v>
      </c>
      <c r="N1566" s="15">
        <f>IFERROR(M1566/K1566,0)</f>
        <v>0.17612524461839535</v>
      </c>
      <c r="O1566" s="14">
        <f>IFERROR(L1566/J1566,0)</f>
        <v>0.47303370786516852</v>
      </c>
      <c r="P1566" s="14">
        <f>IFERROR(L1566/G1566,0)</f>
        <v>0.323846153846155</v>
      </c>
    </row>
    <row r="1567" spans="1:19" x14ac:dyDescent="0.3">
      <c r="A1567" s="9" t="s">
        <v>3556</v>
      </c>
      <c r="B1567" s="9" t="s">
        <v>26</v>
      </c>
      <c r="C1567" s="9" t="s">
        <v>27</v>
      </c>
      <c r="D1567" s="52">
        <v>46197</v>
      </c>
      <c r="E1567" s="48">
        <v>0.66180555555555554</v>
      </c>
      <c r="F1567" s="48">
        <v>0.66666666666666663</v>
      </c>
      <c r="G1567" s="43">
        <f>(F1567-E1567)*1440</f>
        <v>6.9999999999999751</v>
      </c>
      <c r="H1567" s="9" t="s">
        <v>4055</v>
      </c>
      <c r="I1567" s="9" t="s">
        <v>4056</v>
      </c>
      <c r="J1567" s="44">
        <v>2.9</v>
      </c>
      <c r="K1567" s="60">
        <v>3.85</v>
      </c>
      <c r="L1567" s="56">
        <v>3.18</v>
      </c>
      <c r="M1567" s="14">
        <f>K1567-L1567</f>
        <v>0.66999999999999993</v>
      </c>
      <c r="N1567" s="15">
        <f>IFERROR(M1567/K1567,0)</f>
        <v>0.174025974025974</v>
      </c>
      <c r="O1567" s="14">
        <f>IFERROR(L1567/J1567,0)</f>
        <v>1.0965517241379312</v>
      </c>
      <c r="P1567" s="14">
        <f>IFERROR(L1567/G1567,0)</f>
        <v>0.4542857142857159</v>
      </c>
    </row>
    <row r="1568" spans="1:19" x14ac:dyDescent="0.3">
      <c r="A1568" s="9" t="s">
        <v>3557</v>
      </c>
      <c r="B1568" s="9" t="s">
        <v>26</v>
      </c>
      <c r="C1568" s="9" t="s">
        <v>27</v>
      </c>
      <c r="D1568" s="52">
        <v>46197</v>
      </c>
      <c r="E1568" s="48">
        <v>0.69166666666666676</v>
      </c>
      <c r="F1568" s="48">
        <v>0.70833333333333337</v>
      </c>
      <c r="G1568" s="43">
        <f>(F1568-E1568)*1440</f>
        <v>23.999999999999915</v>
      </c>
      <c r="H1568" s="9" t="s">
        <v>1182</v>
      </c>
      <c r="I1568" s="9" t="s">
        <v>4057</v>
      </c>
      <c r="J1568" s="44">
        <v>13.2</v>
      </c>
      <c r="K1568" s="60">
        <v>9.31</v>
      </c>
      <c r="L1568" s="56">
        <v>6.98</v>
      </c>
      <c r="M1568" s="14">
        <f>K1568-L1568</f>
        <v>2.33</v>
      </c>
      <c r="N1568" s="15">
        <f>IFERROR(M1568/K1568,0)</f>
        <v>0.2502685284640172</v>
      </c>
      <c r="O1568" s="14">
        <f>IFERROR(L1568/J1568,0)</f>
        <v>0.52878787878787881</v>
      </c>
      <c r="P1568" s="14">
        <f>IFERROR(L1568/G1568,0)</f>
        <v>0.29083333333333439</v>
      </c>
    </row>
    <row r="1569" spans="1:19" x14ac:dyDescent="0.3">
      <c r="A1569" s="9" t="s">
        <v>3558</v>
      </c>
      <c r="B1569" s="9" t="s">
        <v>26</v>
      </c>
      <c r="C1569" s="9" t="s">
        <v>27</v>
      </c>
      <c r="D1569" s="52">
        <v>46197</v>
      </c>
      <c r="E1569" s="48">
        <v>0.7284722222222223</v>
      </c>
      <c r="F1569" s="48">
        <v>0.73888888888888893</v>
      </c>
      <c r="G1569" s="43">
        <f>(F1569-E1569)*1440</f>
        <v>14.999999999999947</v>
      </c>
      <c r="H1569" s="9" t="s">
        <v>214</v>
      </c>
      <c r="I1569" s="9" t="s">
        <v>2478</v>
      </c>
      <c r="J1569" s="44">
        <v>9.3000000000000007</v>
      </c>
      <c r="K1569" s="60">
        <v>8.2799999999999994</v>
      </c>
      <c r="L1569" s="56">
        <v>6.21</v>
      </c>
      <c r="M1569" s="14">
        <f>K1569-L1569</f>
        <v>2.0699999999999994</v>
      </c>
      <c r="N1569" s="15">
        <f>IFERROR(M1569/K1569,0)</f>
        <v>0.24999999999999994</v>
      </c>
      <c r="O1569" s="14">
        <f>IFERROR(L1569/J1569,0)</f>
        <v>0.66774193548387095</v>
      </c>
      <c r="P1569" s="14">
        <f>IFERROR(L1569/G1569,0)</f>
        <v>0.41400000000000148</v>
      </c>
    </row>
    <row r="1570" spans="1:19" x14ac:dyDescent="0.3">
      <c r="A1570" s="9" t="s">
        <v>3559</v>
      </c>
      <c r="B1570" s="9" t="s">
        <v>26</v>
      </c>
      <c r="C1570" s="9" t="s">
        <v>27</v>
      </c>
      <c r="D1570" s="52">
        <v>46197</v>
      </c>
      <c r="E1570" s="48">
        <v>0.7909722222222223</v>
      </c>
      <c r="F1570" s="48">
        <v>0.8125</v>
      </c>
      <c r="G1570" s="43">
        <f>(F1570-E1570)*1440</f>
        <v>30.99999999999989</v>
      </c>
      <c r="H1570" s="9" t="s">
        <v>583</v>
      </c>
      <c r="I1570" s="9" t="s">
        <v>3330</v>
      </c>
      <c r="J1570" s="44">
        <v>9.6</v>
      </c>
      <c r="K1570" s="60">
        <v>6.91</v>
      </c>
      <c r="L1570" s="56">
        <v>5.18</v>
      </c>
      <c r="M1570" s="14">
        <f>K1570-L1570</f>
        <v>1.7300000000000004</v>
      </c>
      <c r="N1570" s="15">
        <f>IFERROR(M1570/K1570,0)</f>
        <v>0.25036179450072366</v>
      </c>
      <c r="O1570" s="14">
        <f>IFERROR(L1570/J1570,0)</f>
        <v>0.5395833333333333</v>
      </c>
      <c r="P1570" s="14">
        <f>IFERROR(L1570/G1570,0)</f>
        <v>0.16709677419354896</v>
      </c>
    </row>
    <row r="1571" spans="1:19" x14ac:dyDescent="0.3">
      <c r="A1571" s="9" t="s">
        <v>3560</v>
      </c>
      <c r="B1571" s="9" t="s">
        <v>26</v>
      </c>
      <c r="C1571" s="9" t="s">
        <v>27</v>
      </c>
      <c r="D1571" s="52">
        <v>46197</v>
      </c>
      <c r="E1571" s="48">
        <v>0.83263888888888893</v>
      </c>
      <c r="F1571" s="48">
        <v>0.84791666666666676</v>
      </c>
      <c r="G1571" s="43">
        <f>(F1571-E1571)*1440</f>
        <v>22.000000000000082</v>
      </c>
      <c r="H1571" s="9" t="s">
        <v>3330</v>
      </c>
      <c r="I1571" s="9" t="s">
        <v>611</v>
      </c>
      <c r="J1571" s="44">
        <v>13.3</v>
      </c>
      <c r="K1571" s="60">
        <v>10</v>
      </c>
      <c r="L1571" s="56">
        <v>7.5</v>
      </c>
      <c r="M1571" s="14">
        <f>K1571-L1571</f>
        <v>2.5</v>
      </c>
      <c r="N1571" s="15">
        <f>IFERROR(M1571/K1571,0)</f>
        <v>0.25</v>
      </c>
      <c r="O1571" s="14">
        <f>IFERROR(L1571/J1571,0)</f>
        <v>0.56390977443609025</v>
      </c>
      <c r="P1571" s="14">
        <f>IFERROR(L1571/G1571,0)</f>
        <v>0.34090909090908966</v>
      </c>
    </row>
    <row r="1572" spans="1:19" x14ac:dyDescent="0.3">
      <c r="A1572" s="9" t="s">
        <v>3561</v>
      </c>
      <c r="B1572" s="9" t="s">
        <v>18</v>
      </c>
      <c r="C1572" s="9" t="s">
        <v>184</v>
      </c>
      <c r="D1572" s="52">
        <v>46197</v>
      </c>
      <c r="E1572" s="48">
        <v>0.53888888888888886</v>
      </c>
      <c r="F1572" s="48">
        <v>0.55277777777777781</v>
      </c>
      <c r="G1572" s="43">
        <f>(F1572-E1572)*1440</f>
        <v>20.000000000000089</v>
      </c>
      <c r="H1572" s="9" t="s">
        <v>3092</v>
      </c>
      <c r="I1572" s="9" t="s">
        <v>604</v>
      </c>
      <c r="J1572" s="44">
        <v>13.74</v>
      </c>
      <c r="K1572" s="60">
        <v>8.9499999999999993</v>
      </c>
      <c r="L1572" s="56">
        <v>6.02</v>
      </c>
      <c r="M1572" s="14">
        <f>K1572-L1572</f>
        <v>2.9299999999999997</v>
      </c>
      <c r="N1572" s="15">
        <f>IFERROR(M1572/K1572,0)</f>
        <v>0.32737430167597764</v>
      </c>
      <c r="O1572" s="14">
        <f>IFERROR(L1572/J1572,0)</f>
        <v>0.43813682678311494</v>
      </c>
      <c r="P1572" s="14">
        <f>IFERROR(L1572/G1572,0)</f>
        <v>0.30099999999999866</v>
      </c>
    </row>
    <row r="1573" spans="1:19" x14ac:dyDescent="0.3">
      <c r="A1573" s="9" t="s">
        <v>3562</v>
      </c>
      <c r="B1573" s="9" t="s">
        <v>18</v>
      </c>
      <c r="C1573" s="9" t="s">
        <v>196</v>
      </c>
      <c r="D1573" s="52">
        <v>46197</v>
      </c>
      <c r="E1573" s="48">
        <v>0.5756944444444444</v>
      </c>
      <c r="F1573" s="48">
        <v>0.58611111111111114</v>
      </c>
      <c r="G1573" s="43">
        <f>(F1573-E1573)*1440</f>
        <v>15.000000000000107</v>
      </c>
      <c r="H1573" s="9" t="s">
        <v>611</v>
      </c>
      <c r="I1573" s="9" t="s">
        <v>4058</v>
      </c>
      <c r="J1573" s="44">
        <v>5.0199999999999996</v>
      </c>
      <c r="K1573" s="60">
        <v>5.98</v>
      </c>
      <c r="L1573" s="56">
        <v>4.2</v>
      </c>
      <c r="M1573" s="14">
        <f>K1573-L1573</f>
        <v>1.7800000000000002</v>
      </c>
      <c r="N1573" s="15">
        <f>IFERROR(M1573/K1573,0)</f>
        <v>0.2976588628762542</v>
      </c>
      <c r="O1573" s="14">
        <f>IFERROR(L1573/J1573,0)</f>
        <v>0.83665338645418341</v>
      </c>
      <c r="P1573" s="14">
        <f>IFERROR(L1573/G1573,0)</f>
        <v>0.27999999999999803</v>
      </c>
    </row>
    <row r="1574" spans="1:19" x14ac:dyDescent="0.3">
      <c r="A1574" s="9" t="s">
        <v>3563</v>
      </c>
      <c r="B1574" s="9" t="s">
        <v>18</v>
      </c>
      <c r="C1574" s="9" t="s">
        <v>184</v>
      </c>
      <c r="D1574" s="52">
        <v>46197</v>
      </c>
      <c r="E1574" s="48">
        <v>0.60625000000000007</v>
      </c>
      <c r="F1574" s="48">
        <v>0.61527777777777781</v>
      </c>
      <c r="G1574" s="43">
        <f>(F1574-E1574)*1440</f>
        <v>12.999999999999954</v>
      </c>
      <c r="H1574" s="9" t="s">
        <v>4059</v>
      </c>
      <c r="I1574" s="9" t="s">
        <v>4060</v>
      </c>
      <c r="J1574" s="44">
        <v>13.05</v>
      </c>
      <c r="K1574" s="60">
        <v>7.95</v>
      </c>
      <c r="L1574" s="56">
        <v>6.01</v>
      </c>
      <c r="M1574" s="14">
        <f>K1574-L1574</f>
        <v>1.9400000000000004</v>
      </c>
      <c r="N1574" s="15">
        <f>IFERROR(M1574/K1574,0)</f>
        <v>0.24402515723270446</v>
      </c>
      <c r="O1574" s="14">
        <f>IFERROR(L1574/J1574,0)</f>
        <v>0.46053639846743288</v>
      </c>
      <c r="P1574" s="14">
        <f>IFERROR(L1574/G1574,0)</f>
        <v>0.46230769230769392</v>
      </c>
    </row>
    <row r="1575" spans="1:19" x14ac:dyDescent="0.3">
      <c r="A1575" s="9" t="s">
        <v>3564</v>
      </c>
      <c r="B1575" s="9" t="s">
        <v>18</v>
      </c>
      <c r="C1575" s="9" t="s">
        <v>184</v>
      </c>
      <c r="D1575" s="52">
        <v>46197</v>
      </c>
      <c r="E1575" s="48">
        <v>0.62083333333333335</v>
      </c>
      <c r="F1575" s="48">
        <v>0.62777777777777777</v>
      </c>
      <c r="G1575" s="43">
        <f>(F1575-E1575)*1440</f>
        <v>9.9999999999999645</v>
      </c>
      <c r="H1575" s="9" t="s">
        <v>4061</v>
      </c>
      <c r="I1575" s="9" t="s">
        <v>4062</v>
      </c>
      <c r="J1575" s="44">
        <v>5.08</v>
      </c>
      <c r="K1575" s="60">
        <v>4.2300000000000004</v>
      </c>
      <c r="L1575" s="56">
        <v>3.46</v>
      </c>
      <c r="M1575" s="14">
        <f>K1575-L1575</f>
        <v>0.77000000000000046</v>
      </c>
      <c r="N1575" s="15">
        <f>IFERROR(M1575/K1575,0)</f>
        <v>0.18203309692671404</v>
      </c>
      <c r="O1575" s="14">
        <f>IFERROR(L1575/J1575,0)</f>
        <v>0.68110236220472442</v>
      </c>
      <c r="P1575" s="14">
        <f>IFERROR(L1575/G1575,0)</f>
        <v>0.34600000000000125</v>
      </c>
    </row>
    <row r="1576" spans="1:19" x14ac:dyDescent="0.3">
      <c r="A1576" s="9" t="s">
        <v>3565</v>
      </c>
      <c r="B1576" s="9" t="s">
        <v>18</v>
      </c>
      <c r="C1576" s="9" t="s">
        <v>196</v>
      </c>
      <c r="D1576" s="52">
        <v>46197</v>
      </c>
      <c r="E1576" s="48">
        <v>0.67291666666666661</v>
      </c>
      <c r="F1576" s="48">
        <v>0.6777777777777777</v>
      </c>
      <c r="G1576" s="43">
        <f>(F1576-E1576)*1440</f>
        <v>6.9999999999999751</v>
      </c>
      <c r="H1576" s="9" t="s">
        <v>4062</v>
      </c>
      <c r="I1576" s="9" t="s">
        <v>4063</v>
      </c>
      <c r="J1576" s="44">
        <v>2.21</v>
      </c>
      <c r="K1576" s="60">
        <v>4.97</v>
      </c>
      <c r="L1576" s="56">
        <v>3.62</v>
      </c>
      <c r="M1576" s="14">
        <f>K1576-L1576</f>
        <v>1.3499999999999996</v>
      </c>
      <c r="N1576" s="15">
        <f>IFERROR(M1576/K1576,0)</f>
        <v>0.27162977867203214</v>
      </c>
      <c r="O1576" s="14">
        <f>IFERROR(L1576/J1576,0)</f>
        <v>1.6380090497737558</v>
      </c>
      <c r="P1576" s="14">
        <f>IFERROR(L1576/G1576,0)</f>
        <v>0.51714285714285901</v>
      </c>
      <c r="S1576" s="61">
        <v>1</v>
      </c>
    </row>
    <row r="1577" spans="1:19" x14ac:dyDescent="0.3">
      <c r="A1577" s="9" t="s">
        <v>3566</v>
      </c>
      <c r="B1577" s="9" t="s">
        <v>18</v>
      </c>
      <c r="C1577" s="9" t="s">
        <v>196</v>
      </c>
      <c r="D1577" s="52">
        <v>46197</v>
      </c>
      <c r="E1577" s="48">
        <v>0.70833333333333337</v>
      </c>
      <c r="F1577" s="48">
        <v>0.72222222222222221</v>
      </c>
      <c r="G1577" s="43">
        <f>(F1577-E1577)*1440</f>
        <v>19.999999999999929</v>
      </c>
      <c r="H1577" s="9" t="s">
        <v>4064</v>
      </c>
      <c r="I1577" s="9" t="s">
        <v>214</v>
      </c>
      <c r="J1577" s="44">
        <v>8.84</v>
      </c>
      <c r="K1577" s="60">
        <v>12.97</v>
      </c>
      <c r="L1577" s="56">
        <v>8.43</v>
      </c>
      <c r="M1577" s="14">
        <f>K1577-L1577</f>
        <v>4.5400000000000009</v>
      </c>
      <c r="N1577" s="15">
        <f>IFERROR(M1577/K1577,0)</f>
        <v>0.35003855050115656</v>
      </c>
      <c r="O1577" s="14">
        <f>IFERROR(L1577/J1577,0)</f>
        <v>0.95361990950226239</v>
      </c>
      <c r="P1577" s="14">
        <f>IFERROR(L1577/G1577,0)</f>
        <v>0.42150000000000148</v>
      </c>
    </row>
    <row r="1578" spans="1:19" x14ac:dyDescent="0.3">
      <c r="A1578" s="9" t="s">
        <v>3567</v>
      </c>
      <c r="B1578" s="9" t="s">
        <v>18</v>
      </c>
      <c r="C1578" s="9" t="s">
        <v>184</v>
      </c>
      <c r="D1578" s="52">
        <v>46197</v>
      </c>
      <c r="E1578" s="48">
        <v>0.73611111111111116</v>
      </c>
      <c r="F1578" s="48">
        <v>0.74652777777777779</v>
      </c>
      <c r="G1578" s="43">
        <f>(F1578-E1578)*1440</f>
        <v>14.999999999999947</v>
      </c>
      <c r="H1578" s="9" t="s">
        <v>4065</v>
      </c>
      <c r="I1578" s="9" t="s">
        <v>2587</v>
      </c>
      <c r="J1578" s="44">
        <v>7.26</v>
      </c>
      <c r="K1578" s="60">
        <v>8.9499999999999993</v>
      </c>
      <c r="L1578" s="56">
        <v>5.82</v>
      </c>
      <c r="M1578" s="14">
        <f>K1578-L1578</f>
        <v>3.129999999999999</v>
      </c>
      <c r="N1578" s="15">
        <f>IFERROR(M1578/K1578,0)</f>
        <v>0.34972067039106136</v>
      </c>
      <c r="O1578" s="14">
        <f>IFERROR(L1578/J1578,0)</f>
        <v>0.80165289256198358</v>
      </c>
      <c r="P1578" s="14">
        <f>IFERROR(L1578/G1578,0)</f>
        <v>0.3880000000000014</v>
      </c>
    </row>
    <row r="1579" spans="1:19" x14ac:dyDescent="0.3">
      <c r="A1579" s="9" t="s">
        <v>3568</v>
      </c>
      <c r="B1579" s="9" t="s">
        <v>18</v>
      </c>
      <c r="C1579" s="9" t="s">
        <v>196</v>
      </c>
      <c r="D1579" s="52">
        <v>46197</v>
      </c>
      <c r="E1579" s="48">
        <v>0.75694444444444453</v>
      </c>
      <c r="F1579" s="48">
        <v>0.76250000000000007</v>
      </c>
      <c r="G1579" s="43">
        <f>(F1579-E1579)*1440</f>
        <v>7.9999999999999716</v>
      </c>
      <c r="H1579" s="9" t="s">
        <v>1171</v>
      </c>
      <c r="I1579" s="9" t="s">
        <v>616</v>
      </c>
      <c r="J1579" s="44">
        <v>1.89</v>
      </c>
      <c r="K1579" s="60">
        <v>10.97</v>
      </c>
      <c r="L1579" s="56">
        <v>7.53</v>
      </c>
      <c r="M1579" s="14">
        <f>K1579-L1579</f>
        <v>3.4400000000000004</v>
      </c>
      <c r="N1579" s="15">
        <f>IFERROR(M1579/K1579,0)</f>
        <v>0.31358249772105745</v>
      </c>
      <c r="O1579" s="14">
        <f>IFERROR(L1579/J1579,0)</f>
        <v>3.9841269841269846</v>
      </c>
      <c r="P1579" s="14">
        <f>IFERROR(L1579/G1579,0)</f>
        <v>0.94125000000000336</v>
      </c>
    </row>
    <row r="1580" spans="1:19" x14ac:dyDescent="0.3">
      <c r="A1580" s="9" t="s">
        <v>3569</v>
      </c>
      <c r="B1580" s="9" t="s">
        <v>18</v>
      </c>
      <c r="C1580" s="9" t="s">
        <v>824</v>
      </c>
      <c r="D1580" s="52">
        <v>46197</v>
      </c>
      <c r="E1580" s="48">
        <v>0.76527777777777783</v>
      </c>
      <c r="F1580" s="48">
        <v>0.78263888888888899</v>
      </c>
      <c r="G1580" s="43">
        <f>(F1580-E1580)*1440</f>
        <v>25.000000000000071</v>
      </c>
      <c r="H1580" s="9" t="s">
        <v>616</v>
      </c>
      <c r="I1580" s="9" t="s">
        <v>2484</v>
      </c>
      <c r="J1580" s="44">
        <v>10.08</v>
      </c>
      <c r="K1580" s="60">
        <v>14.93</v>
      </c>
      <c r="L1580" s="56">
        <v>11.84</v>
      </c>
      <c r="M1580" s="14">
        <f>K1580-L1580</f>
        <v>3.09</v>
      </c>
      <c r="N1580" s="15">
        <f>IFERROR(M1580/K1580,0)</f>
        <v>0.20696584058941728</v>
      </c>
      <c r="O1580" s="14">
        <f>IFERROR(L1580/J1580,0)</f>
        <v>1.1746031746031746</v>
      </c>
      <c r="P1580" s="14">
        <f>IFERROR(L1580/G1580,0)</f>
        <v>0.47359999999999863</v>
      </c>
    </row>
    <row r="1581" spans="1:19" x14ac:dyDescent="0.3">
      <c r="A1581" s="9" t="s">
        <v>3570</v>
      </c>
      <c r="B1581" s="9" t="s">
        <v>18</v>
      </c>
      <c r="C1581" s="9" t="s">
        <v>184</v>
      </c>
      <c r="D1581" s="52">
        <v>46197</v>
      </c>
      <c r="E1581" s="48">
        <v>0.8534722222222223</v>
      </c>
      <c r="F1581" s="48">
        <v>0.8652777777777777</v>
      </c>
      <c r="G1581" s="43">
        <f>(F1581-E1581)*1440</f>
        <v>16.99999999999978</v>
      </c>
      <c r="H1581" s="9" t="s">
        <v>261</v>
      </c>
      <c r="I1581" s="9" t="s">
        <v>626</v>
      </c>
      <c r="J1581" s="44">
        <v>13.55</v>
      </c>
      <c r="K1581" s="60">
        <v>6.94</v>
      </c>
      <c r="L1581" s="56">
        <v>6.56</v>
      </c>
      <c r="M1581" s="14">
        <f>K1581-L1581</f>
        <v>0.38000000000000078</v>
      </c>
      <c r="N1581" s="15">
        <f>IFERROR(M1581/K1581,0)</f>
        <v>5.4755043227665813E-2</v>
      </c>
      <c r="O1581" s="14">
        <f>IFERROR(L1581/J1581,0)</f>
        <v>0.48413284132841322</v>
      </c>
      <c r="P1581" s="14">
        <f>IFERROR(L1581/G1581,0)</f>
        <v>0.38588235294118145</v>
      </c>
    </row>
    <row r="1582" spans="1:19" x14ac:dyDescent="0.3">
      <c r="A1582" s="9" t="s">
        <v>3571</v>
      </c>
      <c r="B1582" s="9" t="s">
        <v>18</v>
      </c>
      <c r="C1582" s="9" t="s">
        <v>184</v>
      </c>
      <c r="D1582" s="52">
        <v>46198</v>
      </c>
      <c r="E1582" s="48">
        <v>0.54583333333333328</v>
      </c>
      <c r="F1582" s="48">
        <v>0.55833333333333335</v>
      </c>
      <c r="G1582" s="43">
        <f>(F1582-E1582)*1440</f>
        <v>18.000000000000096</v>
      </c>
      <c r="H1582" s="9" t="s">
        <v>749</v>
      </c>
      <c r="I1582" s="9" t="s">
        <v>604</v>
      </c>
      <c r="J1582" s="44">
        <v>18.82</v>
      </c>
      <c r="K1582" s="60">
        <v>11.95</v>
      </c>
      <c r="L1582" s="56">
        <v>7.97</v>
      </c>
      <c r="M1582" s="14">
        <f>K1582-L1582</f>
        <v>3.9799999999999995</v>
      </c>
      <c r="N1582" s="15">
        <f>IFERROR(M1582/K1582,0)</f>
        <v>0.33305439330543929</v>
      </c>
      <c r="O1582" s="14">
        <f>IFERROR(L1582/J1582,0)</f>
        <v>0.42348565356004247</v>
      </c>
      <c r="P1582" s="14">
        <f>IFERROR(L1582/G1582,0)</f>
        <v>0.44277777777777538</v>
      </c>
    </row>
    <row r="1583" spans="1:19" x14ac:dyDescent="0.3">
      <c r="A1583" s="9" t="s">
        <v>3572</v>
      </c>
      <c r="B1583" s="9" t="s">
        <v>18</v>
      </c>
      <c r="C1583" s="9" t="s">
        <v>184</v>
      </c>
      <c r="D1583" s="52">
        <v>46198</v>
      </c>
      <c r="E1583" s="48">
        <v>0.56319444444444444</v>
      </c>
      <c r="F1583" s="48">
        <v>0.57361111111111118</v>
      </c>
      <c r="G1583" s="43">
        <f>(F1583-E1583)*1440</f>
        <v>15.000000000000107</v>
      </c>
      <c r="H1583" s="9" t="s">
        <v>604</v>
      </c>
      <c r="I1583" s="9" t="s">
        <v>214</v>
      </c>
      <c r="J1583" s="44">
        <v>10.76</v>
      </c>
      <c r="K1583" s="60">
        <v>6.93</v>
      </c>
      <c r="L1583" s="56">
        <v>4.74</v>
      </c>
      <c r="M1583" s="14">
        <f>K1583-L1583</f>
        <v>2.1899999999999995</v>
      </c>
      <c r="N1583" s="15">
        <f>IFERROR(M1583/K1583,0)</f>
        <v>0.31601731601731597</v>
      </c>
      <c r="O1583" s="14">
        <f>IFERROR(L1583/J1583,0)</f>
        <v>0.44052044609665431</v>
      </c>
      <c r="P1583" s="14">
        <f>IFERROR(L1583/G1583,0)</f>
        <v>0.31599999999999778</v>
      </c>
    </row>
    <row r="1584" spans="1:19" x14ac:dyDescent="0.3">
      <c r="A1584" s="9" t="s">
        <v>3573</v>
      </c>
      <c r="B1584" s="9" t="s">
        <v>18</v>
      </c>
      <c r="C1584" s="9" t="s">
        <v>196</v>
      </c>
      <c r="D1584" s="52">
        <v>46198</v>
      </c>
      <c r="E1584" s="48">
        <v>0.58750000000000002</v>
      </c>
      <c r="F1584" s="48">
        <v>0.59236111111111112</v>
      </c>
      <c r="G1584" s="43">
        <f>(F1584-E1584)*1440</f>
        <v>6.9999999999999751</v>
      </c>
      <c r="H1584" s="9" t="s">
        <v>214</v>
      </c>
      <c r="I1584" s="9" t="s">
        <v>234</v>
      </c>
      <c r="J1584" s="44">
        <v>4.6100000000000003</v>
      </c>
      <c r="K1584" s="60">
        <v>4.9800000000000004</v>
      </c>
      <c r="L1584" s="56">
        <v>3.67</v>
      </c>
      <c r="M1584" s="14">
        <f>K1584-L1584</f>
        <v>1.3100000000000005</v>
      </c>
      <c r="N1584" s="15">
        <f>IFERROR(M1584/K1584,0)</f>
        <v>0.26305220883534142</v>
      </c>
      <c r="O1584" s="14">
        <f>IFERROR(L1584/J1584,0)</f>
        <v>0.79609544468546634</v>
      </c>
      <c r="P1584" s="14">
        <f>IFERROR(L1584/G1584,0)</f>
        <v>0.52428571428571613</v>
      </c>
    </row>
    <row r="1585" spans="1:17" x14ac:dyDescent="0.3">
      <c r="A1585" s="9" t="s">
        <v>3574</v>
      </c>
      <c r="B1585" s="9" t="s">
        <v>18</v>
      </c>
      <c r="C1585" s="9" t="s">
        <v>184</v>
      </c>
      <c r="D1585" s="52">
        <v>46198</v>
      </c>
      <c r="E1585" s="48">
        <v>0.59791666666666665</v>
      </c>
      <c r="F1585" s="48">
        <v>0.60972222222222217</v>
      </c>
      <c r="G1585" s="43">
        <f>(F1585-E1585)*1440</f>
        <v>16.99999999999994</v>
      </c>
      <c r="H1585" s="9" t="s">
        <v>234</v>
      </c>
      <c r="I1585" s="9" t="s">
        <v>888</v>
      </c>
      <c r="J1585" s="44">
        <v>8.41</v>
      </c>
      <c r="K1585" s="60">
        <v>4.9400000000000004</v>
      </c>
      <c r="L1585" s="56">
        <v>4.43</v>
      </c>
      <c r="M1585" s="14">
        <f>K1585-L1585</f>
        <v>0.51000000000000068</v>
      </c>
      <c r="N1585" s="15">
        <f>IFERROR(M1585/K1585,0)</f>
        <v>0.10323886639676126</v>
      </c>
      <c r="O1585" s="14">
        <f>IFERROR(L1585/J1585,0)</f>
        <v>0.52675386444708672</v>
      </c>
      <c r="P1585" s="14">
        <f>IFERROR(L1585/G1585,0)</f>
        <v>0.26058823529411856</v>
      </c>
    </row>
    <row r="1586" spans="1:17" x14ac:dyDescent="0.3">
      <c r="A1586" s="9" t="s">
        <v>3575</v>
      </c>
      <c r="B1586" s="9" t="s">
        <v>18</v>
      </c>
      <c r="C1586" s="9" t="s">
        <v>184</v>
      </c>
      <c r="D1586" s="52">
        <v>46198</v>
      </c>
      <c r="E1586" s="48">
        <v>0.61041666666666672</v>
      </c>
      <c r="F1586" s="48">
        <v>0.62361111111111112</v>
      </c>
      <c r="G1586" s="43">
        <f>(F1586-E1586)*1440</f>
        <v>18.999999999999932</v>
      </c>
      <c r="H1586" s="9" t="s">
        <v>888</v>
      </c>
      <c r="I1586" s="9" t="s">
        <v>4066</v>
      </c>
      <c r="J1586" s="44">
        <v>10.42</v>
      </c>
      <c r="K1586" s="60">
        <v>8.9600000000000009</v>
      </c>
      <c r="L1586" s="56">
        <v>5.82</v>
      </c>
      <c r="M1586" s="14">
        <f>K1586-L1586</f>
        <v>3.1400000000000006</v>
      </c>
      <c r="N1586" s="15">
        <f>IFERROR(M1586/K1586,0)</f>
        <v>0.3504464285714286</v>
      </c>
      <c r="O1586" s="14">
        <f>IFERROR(L1586/J1586,0)</f>
        <v>0.55854126679462579</v>
      </c>
      <c r="P1586" s="14">
        <f>IFERROR(L1586/G1586,0)</f>
        <v>0.30631578947368532</v>
      </c>
    </row>
    <row r="1587" spans="1:17" x14ac:dyDescent="0.3">
      <c r="A1587" s="9" t="s">
        <v>3576</v>
      </c>
      <c r="B1587" s="9" t="s">
        <v>18</v>
      </c>
      <c r="C1587" s="9" t="s">
        <v>196</v>
      </c>
      <c r="D1587" s="52">
        <v>46198</v>
      </c>
      <c r="E1587" s="48">
        <v>0.7006944444444444</v>
      </c>
      <c r="F1587" s="48">
        <v>0.7055555555555556</v>
      </c>
      <c r="G1587" s="43">
        <f>(F1587-E1587)*1440</f>
        <v>7.000000000000135</v>
      </c>
      <c r="H1587" s="9" t="s">
        <v>4067</v>
      </c>
      <c r="I1587" s="9" t="s">
        <v>4068</v>
      </c>
      <c r="J1587" s="44">
        <v>3.36</v>
      </c>
      <c r="K1587" s="60">
        <v>4.9800000000000004</v>
      </c>
      <c r="L1587" s="56">
        <v>3.92</v>
      </c>
      <c r="M1587" s="14">
        <f>K1587-L1587</f>
        <v>1.0600000000000005</v>
      </c>
      <c r="N1587" s="15">
        <f>IFERROR(M1587/K1587,0)</f>
        <v>0.21285140562249005</v>
      </c>
      <c r="O1587" s="14">
        <f>IFERROR(L1587/J1587,0)</f>
        <v>1.1666666666666667</v>
      </c>
      <c r="P1587" s="14">
        <f>IFERROR(L1587/G1587,0)</f>
        <v>0.55999999999998917</v>
      </c>
    </row>
    <row r="1588" spans="1:17" x14ac:dyDescent="0.3">
      <c r="A1588" s="9" t="s">
        <v>3577</v>
      </c>
      <c r="B1588" s="9" t="s">
        <v>18</v>
      </c>
      <c r="C1588" s="9" t="s">
        <v>184</v>
      </c>
      <c r="D1588" s="52">
        <v>46198</v>
      </c>
      <c r="E1588" s="48">
        <v>0.74513888888888891</v>
      </c>
      <c r="F1588" s="48">
        <v>0.75138888888888899</v>
      </c>
      <c r="G1588" s="43">
        <f>(F1588-E1588)*1440</f>
        <v>9.0000000000001279</v>
      </c>
      <c r="H1588" s="9" t="s">
        <v>3459</v>
      </c>
      <c r="I1588" s="9" t="s">
        <v>1240</v>
      </c>
      <c r="J1588" s="44">
        <v>5.48</v>
      </c>
      <c r="K1588" s="60">
        <v>4.95</v>
      </c>
      <c r="L1588" s="56">
        <v>4.46</v>
      </c>
      <c r="M1588" s="14">
        <f>K1588-L1588</f>
        <v>0.49000000000000021</v>
      </c>
      <c r="N1588" s="15">
        <f>IFERROR(M1588/K1588,0)</f>
        <v>9.8989898989899031E-2</v>
      </c>
      <c r="O1588" s="14">
        <f>IFERROR(L1588/J1588,0)</f>
        <v>0.81386861313868608</v>
      </c>
      <c r="P1588" s="14">
        <f>IFERROR(L1588/G1588,0)</f>
        <v>0.49555555555554853</v>
      </c>
    </row>
    <row r="1589" spans="1:17" x14ac:dyDescent="0.3">
      <c r="A1589" s="9" t="s">
        <v>3578</v>
      </c>
      <c r="B1589" s="9" t="s">
        <v>18</v>
      </c>
      <c r="C1589" s="9" t="s">
        <v>184</v>
      </c>
      <c r="D1589" s="52">
        <v>46198</v>
      </c>
      <c r="E1589" s="48">
        <v>0.82638888888888884</v>
      </c>
      <c r="F1589" s="48">
        <v>0.83819444444444446</v>
      </c>
      <c r="G1589" s="43">
        <f>(F1589-E1589)*1440</f>
        <v>17.000000000000099</v>
      </c>
      <c r="H1589" s="9" t="s">
        <v>561</v>
      </c>
      <c r="I1589" s="9" t="s">
        <v>4069</v>
      </c>
      <c r="J1589" s="44">
        <v>11</v>
      </c>
      <c r="K1589" s="60">
        <v>8.94</v>
      </c>
      <c r="L1589" s="56">
        <v>6.58</v>
      </c>
      <c r="M1589" s="14">
        <f>K1589-L1589</f>
        <v>2.3599999999999994</v>
      </c>
      <c r="N1589" s="15">
        <f>IFERROR(M1589/K1589,0)</f>
        <v>0.26398210290827734</v>
      </c>
      <c r="O1589" s="14">
        <f>IFERROR(L1589/J1589,0)</f>
        <v>0.59818181818181815</v>
      </c>
      <c r="P1589" s="14">
        <f>IFERROR(L1589/G1589,0)</f>
        <v>0.38705882352940951</v>
      </c>
    </row>
    <row r="1590" spans="1:17" x14ac:dyDescent="0.3">
      <c r="A1590" s="9" t="s">
        <v>3579</v>
      </c>
      <c r="B1590" s="9" t="s">
        <v>26</v>
      </c>
      <c r="C1590" s="9" t="s">
        <v>27</v>
      </c>
      <c r="D1590" s="52">
        <v>46198</v>
      </c>
      <c r="E1590" s="48">
        <v>0.57986111111111105</v>
      </c>
      <c r="F1590" s="48">
        <v>0.58888888888888891</v>
      </c>
      <c r="G1590" s="43">
        <f>(F1590-E1590)*1440</f>
        <v>13.000000000000114</v>
      </c>
      <c r="H1590" s="9" t="s">
        <v>4070</v>
      </c>
      <c r="I1590" s="9" t="s">
        <v>1250</v>
      </c>
      <c r="J1590" s="44">
        <v>4.5999999999999996</v>
      </c>
      <c r="K1590" s="60">
        <v>4.68</v>
      </c>
      <c r="L1590" s="56">
        <v>3.51</v>
      </c>
      <c r="M1590" s="14">
        <f>K1590-L1590</f>
        <v>1.17</v>
      </c>
      <c r="N1590" s="15">
        <f>IFERROR(M1590/K1590,0)</f>
        <v>0.25</v>
      </c>
      <c r="O1590" s="14">
        <f>IFERROR(L1590/J1590,0)</f>
        <v>0.7630434782608696</v>
      </c>
      <c r="P1590" s="14">
        <f>IFERROR(L1590/G1590,0)</f>
        <v>0.26999999999999763</v>
      </c>
    </row>
    <row r="1591" spans="1:17" x14ac:dyDescent="0.3">
      <c r="A1591" s="9" t="s">
        <v>3580</v>
      </c>
      <c r="B1591" s="9" t="s">
        <v>26</v>
      </c>
      <c r="C1591" s="9" t="s">
        <v>27</v>
      </c>
      <c r="D1591" s="52">
        <v>46198</v>
      </c>
      <c r="E1591" s="48">
        <v>0.6645833333333333</v>
      </c>
      <c r="F1591" s="48">
        <v>0.67499999999999993</v>
      </c>
      <c r="G1591" s="43">
        <f>(F1591-E1591)*1440</f>
        <v>14.999999999999947</v>
      </c>
      <c r="H1591" s="9" t="s">
        <v>4071</v>
      </c>
      <c r="I1591" s="9" t="s">
        <v>4072</v>
      </c>
      <c r="J1591" s="44">
        <v>9.3000000000000007</v>
      </c>
      <c r="K1591" s="60">
        <v>6.52</v>
      </c>
      <c r="L1591" s="56">
        <v>4.8899999999999997</v>
      </c>
      <c r="M1591" s="14">
        <f>K1591-L1591</f>
        <v>1.63</v>
      </c>
      <c r="N1591" s="15">
        <f>IFERROR(M1591/K1591,0)</f>
        <v>0.25</v>
      </c>
      <c r="O1591" s="14">
        <f>IFERROR(L1591/J1591,0)</f>
        <v>0.52580645161290318</v>
      </c>
      <c r="P1591" s="14">
        <f>IFERROR(L1591/G1591,0)</f>
        <v>0.32600000000000112</v>
      </c>
    </row>
    <row r="1592" spans="1:17" x14ac:dyDescent="0.3">
      <c r="A1592" s="9" t="s">
        <v>3581</v>
      </c>
      <c r="B1592" s="9" t="s">
        <v>26</v>
      </c>
      <c r="C1592" s="9" t="s">
        <v>27</v>
      </c>
      <c r="D1592" s="52">
        <v>46198</v>
      </c>
      <c r="E1592" s="48">
        <v>0.67847222222222225</v>
      </c>
      <c r="F1592" s="48">
        <v>0.68958333333333333</v>
      </c>
      <c r="G1592" s="43">
        <f>(F1592-E1592)*1440</f>
        <v>15.999999999999943</v>
      </c>
      <c r="H1592" s="9" t="s">
        <v>671</v>
      </c>
      <c r="I1592" s="9" t="s">
        <v>802</v>
      </c>
      <c r="J1592" s="44">
        <v>10.7</v>
      </c>
      <c r="K1592" s="60">
        <v>7.22</v>
      </c>
      <c r="L1592" s="56">
        <v>5.51</v>
      </c>
      <c r="M1592" s="14">
        <f>K1592-L1592</f>
        <v>1.71</v>
      </c>
      <c r="N1592" s="15">
        <f>IFERROR(M1592/K1592,0)</f>
        <v>0.23684210526315791</v>
      </c>
      <c r="O1592" s="14">
        <f>IFERROR(L1592/J1592,0)</f>
        <v>0.51495327102803745</v>
      </c>
      <c r="P1592" s="14">
        <f>IFERROR(L1592/G1592,0)</f>
        <v>0.34437500000000121</v>
      </c>
    </row>
    <row r="1593" spans="1:17" x14ac:dyDescent="0.3">
      <c r="A1593" s="9" t="s">
        <v>3582</v>
      </c>
      <c r="B1593" s="9" t="s">
        <v>26</v>
      </c>
      <c r="C1593" s="9" t="s">
        <v>27</v>
      </c>
      <c r="D1593" s="52">
        <v>46198</v>
      </c>
      <c r="E1593" s="48">
        <v>0.69374999999999998</v>
      </c>
      <c r="F1593" s="48">
        <v>0.70208333333333339</v>
      </c>
      <c r="G1593" s="43">
        <f>(F1593-E1593)*1440</f>
        <v>12.000000000000117</v>
      </c>
      <c r="H1593" s="9" t="s">
        <v>4073</v>
      </c>
      <c r="I1593" s="9" t="s">
        <v>4074</v>
      </c>
      <c r="J1593" s="44">
        <v>8</v>
      </c>
      <c r="K1593" s="60">
        <v>6.44</v>
      </c>
      <c r="L1593" s="56">
        <v>5</v>
      </c>
      <c r="M1593" s="14">
        <f>K1593-L1593</f>
        <v>1.4400000000000004</v>
      </c>
      <c r="N1593" s="15">
        <f>IFERROR(M1593/K1593,0)</f>
        <v>0.22360248447204972</v>
      </c>
      <c r="O1593" s="14">
        <f>IFERROR(L1593/J1593,0)</f>
        <v>0.625</v>
      </c>
      <c r="P1593" s="14">
        <f>IFERROR(L1593/G1593,0)</f>
        <v>0.41666666666666258</v>
      </c>
    </row>
    <row r="1594" spans="1:17" x14ac:dyDescent="0.3">
      <c r="A1594" s="9" t="s">
        <v>3583</v>
      </c>
      <c r="B1594" s="9" t="s">
        <v>26</v>
      </c>
      <c r="C1594" s="9" t="s">
        <v>26</v>
      </c>
      <c r="D1594" s="52">
        <v>46198</v>
      </c>
      <c r="E1594" s="48">
        <v>0.71458333333333324</v>
      </c>
      <c r="F1594" s="48">
        <v>0.71875</v>
      </c>
      <c r="G1594" s="43">
        <f>(F1594-E1594)*1440</f>
        <v>6.0000000000001386</v>
      </c>
      <c r="H1594" s="9" t="s">
        <v>4075</v>
      </c>
      <c r="I1594" s="9" t="s">
        <v>4076</v>
      </c>
      <c r="J1594" s="44">
        <v>2.2000000000000002</v>
      </c>
      <c r="K1594" s="60">
        <v>3.52</v>
      </c>
      <c r="L1594" s="56">
        <v>3.63</v>
      </c>
      <c r="M1594" s="14">
        <f>K1594-L1594</f>
        <v>-0.10999999999999988</v>
      </c>
      <c r="N1594" s="15">
        <f>IFERROR(M1594/K1594,0)</f>
        <v>-3.1249999999999965E-2</v>
      </c>
      <c r="O1594" s="14">
        <f>IFERROR(L1594/J1594,0)</f>
        <v>1.65</v>
      </c>
      <c r="P1594" s="14">
        <f>IFERROR(L1594/G1594,0)</f>
        <v>0.60499999999998599</v>
      </c>
    </row>
    <row r="1595" spans="1:17" x14ac:dyDescent="0.3">
      <c r="A1595" s="9" t="s">
        <v>3584</v>
      </c>
      <c r="B1595" s="9" t="s">
        <v>26</v>
      </c>
      <c r="C1595" s="9" t="s">
        <v>27</v>
      </c>
      <c r="D1595" s="52">
        <v>46198</v>
      </c>
      <c r="E1595" s="48">
        <v>0.72222222222222221</v>
      </c>
      <c r="F1595" s="48">
        <v>0.7402777777777777</v>
      </c>
      <c r="G1595" s="43">
        <f>(F1595-E1595)*1440</f>
        <v>25.999999999999908</v>
      </c>
      <c r="H1595" s="9" t="s">
        <v>4077</v>
      </c>
      <c r="I1595" s="9" t="s">
        <v>4078</v>
      </c>
      <c r="J1595" s="44">
        <v>14.5</v>
      </c>
      <c r="K1595" s="60">
        <v>10.44</v>
      </c>
      <c r="L1595" s="56">
        <v>7.93</v>
      </c>
      <c r="M1595" s="14">
        <f>K1595-L1595</f>
        <v>2.5099999999999998</v>
      </c>
      <c r="N1595" s="15">
        <f>IFERROR(M1595/K1595,0)</f>
        <v>0.24042145593869732</v>
      </c>
      <c r="O1595" s="14">
        <f>IFERROR(L1595/J1595,0)</f>
        <v>0.54689655172413787</v>
      </c>
      <c r="P1595" s="14">
        <f>IFERROR(L1595/G1595,0)</f>
        <v>0.30500000000000105</v>
      </c>
      <c r="Q1595" s="64">
        <v>0.4</v>
      </c>
    </row>
    <row r="1596" spans="1:17" x14ac:dyDescent="0.3">
      <c r="A1596" s="9" t="s">
        <v>3585</v>
      </c>
      <c r="B1596" s="9" t="s">
        <v>26</v>
      </c>
      <c r="C1596" s="9" t="s">
        <v>27</v>
      </c>
      <c r="D1596" s="52">
        <v>46198</v>
      </c>
      <c r="E1596" s="48">
        <v>0.77013888888888893</v>
      </c>
      <c r="F1596" s="48">
        <v>0.7909722222222223</v>
      </c>
      <c r="G1596" s="43">
        <f>(F1596-E1596)*1440</f>
        <v>30.000000000000053</v>
      </c>
      <c r="H1596" s="9" t="s">
        <v>1367</v>
      </c>
      <c r="I1596" s="9" t="s">
        <v>698</v>
      </c>
      <c r="J1596" s="44">
        <v>7.2</v>
      </c>
      <c r="K1596" s="60">
        <v>5.74</v>
      </c>
      <c r="L1596" s="56">
        <v>5.38</v>
      </c>
      <c r="M1596" s="14">
        <f>K1596-L1596</f>
        <v>0.36000000000000032</v>
      </c>
      <c r="N1596" s="15">
        <f>IFERROR(M1596/K1596,0)</f>
        <v>6.2717770034843259E-2</v>
      </c>
      <c r="O1596" s="14">
        <f>IFERROR(L1596/J1596,0)</f>
        <v>0.74722222222222223</v>
      </c>
      <c r="P1596" s="14">
        <f>IFERROR(L1596/G1596,0)</f>
        <v>0.17933333333333301</v>
      </c>
    </row>
    <row r="1597" spans="1:17" x14ac:dyDescent="0.3">
      <c r="A1597" s="9" t="s">
        <v>3586</v>
      </c>
      <c r="B1597" s="9" t="s">
        <v>26</v>
      </c>
      <c r="C1597" s="9" t="s">
        <v>27</v>
      </c>
      <c r="D1597" s="52">
        <v>46199</v>
      </c>
      <c r="E1597" s="48">
        <v>0.58472222222222225</v>
      </c>
      <c r="F1597" s="48">
        <v>0.6</v>
      </c>
      <c r="G1597" s="43">
        <f>(F1597-E1597)*1440</f>
        <v>21.999999999999922</v>
      </c>
      <c r="H1597" s="9" t="s">
        <v>4079</v>
      </c>
      <c r="I1597" s="9" t="s">
        <v>4080</v>
      </c>
      <c r="J1597" s="44">
        <v>16.600000000000001</v>
      </c>
      <c r="K1597" s="60">
        <v>8.4600000000000009</v>
      </c>
      <c r="L1597" s="56">
        <v>7.93</v>
      </c>
      <c r="M1597" s="14">
        <f>K1597-L1597</f>
        <v>0.53000000000000114</v>
      </c>
      <c r="N1597" s="15">
        <f>IFERROR(M1597/K1597,0)</f>
        <v>6.2647754137115971E-2</v>
      </c>
      <c r="O1597" s="14">
        <f>IFERROR(L1597/J1597,0)</f>
        <v>0.4777108433734939</v>
      </c>
      <c r="P1597" s="14">
        <f>IFERROR(L1597/G1597,0)</f>
        <v>0.36045454545454675</v>
      </c>
    </row>
    <row r="1598" spans="1:17" x14ac:dyDescent="0.3">
      <c r="A1598" s="9" t="s">
        <v>3587</v>
      </c>
      <c r="B1598" s="9" t="s">
        <v>26</v>
      </c>
      <c r="C1598" s="9" t="s">
        <v>27</v>
      </c>
      <c r="D1598" s="52">
        <v>46199</v>
      </c>
      <c r="E1598" s="48">
        <v>0.65625</v>
      </c>
      <c r="F1598" s="48">
        <v>0.6694444444444444</v>
      </c>
      <c r="G1598" s="43">
        <f>(F1598-E1598)*1440</f>
        <v>18.999999999999932</v>
      </c>
      <c r="H1598" s="9" t="s">
        <v>3457</v>
      </c>
      <c r="I1598" s="9" t="s">
        <v>4081</v>
      </c>
      <c r="J1598" s="44">
        <v>11.3</v>
      </c>
      <c r="K1598" s="60">
        <v>7.93</v>
      </c>
      <c r="L1598" s="56">
        <v>6.66</v>
      </c>
      <c r="M1598" s="14">
        <f>K1598-L1598</f>
        <v>1.2699999999999996</v>
      </c>
      <c r="N1598" s="15">
        <f>IFERROR(M1598/K1598,0)</f>
        <v>0.16015132408575028</v>
      </c>
      <c r="O1598" s="14">
        <f>IFERROR(L1598/J1598,0)</f>
        <v>0.58938053097345133</v>
      </c>
      <c r="P1598" s="14">
        <f>IFERROR(L1598/G1598,0)</f>
        <v>0.35052631578947496</v>
      </c>
    </row>
    <row r="1599" spans="1:17" x14ac:dyDescent="0.3">
      <c r="A1599" s="9" t="s">
        <v>3588</v>
      </c>
      <c r="B1599" s="9" t="s">
        <v>26</v>
      </c>
      <c r="C1599" s="9" t="s">
        <v>26</v>
      </c>
      <c r="D1599" s="52">
        <v>46199</v>
      </c>
      <c r="E1599" s="48">
        <v>0.67499999999999993</v>
      </c>
      <c r="F1599" s="48">
        <v>0.69097222222222221</v>
      </c>
      <c r="G1599" s="43">
        <f>(F1599-E1599)*1440</f>
        <v>23.000000000000078</v>
      </c>
      <c r="H1599" s="9" t="s">
        <v>567</v>
      </c>
      <c r="I1599" s="9" t="s">
        <v>266</v>
      </c>
      <c r="J1599" s="44">
        <v>13.5</v>
      </c>
      <c r="K1599" s="60">
        <v>8.66</v>
      </c>
      <c r="L1599" s="56">
        <v>6.49</v>
      </c>
      <c r="M1599" s="14">
        <f>K1599-L1599</f>
        <v>2.17</v>
      </c>
      <c r="N1599" s="15">
        <f>IFERROR(M1599/K1599,0)</f>
        <v>0.25057736720554269</v>
      </c>
      <c r="O1599" s="14">
        <f>IFERROR(L1599/J1599,0)</f>
        <v>0.48074074074074075</v>
      </c>
      <c r="P1599" s="14">
        <f>IFERROR(L1599/G1599,0)</f>
        <v>0.28217391304347733</v>
      </c>
    </row>
    <row r="1600" spans="1:17" x14ac:dyDescent="0.3">
      <c r="A1600" s="9" t="s">
        <v>3589</v>
      </c>
      <c r="B1600" s="9" t="s">
        <v>26</v>
      </c>
      <c r="C1600" s="9" t="s">
        <v>27</v>
      </c>
      <c r="D1600" s="52">
        <v>46199</v>
      </c>
      <c r="E1600" s="48">
        <v>0.74583333333333324</v>
      </c>
      <c r="F1600" s="48">
        <v>0.76874999999999993</v>
      </c>
      <c r="G1600" s="43">
        <f>(F1600-E1600)*1440</f>
        <v>33.000000000000043</v>
      </c>
      <c r="H1600" s="9" t="s">
        <v>881</v>
      </c>
      <c r="I1600" s="9" t="s">
        <v>4075</v>
      </c>
      <c r="J1600" s="44">
        <v>12.7</v>
      </c>
      <c r="K1600" s="60">
        <v>11.11</v>
      </c>
      <c r="L1600" s="56">
        <v>9.16</v>
      </c>
      <c r="M1600" s="14">
        <f>K1600-L1600</f>
        <v>1.9499999999999993</v>
      </c>
      <c r="N1600" s="15">
        <f>IFERROR(M1600/K1600,0)</f>
        <v>0.17551755175517547</v>
      </c>
      <c r="O1600" s="14">
        <f>IFERROR(L1600/J1600,0)</f>
        <v>0.72125984251968511</v>
      </c>
      <c r="P1600" s="14">
        <f>IFERROR(L1600/G1600,0)</f>
        <v>0.2775757575757572</v>
      </c>
    </row>
    <row r="1601" spans="1:19" x14ac:dyDescent="0.3">
      <c r="A1601" s="9" t="s">
        <v>3590</v>
      </c>
      <c r="B1601" s="9" t="s">
        <v>26</v>
      </c>
      <c r="C1601" s="9" t="s">
        <v>26</v>
      </c>
      <c r="D1601" s="52">
        <v>46199</v>
      </c>
      <c r="E1601" s="48">
        <v>0.78263888888888899</v>
      </c>
      <c r="F1601" s="48">
        <v>0.79652777777777783</v>
      </c>
      <c r="G1601" s="43">
        <f>(F1601-E1601)*1440</f>
        <v>19.999999999999929</v>
      </c>
      <c r="H1601" s="9" t="s">
        <v>2885</v>
      </c>
      <c r="I1601" s="9" t="s">
        <v>4082</v>
      </c>
      <c r="J1601" s="44">
        <v>11.8</v>
      </c>
      <c r="K1601" s="60">
        <v>12.07</v>
      </c>
      <c r="L1601" s="56">
        <v>9.0500000000000007</v>
      </c>
      <c r="M1601" s="14">
        <f>K1601-L1601</f>
        <v>3.0199999999999996</v>
      </c>
      <c r="N1601" s="15">
        <f>IFERROR(M1601/K1601,0)</f>
        <v>0.25020712510356252</v>
      </c>
      <c r="O1601" s="14">
        <f>IFERROR(L1601/J1601,0)</f>
        <v>0.76694915254237295</v>
      </c>
      <c r="P1601" s="14">
        <f>IFERROR(L1601/G1601,0)</f>
        <v>0.45250000000000162</v>
      </c>
    </row>
    <row r="1602" spans="1:19" x14ac:dyDescent="0.3">
      <c r="A1602" s="9" t="s">
        <v>3591</v>
      </c>
      <c r="B1602" s="9" t="s">
        <v>26</v>
      </c>
      <c r="C1602" s="9" t="s">
        <v>26</v>
      </c>
      <c r="D1602" s="52">
        <v>46199</v>
      </c>
      <c r="E1602" s="48">
        <v>0.79999999999999993</v>
      </c>
      <c r="F1602" s="48">
        <v>0.81527777777777777</v>
      </c>
      <c r="G1602" s="43">
        <f>(F1602-E1602)*1440</f>
        <v>22.000000000000082</v>
      </c>
      <c r="H1602" s="9" t="s">
        <v>4083</v>
      </c>
      <c r="I1602" s="9" t="s">
        <v>1224</v>
      </c>
      <c r="J1602" s="44">
        <v>10.7</v>
      </c>
      <c r="K1602" s="60">
        <v>9.5399999999999991</v>
      </c>
      <c r="L1602" s="56">
        <v>9.07</v>
      </c>
      <c r="M1602" s="14">
        <f>K1602-L1602</f>
        <v>0.46999999999999886</v>
      </c>
      <c r="N1602" s="15">
        <f>IFERROR(M1602/K1602,0)</f>
        <v>4.9266247379454814E-2</v>
      </c>
      <c r="O1602" s="14">
        <f>IFERROR(L1602/J1602,0)</f>
        <v>0.84766355140186922</v>
      </c>
      <c r="P1602" s="14">
        <f>IFERROR(L1602/G1602,0)</f>
        <v>0.41227272727272574</v>
      </c>
    </row>
    <row r="1603" spans="1:19" x14ac:dyDescent="0.3">
      <c r="A1603" s="9" t="s">
        <v>3592</v>
      </c>
      <c r="B1603" s="9" t="s">
        <v>26</v>
      </c>
      <c r="C1603" s="9" t="s">
        <v>26</v>
      </c>
      <c r="D1603" s="52">
        <v>46199</v>
      </c>
      <c r="E1603" s="48">
        <v>0.85416666666666663</v>
      </c>
      <c r="F1603" s="48">
        <v>0.87708333333333333</v>
      </c>
      <c r="G1603" s="43">
        <f>(F1603-E1603)*1440</f>
        <v>33.000000000000043</v>
      </c>
      <c r="H1603" s="9" t="s">
        <v>4084</v>
      </c>
      <c r="I1603" s="9" t="s">
        <v>4085</v>
      </c>
      <c r="J1603" s="44">
        <v>27.8</v>
      </c>
      <c r="K1603" s="60">
        <v>16.510000000000002</v>
      </c>
      <c r="L1603" s="56">
        <v>15.48</v>
      </c>
      <c r="M1603" s="14">
        <f>K1603-L1603</f>
        <v>1.0300000000000011</v>
      </c>
      <c r="N1603" s="15">
        <f>IFERROR(M1603/K1603,0)</f>
        <v>6.2386432465172684E-2</v>
      </c>
      <c r="O1603" s="14">
        <f>IFERROR(L1603/J1603,0)</f>
        <v>0.55683453237410074</v>
      </c>
      <c r="P1603" s="14">
        <f>IFERROR(L1603/G1603,0)</f>
        <v>0.4690909090909085</v>
      </c>
      <c r="R1603" s="57">
        <v>1.91</v>
      </c>
    </row>
    <row r="1604" spans="1:19" x14ac:dyDescent="0.3">
      <c r="A1604" s="9" t="s">
        <v>3593</v>
      </c>
      <c r="B1604" s="9" t="s">
        <v>18</v>
      </c>
      <c r="C1604" s="9" t="s">
        <v>184</v>
      </c>
      <c r="D1604" s="52">
        <v>46199</v>
      </c>
      <c r="E1604" s="48">
        <v>0.55694444444444446</v>
      </c>
      <c r="F1604" s="48">
        <v>0.57638888888888895</v>
      </c>
      <c r="G1604" s="43">
        <f>(F1604-E1604)*1440</f>
        <v>28.00000000000006</v>
      </c>
      <c r="H1604" s="9" t="s">
        <v>4086</v>
      </c>
      <c r="I1604" s="9" t="s">
        <v>4087</v>
      </c>
      <c r="J1604" s="44">
        <v>18.91</v>
      </c>
      <c r="K1604" s="60">
        <v>11.96</v>
      </c>
      <c r="L1604" s="56">
        <v>8.48</v>
      </c>
      <c r="M1604" s="14">
        <f>K1604-L1604</f>
        <v>3.4800000000000004</v>
      </c>
      <c r="N1604" s="15">
        <f>IFERROR(M1604/K1604,0)</f>
        <v>0.29096989966555187</v>
      </c>
      <c r="O1604" s="14">
        <f>IFERROR(L1604/J1604,0)</f>
        <v>0.44843997884717085</v>
      </c>
      <c r="P1604" s="14">
        <f>IFERROR(L1604/G1604,0)</f>
        <v>0.30285714285714221</v>
      </c>
    </row>
    <row r="1605" spans="1:19" x14ac:dyDescent="0.3">
      <c r="A1605" s="9" t="s">
        <v>3594</v>
      </c>
      <c r="B1605" s="9" t="s">
        <v>18</v>
      </c>
      <c r="C1605" s="9" t="s">
        <v>184</v>
      </c>
      <c r="D1605" s="52">
        <v>46199</v>
      </c>
      <c r="E1605" s="48">
        <v>0.6020833333333333</v>
      </c>
      <c r="F1605" s="48">
        <v>0.62361111111111112</v>
      </c>
      <c r="G1605" s="43">
        <f>(F1605-E1605)*1440</f>
        <v>31.00000000000005</v>
      </c>
      <c r="H1605" s="9" t="s">
        <v>233</v>
      </c>
      <c r="I1605" s="9" t="s">
        <v>3456</v>
      </c>
      <c r="J1605" s="44">
        <v>13.89</v>
      </c>
      <c r="K1605" s="60">
        <v>14.96</v>
      </c>
      <c r="L1605" s="56">
        <v>9.7200000000000006</v>
      </c>
      <c r="M1605" s="14">
        <f>K1605-L1605</f>
        <v>5.24</v>
      </c>
      <c r="N1605" s="15">
        <f>IFERROR(M1605/K1605,0)</f>
        <v>0.3502673796791444</v>
      </c>
      <c r="O1605" s="14">
        <f>IFERROR(L1605/J1605,0)</f>
        <v>0.69978401727861772</v>
      </c>
      <c r="P1605" s="14">
        <f>IFERROR(L1605/G1605,0)</f>
        <v>0.31354838709677368</v>
      </c>
      <c r="S1605" s="61">
        <v>1</v>
      </c>
    </row>
    <row r="1606" spans="1:19" x14ac:dyDescent="0.3">
      <c r="A1606" s="9" t="s">
        <v>3595</v>
      </c>
      <c r="B1606" s="9" t="s">
        <v>18</v>
      </c>
      <c r="C1606" s="9" t="s">
        <v>184</v>
      </c>
      <c r="D1606" s="52">
        <v>46199</v>
      </c>
      <c r="E1606" s="48">
        <v>0.6972222222222223</v>
      </c>
      <c r="F1606" s="48">
        <v>0.70208333333333339</v>
      </c>
      <c r="G1606" s="43">
        <f>(F1606-E1606)*1440</f>
        <v>6.9999999999999751</v>
      </c>
      <c r="H1606" s="9" t="s">
        <v>2551</v>
      </c>
      <c r="I1606" s="9" t="s">
        <v>214</v>
      </c>
      <c r="J1606" s="44">
        <v>4.29</v>
      </c>
      <c r="K1606" s="60">
        <v>5.18</v>
      </c>
      <c r="L1606" s="56">
        <v>3.3</v>
      </c>
      <c r="M1606" s="14">
        <f>K1606-L1606</f>
        <v>1.88</v>
      </c>
      <c r="N1606" s="15">
        <f>IFERROR(M1606/K1606,0)</f>
        <v>0.36293436293436293</v>
      </c>
      <c r="O1606" s="14">
        <f>IFERROR(L1606/J1606,0)</f>
        <v>0.76923076923076916</v>
      </c>
      <c r="P1606" s="14">
        <f>IFERROR(L1606/G1606,0)</f>
        <v>0.47142857142857308</v>
      </c>
    </row>
    <row r="1607" spans="1:19" x14ac:dyDescent="0.3">
      <c r="A1607" s="9" t="s">
        <v>3596</v>
      </c>
      <c r="B1607" s="9" t="s">
        <v>18</v>
      </c>
      <c r="C1607" s="9" t="s">
        <v>196</v>
      </c>
      <c r="D1607" s="52">
        <v>46199</v>
      </c>
      <c r="E1607" s="48">
        <v>0.70694444444444438</v>
      </c>
      <c r="F1607" s="48">
        <v>0.71666666666666667</v>
      </c>
      <c r="G1607" s="43">
        <f>(F1607-E1607)*1440</f>
        <v>14.00000000000011</v>
      </c>
      <c r="H1607" s="9" t="s">
        <v>214</v>
      </c>
      <c r="I1607" s="9" t="s">
        <v>4048</v>
      </c>
      <c r="J1607" s="44">
        <v>8.58</v>
      </c>
      <c r="K1607" s="60">
        <v>8.98</v>
      </c>
      <c r="L1607" s="56">
        <v>5.84</v>
      </c>
      <c r="M1607" s="14">
        <f>K1607-L1607</f>
        <v>3.1400000000000006</v>
      </c>
      <c r="N1607" s="15">
        <f>IFERROR(M1607/K1607,0)</f>
        <v>0.34966592427616933</v>
      </c>
      <c r="O1607" s="14">
        <f>IFERROR(L1607/J1607,0)</f>
        <v>0.68065268065268059</v>
      </c>
      <c r="P1607" s="14">
        <f>IFERROR(L1607/G1607,0)</f>
        <v>0.41714285714285387</v>
      </c>
    </row>
    <row r="1608" spans="1:19" x14ac:dyDescent="0.3">
      <c r="A1608" s="9" t="s">
        <v>3597</v>
      </c>
      <c r="B1608" s="9" t="s">
        <v>18</v>
      </c>
      <c r="C1608" s="9" t="s">
        <v>184</v>
      </c>
      <c r="D1608" s="52">
        <v>46199</v>
      </c>
      <c r="E1608" s="48">
        <v>0.71597222222222223</v>
      </c>
      <c r="F1608" s="48">
        <v>0.72291666666666676</v>
      </c>
      <c r="G1608" s="43">
        <f>(F1608-E1608)*1440</f>
        <v>10.000000000000124</v>
      </c>
      <c r="H1608" s="9" t="s">
        <v>4088</v>
      </c>
      <c r="I1608" s="9" t="s">
        <v>1910</v>
      </c>
      <c r="J1608" s="44">
        <v>4.0599999999999996</v>
      </c>
      <c r="K1608" s="60">
        <v>10.29</v>
      </c>
      <c r="L1608" s="56">
        <v>6.1</v>
      </c>
      <c r="M1608" s="14">
        <f>K1608-L1608</f>
        <v>4.1899999999999995</v>
      </c>
      <c r="N1608" s="15">
        <f>IFERROR(M1608/K1608,0)</f>
        <v>0.40719144800777451</v>
      </c>
      <c r="O1608" s="14">
        <f>IFERROR(L1608/J1608,0)</f>
        <v>1.5024630541871922</v>
      </c>
      <c r="P1608" s="14">
        <f>IFERROR(L1608/G1608,0)</f>
        <v>0.60999999999999233</v>
      </c>
    </row>
    <row r="1609" spans="1:19" x14ac:dyDescent="0.3">
      <c r="A1609" s="9" t="s">
        <v>3598</v>
      </c>
      <c r="B1609" s="9" t="s">
        <v>18</v>
      </c>
      <c r="C1609" s="9" t="s">
        <v>196</v>
      </c>
      <c r="D1609" s="52">
        <v>46199</v>
      </c>
      <c r="E1609" s="48">
        <v>0.73263888888888884</v>
      </c>
      <c r="F1609" s="48">
        <v>0.7368055555555556</v>
      </c>
      <c r="G1609" s="43">
        <f>(F1609-E1609)*1440</f>
        <v>6.0000000000001386</v>
      </c>
      <c r="H1609" s="9" t="s">
        <v>1293</v>
      </c>
      <c r="I1609" s="9" t="s">
        <v>4089</v>
      </c>
      <c r="J1609" s="44">
        <v>3.6</v>
      </c>
      <c r="K1609" s="60">
        <v>4.99</v>
      </c>
      <c r="L1609" s="56">
        <v>4.05</v>
      </c>
      <c r="M1609" s="14">
        <f>K1609-L1609</f>
        <v>0.94000000000000039</v>
      </c>
      <c r="N1609" s="15">
        <f>IFERROR(M1609/K1609,0)</f>
        <v>0.18837675350701411</v>
      </c>
      <c r="O1609" s="14">
        <f>IFERROR(L1609/J1609,0)</f>
        <v>1.125</v>
      </c>
      <c r="P1609" s="14">
        <f>IFERROR(L1609/G1609,0)</f>
        <v>0.67499999999998439</v>
      </c>
    </row>
    <row r="1610" spans="1:19" x14ac:dyDescent="0.3">
      <c r="A1610" s="9" t="s">
        <v>3599</v>
      </c>
      <c r="B1610" s="9" t="s">
        <v>18</v>
      </c>
      <c r="C1610" s="9" t="s">
        <v>184</v>
      </c>
      <c r="D1610" s="52">
        <v>46200</v>
      </c>
      <c r="E1610" s="48">
        <v>0.53611111111111109</v>
      </c>
      <c r="F1610" s="48">
        <v>0.54166666666666663</v>
      </c>
      <c r="G1610" s="43">
        <f>(F1610-E1610)*1440</f>
        <v>7.9999999999999716</v>
      </c>
      <c r="H1610" s="9" t="s">
        <v>1221</v>
      </c>
      <c r="I1610" s="9" t="s">
        <v>1790</v>
      </c>
      <c r="J1610" s="44">
        <v>4.63</v>
      </c>
      <c r="K1610" s="60">
        <v>4.99</v>
      </c>
      <c r="L1610" s="56">
        <v>3.34</v>
      </c>
      <c r="M1610" s="14">
        <f>K1610-L1610</f>
        <v>1.6500000000000004</v>
      </c>
      <c r="N1610" s="15">
        <f>IFERROR(M1610/K1610,0)</f>
        <v>0.33066132264529063</v>
      </c>
      <c r="O1610" s="14">
        <f>IFERROR(L1610/J1610,0)</f>
        <v>0.72138228941684668</v>
      </c>
      <c r="P1610" s="14">
        <f>IFERROR(L1610/G1610,0)</f>
        <v>0.41750000000000148</v>
      </c>
    </row>
    <row r="1611" spans="1:19" x14ac:dyDescent="0.3">
      <c r="A1611" s="9" t="s">
        <v>3600</v>
      </c>
      <c r="B1611" s="9" t="s">
        <v>18</v>
      </c>
      <c r="C1611" s="9" t="s">
        <v>184</v>
      </c>
      <c r="D1611" s="52">
        <v>46200</v>
      </c>
      <c r="E1611" s="48">
        <v>0.58888888888888891</v>
      </c>
      <c r="F1611" s="48">
        <v>0.59652777777777777</v>
      </c>
      <c r="G1611" s="43">
        <f>(F1611-E1611)*1440</f>
        <v>10.999999999999961</v>
      </c>
      <c r="H1611" s="9" t="s">
        <v>4090</v>
      </c>
      <c r="I1611" s="9" t="s">
        <v>4091</v>
      </c>
      <c r="J1611" s="44">
        <v>3.77</v>
      </c>
      <c r="K1611" s="60">
        <v>4.95</v>
      </c>
      <c r="L1611" s="56">
        <v>4.0199999999999996</v>
      </c>
      <c r="M1611" s="14">
        <f>K1611-L1611</f>
        <v>0.9300000000000006</v>
      </c>
      <c r="N1611" s="15">
        <f>IFERROR(M1611/K1611,0)</f>
        <v>0.18787878787878801</v>
      </c>
      <c r="O1611" s="14">
        <f>IFERROR(L1611/J1611,0)</f>
        <v>1.0663129973474801</v>
      </c>
      <c r="P1611" s="14">
        <f>IFERROR(L1611/G1611,0)</f>
        <v>0.3654545454545467</v>
      </c>
    </row>
    <row r="1612" spans="1:19" x14ac:dyDescent="0.3">
      <c r="A1612" s="9" t="s">
        <v>3601</v>
      </c>
      <c r="B1612" s="9" t="s">
        <v>18</v>
      </c>
      <c r="C1612" s="9" t="s">
        <v>184</v>
      </c>
      <c r="D1612" s="52">
        <v>46200</v>
      </c>
      <c r="E1612" s="48">
        <v>0.6</v>
      </c>
      <c r="F1612" s="48">
        <v>0.60416666666666663</v>
      </c>
      <c r="G1612" s="43">
        <f>(F1612-E1612)*1440</f>
        <v>5.9999999999999787</v>
      </c>
      <c r="H1612" s="9" t="s">
        <v>4092</v>
      </c>
      <c r="I1612" s="9" t="s">
        <v>1293</v>
      </c>
      <c r="J1612" s="44">
        <v>4.34</v>
      </c>
      <c r="K1612" s="60">
        <v>4.97</v>
      </c>
      <c r="L1612" s="56">
        <v>3.43</v>
      </c>
      <c r="M1612" s="14">
        <f>K1612-L1612</f>
        <v>1.5399999999999996</v>
      </c>
      <c r="N1612" s="15">
        <f>IFERROR(M1612/K1612,0)</f>
        <v>0.30985915492957739</v>
      </c>
      <c r="O1612" s="14">
        <f>IFERROR(L1612/J1612,0)</f>
        <v>0.79032258064516137</v>
      </c>
      <c r="P1612" s="14">
        <f>IFERROR(L1612/G1612,0)</f>
        <v>0.57166666666666877</v>
      </c>
    </row>
    <row r="1613" spans="1:19" x14ac:dyDescent="0.3">
      <c r="A1613" s="9" t="s">
        <v>3602</v>
      </c>
      <c r="B1613" s="9" t="s">
        <v>18</v>
      </c>
      <c r="C1613" s="9" t="s">
        <v>184</v>
      </c>
      <c r="D1613" s="52">
        <v>46200</v>
      </c>
      <c r="E1613" s="48">
        <v>0.61527777777777781</v>
      </c>
      <c r="F1613" s="48">
        <v>0.625</v>
      </c>
      <c r="G1613" s="43">
        <f>(F1613-E1613)*1440</f>
        <v>13.99999999999995</v>
      </c>
      <c r="H1613" s="9" t="s">
        <v>2796</v>
      </c>
      <c r="I1613" s="9" t="s">
        <v>567</v>
      </c>
      <c r="J1613" s="44">
        <v>11.27</v>
      </c>
      <c r="K1613" s="60">
        <v>8.94</v>
      </c>
      <c r="L1613" s="56">
        <v>5.81</v>
      </c>
      <c r="M1613" s="14">
        <f>K1613-L1613</f>
        <v>3.13</v>
      </c>
      <c r="N1613" s="15">
        <f>IFERROR(M1613/K1613,0)</f>
        <v>0.35011185682326623</v>
      </c>
      <c r="O1613" s="14">
        <f>IFERROR(L1613/J1613,0)</f>
        <v>0.51552795031055898</v>
      </c>
      <c r="P1613" s="14">
        <f>IFERROR(L1613/G1613,0)</f>
        <v>0.41500000000000142</v>
      </c>
    </row>
    <row r="1614" spans="1:19" x14ac:dyDescent="0.3">
      <c r="A1614" s="9" t="s">
        <v>3603</v>
      </c>
      <c r="B1614" s="9" t="s">
        <v>18</v>
      </c>
      <c r="C1614" s="9" t="s">
        <v>184</v>
      </c>
      <c r="D1614" s="52">
        <v>46200</v>
      </c>
      <c r="E1614" s="48">
        <v>0.62777777777777777</v>
      </c>
      <c r="F1614" s="48">
        <v>0.6333333333333333</v>
      </c>
      <c r="G1614" s="43">
        <f>(F1614-E1614)*1440</f>
        <v>7.9999999999999716</v>
      </c>
      <c r="H1614" s="9" t="s">
        <v>1950</v>
      </c>
      <c r="I1614" s="9" t="s">
        <v>4093</v>
      </c>
      <c r="J1614" s="44">
        <v>3.7</v>
      </c>
      <c r="K1614" s="60">
        <v>4.0599999999999996</v>
      </c>
      <c r="L1614" s="56">
        <v>3.94</v>
      </c>
      <c r="M1614" s="14">
        <f>K1614-L1614</f>
        <v>0.11999999999999966</v>
      </c>
      <c r="N1614" s="15">
        <f>IFERROR(M1614/K1614,0)</f>
        <v>2.9556650246305338E-2</v>
      </c>
      <c r="O1614" s="14">
        <f>IFERROR(L1614/J1614,0)</f>
        <v>1.0648648648648649</v>
      </c>
      <c r="P1614" s="14">
        <f>IFERROR(L1614/G1614,0)</f>
        <v>0.49250000000000177</v>
      </c>
    </row>
    <row r="1615" spans="1:19" x14ac:dyDescent="0.3">
      <c r="A1615" s="9" t="s">
        <v>3604</v>
      </c>
      <c r="B1615" s="9" t="s">
        <v>18</v>
      </c>
      <c r="C1615" s="9" t="s">
        <v>824</v>
      </c>
      <c r="D1615" s="52">
        <v>46200</v>
      </c>
      <c r="E1615" s="48">
        <v>0.6875</v>
      </c>
      <c r="F1615" s="48">
        <v>0.69305555555555554</v>
      </c>
      <c r="G1615" s="43">
        <f>(F1615-E1615)*1440</f>
        <v>7.9999999999999716</v>
      </c>
      <c r="H1615" s="9" t="s">
        <v>2953</v>
      </c>
      <c r="I1615" s="9" t="s">
        <v>874</v>
      </c>
      <c r="J1615" s="44">
        <v>3.94</v>
      </c>
      <c r="K1615" s="60">
        <v>4.1100000000000003</v>
      </c>
      <c r="L1615" s="56">
        <v>3.99</v>
      </c>
      <c r="M1615" s="14">
        <f>K1615-L1615</f>
        <v>0.12000000000000011</v>
      </c>
      <c r="N1615" s="15">
        <f>IFERROR(M1615/K1615,0)</f>
        <v>2.9197080291970826E-2</v>
      </c>
      <c r="O1615" s="14">
        <f>IFERROR(L1615/J1615,0)</f>
        <v>1.0126903553299493</v>
      </c>
      <c r="P1615" s="14">
        <f>IFERROR(L1615/G1615,0)</f>
        <v>0.4987500000000018</v>
      </c>
    </row>
    <row r="1616" spans="1:19" x14ac:dyDescent="0.3">
      <c r="A1616" s="9" t="s">
        <v>3605</v>
      </c>
      <c r="B1616" s="9" t="s">
        <v>18</v>
      </c>
      <c r="C1616" s="9" t="s">
        <v>184</v>
      </c>
      <c r="D1616" s="52">
        <v>46200</v>
      </c>
      <c r="E1616" s="48">
        <v>0.69930555555555562</v>
      </c>
      <c r="F1616" s="48">
        <v>0.70694444444444438</v>
      </c>
      <c r="G1616" s="43">
        <f>(F1616-E1616)*1440</f>
        <v>10.999999999999801</v>
      </c>
      <c r="H1616" s="9" t="s">
        <v>3366</v>
      </c>
      <c r="I1616" s="9" t="s">
        <v>266</v>
      </c>
      <c r="J1616" s="44">
        <v>7.15</v>
      </c>
      <c r="K1616" s="60">
        <v>5.87</v>
      </c>
      <c r="L1616" s="56">
        <v>5.72</v>
      </c>
      <c r="M1616" s="14">
        <f>K1616-L1616</f>
        <v>0.15000000000000036</v>
      </c>
      <c r="N1616" s="15">
        <f>IFERROR(M1616/K1616,0)</f>
        <v>2.5553662691652532E-2</v>
      </c>
      <c r="O1616" s="14">
        <f>IFERROR(L1616/J1616,0)</f>
        <v>0.79999999999999993</v>
      </c>
      <c r="P1616" s="14">
        <f>IFERROR(L1616/G1616,0)</f>
        <v>0.52000000000000934</v>
      </c>
    </row>
    <row r="1617" spans="1:18" x14ac:dyDescent="0.3">
      <c r="A1617" s="9" t="s">
        <v>3606</v>
      </c>
      <c r="B1617" s="9" t="s">
        <v>18</v>
      </c>
      <c r="C1617" s="9" t="s">
        <v>184</v>
      </c>
      <c r="D1617" s="52">
        <v>46200</v>
      </c>
      <c r="E1617" s="48">
        <v>0.83750000000000002</v>
      </c>
      <c r="F1617" s="48">
        <v>0.84930555555555554</v>
      </c>
      <c r="G1617" s="43">
        <f>(F1617-E1617)*1440</f>
        <v>16.99999999999994</v>
      </c>
      <c r="H1617" s="9" t="s">
        <v>2675</v>
      </c>
      <c r="I1617" s="9" t="s">
        <v>4094</v>
      </c>
      <c r="J1617" s="44">
        <v>10.67</v>
      </c>
      <c r="K1617" s="60">
        <v>7.95</v>
      </c>
      <c r="L1617" s="56">
        <v>7.21</v>
      </c>
      <c r="M1617" s="14">
        <f>K1617-L1617</f>
        <v>0.74000000000000021</v>
      </c>
      <c r="N1617" s="15">
        <f>IFERROR(M1617/K1617,0)</f>
        <v>9.3081761006289329E-2</v>
      </c>
      <c r="O1617" s="14">
        <f>IFERROR(L1617/J1617,0)</f>
        <v>0.67572633552014993</v>
      </c>
      <c r="P1617" s="14">
        <f>IFERROR(L1617/G1617,0)</f>
        <v>0.42411764705882504</v>
      </c>
    </row>
    <row r="1618" spans="1:18" x14ac:dyDescent="0.3">
      <c r="A1618" s="9" t="s">
        <v>3607</v>
      </c>
      <c r="B1618" s="9" t="s">
        <v>18</v>
      </c>
      <c r="C1618" s="9" t="s">
        <v>196</v>
      </c>
      <c r="D1618" s="52">
        <v>46200</v>
      </c>
      <c r="E1618" s="48">
        <v>0.85069444444444453</v>
      </c>
      <c r="F1618" s="48">
        <v>0.85625000000000007</v>
      </c>
      <c r="G1618" s="43">
        <f>(F1618-E1618)*1440</f>
        <v>7.9999999999999716</v>
      </c>
      <c r="H1618" s="9" t="s">
        <v>4095</v>
      </c>
      <c r="I1618" s="9" t="s">
        <v>4096</v>
      </c>
      <c r="J1618" s="44">
        <v>3.61</v>
      </c>
      <c r="K1618" s="60">
        <v>5.99</v>
      </c>
      <c r="L1618" s="56">
        <v>4.45</v>
      </c>
      <c r="M1618" s="14">
        <f>K1618-L1618</f>
        <v>1.54</v>
      </c>
      <c r="N1618" s="15">
        <f>IFERROR(M1618/K1618,0)</f>
        <v>0.25709515859766274</v>
      </c>
      <c r="O1618" s="14">
        <f>IFERROR(L1618/J1618,0)</f>
        <v>1.2326869806094183</v>
      </c>
      <c r="P1618" s="14">
        <f>IFERROR(L1618/G1618,0)</f>
        <v>0.55625000000000202</v>
      </c>
    </row>
    <row r="1619" spans="1:18" x14ac:dyDescent="0.3">
      <c r="A1619" s="9" t="s">
        <v>3608</v>
      </c>
      <c r="B1619" s="9" t="s">
        <v>18</v>
      </c>
      <c r="C1619" s="9" t="s">
        <v>184</v>
      </c>
      <c r="D1619" s="52">
        <v>46200</v>
      </c>
      <c r="E1619" s="48">
        <v>0.87222222222222223</v>
      </c>
      <c r="F1619" s="48">
        <v>0.88402777777777775</v>
      </c>
      <c r="G1619" s="43">
        <f>(F1619-E1619)*1440</f>
        <v>16.99999999999994</v>
      </c>
      <c r="H1619" s="9" t="s">
        <v>225</v>
      </c>
      <c r="I1619" s="9" t="s">
        <v>4097</v>
      </c>
      <c r="J1619" s="44">
        <v>15.66</v>
      </c>
      <c r="K1619" s="60">
        <v>11.93</v>
      </c>
      <c r="L1619" s="56">
        <v>7.75</v>
      </c>
      <c r="M1619" s="14">
        <f>K1619-L1619</f>
        <v>4.18</v>
      </c>
      <c r="N1619" s="15">
        <f>IFERROR(M1619/K1619,0)</f>
        <v>0.35037720033528919</v>
      </c>
      <c r="O1619" s="14">
        <f>IFERROR(L1619/J1619,0)</f>
        <v>0.49489144316730521</v>
      </c>
      <c r="P1619" s="14">
        <f>IFERROR(L1619/G1619,0)</f>
        <v>0.45588235294117807</v>
      </c>
    </row>
    <row r="1620" spans="1:18" x14ac:dyDescent="0.3">
      <c r="A1620" s="9" t="s">
        <v>3609</v>
      </c>
      <c r="B1620" s="9" t="s">
        <v>18</v>
      </c>
      <c r="C1620" s="9" t="s">
        <v>184</v>
      </c>
      <c r="D1620" s="52">
        <v>46200</v>
      </c>
      <c r="E1620" s="48">
        <v>0.87986111111111109</v>
      </c>
      <c r="F1620" s="48">
        <v>0.88611111111111107</v>
      </c>
      <c r="G1620" s="43">
        <f>(F1620-E1620)*1440</f>
        <v>8.999999999999968</v>
      </c>
      <c r="H1620" s="9" t="s">
        <v>4098</v>
      </c>
      <c r="I1620" s="9" t="s">
        <v>4099</v>
      </c>
      <c r="J1620" s="44">
        <v>5.47</v>
      </c>
      <c r="K1620" s="60">
        <v>4.9400000000000004</v>
      </c>
      <c r="L1620" s="56">
        <v>3.52</v>
      </c>
      <c r="M1620" s="14">
        <f>K1620-L1620</f>
        <v>1.4200000000000004</v>
      </c>
      <c r="N1620" s="15">
        <f>IFERROR(M1620/K1620,0)</f>
        <v>0.28744939271255066</v>
      </c>
      <c r="O1620" s="14">
        <f>IFERROR(L1620/J1620,0)</f>
        <v>0.64351005484460699</v>
      </c>
      <c r="P1620" s="14">
        <f>IFERROR(L1620/G1620,0)</f>
        <v>0.39111111111111252</v>
      </c>
    </row>
    <row r="1621" spans="1:18" x14ac:dyDescent="0.3">
      <c r="A1621" s="9" t="s">
        <v>3610</v>
      </c>
      <c r="B1621" s="9" t="s">
        <v>26</v>
      </c>
      <c r="C1621" s="9" t="s">
        <v>26</v>
      </c>
      <c r="D1621" s="52">
        <v>46200</v>
      </c>
      <c r="E1621" s="48">
        <v>0.55138888888888882</v>
      </c>
      <c r="F1621" s="48">
        <v>0.57013888888888886</v>
      </c>
      <c r="G1621" s="43">
        <f>(F1621-E1621)*1440</f>
        <v>27.000000000000064</v>
      </c>
      <c r="H1621" s="9" t="s">
        <v>3348</v>
      </c>
      <c r="I1621" s="9" t="s">
        <v>4100</v>
      </c>
      <c r="J1621" s="44">
        <v>17.100000000000001</v>
      </c>
      <c r="K1621" s="60">
        <v>8.98</v>
      </c>
      <c r="L1621" s="56">
        <v>8.42</v>
      </c>
      <c r="M1621" s="14">
        <f>K1621-L1621</f>
        <v>0.5600000000000005</v>
      </c>
      <c r="N1621" s="15">
        <f>IFERROR(M1621/K1621,0)</f>
        <v>6.2360801781737245E-2</v>
      </c>
      <c r="O1621" s="14">
        <f>IFERROR(L1621/J1621,0)</f>
        <v>0.49239766081871339</v>
      </c>
      <c r="P1621" s="14">
        <f>IFERROR(L1621/G1621,0)</f>
        <v>0.3118518518518511</v>
      </c>
    </row>
    <row r="1622" spans="1:18" x14ac:dyDescent="0.3">
      <c r="A1622" s="9" t="s">
        <v>3611</v>
      </c>
      <c r="B1622" s="9" t="s">
        <v>26</v>
      </c>
      <c r="C1622" s="9" t="s">
        <v>27</v>
      </c>
      <c r="D1622" s="52">
        <v>46200</v>
      </c>
      <c r="E1622" s="48">
        <v>0.57361111111111118</v>
      </c>
      <c r="F1622" s="48">
        <v>0.58750000000000002</v>
      </c>
      <c r="G1622" s="43">
        <f>(F1622-E1622)*1440</f>
        <v>19.999999999999929</v>
      </c>
      <c r="H1622" s="9" t="s">
        <v>4100</v>
      </c>
      <c r="I1622" s="9" t="s">
        <v>4101</v>
      </c>
      <c r="J1622" s="44">
        <v>13.2</v>
      </c>
      <c r="K1622" s="60">
        <v>9.73</v>
      </c>
      <c r="L1622" s="56">
        <v>7.3</v>
      </c>
      <c r="M1622" s="14">
        <f>K1622-L1622</f>
        <v>2.4300000000000006</v>
      </c>
      <c r="N1622" s="15">
        <f>IFERROR(M1622/K1622,0)</f>
        <v>0.24974306269270302</v>
      </c>
      <c r="O1622" s="14">
        <f>IFERROR(L1622/J1622,0)</f>
        <v>0.55303030303030309</v>
      </c>
      <c r="P1622" s="14">
        <f>IFERROR(L1622/G1622,0)</f>
        <v>0.36500000000000127</v>
      </c>
      <c r="R1622" s="57">
        <v>0.88</v>
      </c>
    </row>
    <row r="1623" spans="1:18" x14ac:dyDescent="0.3">
      <c r="A1623" s="9" t="s">
        <v>3612</v>
      </c>
      <c r="B1623" s="9" t="s">
        <v>26</v>
      </c>
      <c r="C1623" s="9" t="s">
        <v>27</v>
      </c>
      <c r="D1623" s="52">
        <v>46200</v>
      </c>
      <c r="E1623" s="48">
        <v>0.60902777777777783</v>
      </c>
      <c r="F1623" s="48">
        <v>0.6166666666666667</v>
      </c>
      <c r="G1623" s="43">
        <f>(F1623-E1623)*1440</f>
        <v>10.999999999999961</v>
      </c>
      <c r="H1623" s="9" t="s">
        <v>4102</v>
      </c>
      <c r="I1623" s="9" t="s">
        <v>214</v>
      </c>
      <c r="J1623" s="44">
        <v>6.4</v>
      </c>
      <c r="K1623" s="60">
        <v>4.78</v>
      </c>
      <c r="L1623" s="56">
        <v>3.58</v>
      </c>
      <c r="M1623" s="14">
        <f>K1623-L1623</f>
        <v>1.2000000000000002</v>
      </c>
      <c r="N1623" s="15">
        <f>IFERROR(M1623/K1623,0)</f>
        <v>0.25104602510460255</v>
      </c>
      <c r="O1623" s="14">
        <f>IFERROR(L1623/J1623,0)</f>
        <v>0.55937499999999996</v>
      </c>
      <c r="P1623" s="14">
        <f>IFERROR(L1623/G1623,0)</f>
        <v>0.32545454545454661</v>
      </c>
    </row>
    <row r="1624" spans="1:18" x14ac:dyDescent="0.3">
      <c r="A1624" s="9" t="s">
        <v>3613</v>
      </c>
      <c r="B1624" s="9" t="s">
        <v>26</v>
      </c>
      <c r="C1624" s="9" t="s">
        <v>27</v>
      </c>
      <c r="D1624" s="52">
        <v>46200</v>
      </c>
      <c r="E1624" s="48">
        <v>0.67638888888888893</v>
      </c>
      <c r="F1624" s="48">
        <v>0.68263888888888891</v>
      </c>
      <c r="G1624" s="43">
        <f>(F1624-E1624)*1440</f>
        <v>8.999999999999968</v>
      </c>
      <c r="H1624" s="9" t="s">
        <v>2877</v>
      </c>
      <c r="I1624" s="9" t="s">
        <v>1242</v>
      </c>
      <c r="J1624" s="44">
        <v>5.5</v>
      </c>
      <c r="K1624" s="60">
        <v>5.78</v>
      </c>
      <c r="L1624" s="56">
        <v>4.33</v>
      </c>
      <c r="M1624" s="14">
        <f>K1624-L1624</f>
        <v>1.4500000000000002</v>
      </c>
      <c r="N1624" s="15">
        <f>IFERROR(M1624/K1624,0)</f>
        <v>0.2508650519031142</v>
      </c>
      <c r="O1624" s="14">
        <f>IFERROR(L1624/J1624,0)</f>
        <v>0.78727272727272724</v>
      </c>
      <c r="P1624" s="14">
        <f>IFERROR(L1624/G1624,0)</f>
        <v>0.48111111111111282</v>
      </c>
    </row>
    <row r="1625" spans="1:18" x14ac:dyDescent="0.3">
      <c r="A1625" s="9" t="s">
        <v>3614</v>
      </c>
      <c r="B1625" s="9" t="s">
        <v>26</v>
      </c>
      <c r="C1625" s="9" t="s">
        <v>27</v>
      </c>
      <c r="D1625" s="52">
        <v>46200</v>
      </c>
      <c r="E1625" s="48">
        <v>0.72430555555555554</v>
      </c>
      <c r="F1625" s="48">
        <v>0.7319444444444444</v>
      </c>
      <c r="G1625" s="43">
        <f>(F1625-E1625)*1440</f>
        <v>10.999999999999961</v>
      </c>
      <c r="H1625" s="9" t="s">
        <v>266</v>
      </c>
      <c r="I1625" s="9" t="s">
        <v>4103</v>
      </c>
      <c r="J1625" s="44">
        <v>5.2</v>
      </c>
      <c r="K1625" s="60">
        <v>4.87</v>
      </c>
      <c r="L1625" s="56">
        <v>3.65</v>
      </c>
      <c r="M1625" s="14">
        <f>K1625-L1625</f>
        <v>1.2200000000000002</v>
      </c>
      <c r="N1625" s="15">
        <f>IFERROR(M1625/K1625,0)</f>
        <v>0.25051334702258732</v>
      </c>
      <c r="O1625" s="14">
        <f>IFERROR(L1625/J1625,0)</f>
        <v>0.70192307692307687</v>
      </c>
      <c r="P1625" s="14">
        <f>IFERROR(L1625/G1625,0)</f>
        <v>0.33181818181818301</v>
      </c>
    </row>
    <row r="1626" spans="1:18" x14ac:dyDescent="0.3">
      <c r="A1626" s="9" t="s">
        <v>3615</v>
      </c>
      <c r="B1626" s="9" t="s">
        <v>26</v>
      </c>
      <c r="C1626" s="9" t="s">
        <v>27</v>
      </c>
      <c r="D1626" s="52">
        <v>46200</v>
      </c>
      <c r="E1626" s="48">
        <v>0.7368055555555556</v>
      </c>
      <c r="F1626" s="48">
        <v>0.74722222222222223</v>
      </c>
      <c r="G1626" s="43">
        <f>(F1626-E1626)*1440</f>
        <v>14.999999999999947</v>
      </c>
      <c r="H1626" s="9" t="s">
        <v>4103</v>
      </c>
      <c r="I1626" s="9" t="s">
        <v>567</v>
      </c>
      <c r="J1626" s="44">
        <v>11.8</v>
      </c>
      <c r="K1626" s="60">
        <v>9.9</v>
      </c>
      <c r="L1626" s="56">
        <v>7.42</v>
      </c>
      <c r="M1626" s="14">
        <f>K1626-L1626</f>
        <v>2.4800000000000004</v>
      </c>
      <c r="N1626" s="15">
        <f>IFERROR(M1626/K1626,0)</f>
        <v>0.25050505050505056</v>
      </c>
      <c r="O1626" s="14">
        <f>IFERROR(L1626/J1626,0)</f>
        <v>0.62881355932203387</v>
      </c>
      <c r="P1626" s="14">
        <f>IFERROR(L1626/G1626,0)</f>
        <v>0.49466666666666842</v>
      </c>
      <c r="R1626" s="57">
        <v>2.2799999999999998</v>
      </c>
    </row>
    <row r="1627" spans="1:18" x14ac:dyDescent="0.3">
      <c r="A1627" s="9" t="s">
        <v>3616</v>
      </c>
      <c r="B1627" s="9" t="s">
        <v>26</v>
      </c>
      <c r="C1627" s="9" t="s">
        <v>26</v>
      </c>
      <c r="D1627" s="52">
        <v>46200</v>
      </c>
      <c r="E1627" s="48">
        <v>0.74861111111111101</v>
      </c>
      <c r="F1627" s="48">
        <v>0.75486111111111109</v>
      </c>
      <c r="G1627" s="43">
        <f>(F1627-E1627)*1440</f>
        <v>9.0000000000001279</v>
      </c>
      <c r="H1627" s="9" t="s">
        <v>679</v>
      </c>
      <c r="I1627" s="9" t="s">
        <v>2216</v>
      </c>
      <c r="J1627" s="44">
        <v>2.8</v>
      </c>
      <c r="K1627" s="60">
        <v>4.4000000000000004</v>
      </c>
      <c r="L1627" s="56">
        <v>3.3</v>
      </c>
      <c r="M1627" s="14">
        <f>K1627-L1627</f>
        <v>1.1000000000000005</v>
      </c>
      <c r="N1627" s="15">
        <f>IFERROR(M1627/K1627,0)</f>
        <v>0.25000000000000011</v>
      </c>
      <c r="O1627" s="14">
        <f>IFERROR(L1627/J1627,0)</f>
        <v>1.1785714285714286</v>
      </c>
      <c r="P1627" s="14">
        <f>IFERROR(L1627/G1627,0)</f>
        <v>0.36666666666666142</v>
      </c>
    </row>
    <row r="1628" spans="1:18" x14ac:dyDescent="0.3">
      <c r="A1628" s="9" t="s">
        <v>3617</v>
      </c>
      <c r="B1628" s="9" t="s">
        <v>26</v>
      </c>
      <c r="C1628" s="9" t="s">
        <v>27</v>
      </c>
      <c r="D1628" s="52">
        <v>46200</v>
      </c>
      <c r="E1628" s="48">
        <v>0.77916666666666667</v>
      </c>
      <c r="F1628" s="48">
        <v>0.79652777777777783</v>
      </c>
      <c r="G1628" s="43">
        <f>(F1628-E1628)*1440</f>
        <v>25.000000000000071</v>
      </c>
      <c r="H1628" s="9" t="s">
        <v>4104</v>
      </c>
      <c r="I1628" s="9" t="s">
        <v>1120</v>
      </c>
      <c r="J1628" s="44">
        <v>14.7</v>
      </c>
      <c r="K1628" s="60">
        <v>9.64</v>
      </c>
      <c r="L1628" s="56">
        <v>7.23</v>
      </c>
      <c r="M1628" s="14">
        <f>K1628-L1628</f>
        <v>2.41</v>
      </c>
      <c r="N1628" s="15">
        <f>IFERROR(M1628/K1628,0)</f>
        <v>0.25</v>
      </c>
      <c r="O1628" s="14">
        <f>IFERROR(L1628/J1628,0)</f>
        <v>0.49183673469387762</v>
      </c>
      <c r="P1628" s="14">
        <f>IFERROR(L1628/G1628,0)</f>
        <v>0.28919999999999918</v>
      </c>
    </row>
    <row r="1629" spans="1:18" x14ac:dyDescent="0.3">
      <c r="A1629" s="9" t="s">
        <v>3618</v>
      </c>
      <c r="B1629" s="9" t="s">
        <v>26</v>
      </c>
      <c r="C1629" s="9" t="s">
        <v>26</v>
      </c>
      <c r="D1629" s="52">
        <v>46200</v>
      </c>
      <c r="E1629" s="48">
        <v>0.79652777777777783</v>
      </c>
      <c r="F1629" s="48">
        <v>0.80833333333333324</v>
      </c>
      <c r="G1629" s="43">
        <f>(F1629-E1629)*1440</f>
        <v>16.99999999999978</v>
      </c>
      <c r="H1629" s="9" t="s">
        <v>1120</v>
      </c>
      <c r="I1629" s="9" t="s">
        <v>2015</v>
      </c>
      <c r="J1629" s="44">
        <v>9.9</v>
      </c>
      <c r="K1629" s="60">
        <v>7.59</v>
      </c>
      <c r="L1629" s="56">
        <v>6.32</v>
      </c>
      <c r="M1629" s="14">
        <f>K1629-L1629</f>
        <v>1.2699999999999996</v>
      </c>
      <c r="N1629" s="15">
        <f>IFERROR(M1629/K1629,0)</f>
        <v>0.16732542819499335</v>
      </c>
      <c r="O1629" s="14">
        <f>IFERROR(L1629/J1629,0)</f>
        <v>0.63838383838383839</v>
      </c>
      <c r="P1629" s="14">
        <f>IFERROR(L1629/G1629,0)</f>
        <v>0.37176470588235777</v>
      </c>
    </row>
    <row r="1630" spans="1:18" x14ac:dyDescent="0.3">
      <c r="A1630" s="9" t="s">
        <v>3619</v>
      </c>
      <c r="B1630" s="9" t="s">
        <v>26</v>
      </c>
      <c r="C1630" s="9" t="s">
        <v>26</v>
      </c>
      <c r="D1630" s="52">
        <v>46200</v>
      </c>
      <c r="E1630" s="48">
        <v>0.80972222222222223</v>
      </c>
      <c r="F1630" s="48">
        <v>0.82152777777777775</v>
      </c>
      <c r="G1630" s="43">
        <f>(F1630-E1630)*1440</f>
        <v>16.99999999999994</v>
      </c>
      <c r="H1630" s="9" t="s">
        <v>4105</v>
      </c>
      <c r="I1630" s="9" t="s">
        <v>1972</v>
      </c>
      <c r="J1630" s="44">
        <v>8.1999999999999993</v>
      </c>
      <c r="K1630" s="60">
        <v>4.6100000000000003</v>
      </c>
      <c r="L1630" s="56">
        <v>4.9400000000000004</v>
      </c>
      <c r="M1630" s="14">
        <f>K1630-L1630</f>
        <v>-0.33000000000000007</v>
      </c>
      <c r="N1630" s="15">
        <f>IFERROR(M1630/K1630,0)</f>
        <v>-7.1583514099783085E-2</v>
      </c>
      <c r="O1630" s="14">
        <f>IFERROR(L1630/J1630,0)</f>
        <v>0.60243902439024399</v>
      </c>
      <c r="P1630" s="14">
        <f>IFERROR(L1630/G1630,0)</f>
        <v>0.2905882352941187</v>
      </c>
    </row>
    <row r="1631" spans="1:18" x14ac:dyDescent="0.3">
      <c r="A1631" s="9" t="s">
        <v>3620</v>
      </c>
      <c r="B1631" s="9" t="s">
        <v>26</v>
      </c>
      <c r="C1631" s="9" t="s">
        <v>26</v>
      </c>
      <c r="D1631" s="52">
        <v>46200</v>
      </c>
      <c r="E1631" s="48">
        <v>0.82638888888888884</v>
      </c>
      <c r="F1631" s="48">
        <v>0.83472222222222225</v>
      </c>
      <c r="G1631" s="43">
        <f>(F1631-E1631)*1440</f>
        <v>12.000000000000117</v>
      </c>
      <c r="H1631" s="9" t="s">
        <v>4106</v>
      </c>
      <c r="I1631" s="9" t="s">
        <v>4107</v>
      </c>
      <c r="J1631" s="44">
        <v>7.1</v>
      </c>
      <c r="K1631" s="60">
        <v>4.0199999999999996</v>
      </c>
      <c r="L1631" s="56">
        <v>4.3</v>
      </c>
      <c r="M1631" s="14">
        <f>K1631-L1631</f>
        <v>-0.28000000000000025</v>
      </c>
      <c r="N1631" s="15">
        <f>IFERROR(M1631/K1631,0)</f>
        <v>-6.965174129353241E-2</v>
      </c>
      <c r="O1631" s="14">
        <f>IFERROR(L1631/J1631,0)</f>
        <v>0.60563380281690138</v>
      </c>
      <c r="P1631" s="14">
        <f>IFERROR(L1631/G1631,0)</f>
        <v>0.35833333333332984</v>
      </c>
    </row>
    <row r="1632" spans="1:18" x14ac:dyDescent="0.3">
      <c r="A1632" s="9" t="s">
        <v>3621</v>
      </c>
      <c r="B1632" s="9" t="s">
        <v>26</v>
      </c>
      <c r="C1632" s="9" t="s">
        <v>27</v>
      </c>
      <c r="D1632" s="52">
        <v>46201</v>
      </c>
      <c r="E1632" s="48">
        <v>0.55138888888888882</v>
      </c>
      <c r="F1632" s="48">
        <v>0.55972222222222223</v>
      </c>
      <c r="G1632" s="43">
        <f>(F1632-E1632)*1440</f>
        <v>12.000000000000117</v>
      </c>
      <c r="H1632" s="9" t="s">
        <v>1338</v>
      </c>
      <c r="I1632" s="9" t="s">
        <v>1842</v>
      </c>
      <c r="J1632" s="44">
        <v>5.6</v>
      </c>
      <c r="K1632" s="60">
        <v>4.21</v>
      </c>
      <c r="L1632" s="56">
        <v>3.48</v>
      </c>
      <c r="M1632" s="14">
        <f>K1632-L1632</f>
        <v>0.73</v>
      </c>
      <c r="N1632" s="15">
        <f>IFERROR(M1632/K1632,0)</f>
        <v>0.17339667458432304</v>
      </c>
      <c r="O1632" s="14">
        <f>IFERROR(L1632/J1632,0)</f>
        <v>0.62142857142857144</v>
      </c>
      <c r="P1632" s="14">
        <f>IFERROR(L1632/G1632,0)</f>
        <v>0.28999999999999715</v>
      </c>
    </row>
    <row r="1633" spans="1:19" x14ac:dyDescent="0.3">
      <c r="A1633" s="9" t="s">
        <v>3622</v>
      </c>
      <c r="B1633" s="9" t="s">
        <v>26</v>
      </c>
      <c r="C1633" s="9" t="s">
        <v>27</v>
      </c>
      <c r="D1633" s="52">
        <v>46201</v>
      </c>
      <c r="E1633" s="48">
        <v>0.56527777777777777</v>
      </c>
      <c r="F1633" s="48">
        <v>0.58888888888888891</v>
      </c>
      <c r="G1633" s="43">
        <f>(F1633-E1633)*1440</f>
        <v>34.000000000000043</v>
      </c>
      <c r="H1633" s="9" t="s">
        <v>4108</v>
      </c>
      <c r="I1633" s="9" t="s">
        <v>1325</v>
      </c>
      <c r="J1633" s="44">
        <v>29.8</v>
      </c>
      <c r="K1633" s="60">
        <v>16.48</v>
      </c>
      <c r="L1633" s="56">
        <v>12.36</v>
      </c>
      <c r="M1633" s="14">
        <f>K1633-L1633</f>
        <v>4.120000000000001</v>
      </c>
      <c r="N1633" s="15">
        <f>IFERROR(M1633/K1633,0)</f>
        <v>0.25000000000000006</v>
      </c>
      <c r="O1633" s="14">
        <f>IFERROR(L1633/J1633,0)</f>
        <v>0.41476510067114092</v>
      </c>
      <c r="P1633" s="14">
        <f>IFERROR(L1633/G1633,0)</f>
        <v>0.36352941176470543</v>
      </c>
    </row>
    <row r="1634" spans="1:19" x14ac:dyDescent="0.3">
      <c r="A1634" s="9" t="s">
        <v>3623</v>
      </c>
      <c r="B1634" s="9" t="s">
        <v>26</v>
      </c>
      <c r="C1634" s="9" t="s">
        <v>27</v>
      </c>
      <c r="D1634" s="52">
        <v>46201</v>
      </c>
      <c r="E1634" s="48">
        <v>0.61041666666666672</v>
      </c>
      <c r="F1634" s="48">
        <v>0.62013888888888891</v>
      </c>
      <c r="G1634" s="43">
        <f>(F1634-E1634)*1440</f>
        <v>13.99999999999995</v>
      </c>
      <c r="H1634" s="9" t="s">
        <v>4109</v>
      </c>
      <c r="I1634" s="9" t="s">
        <v>4110</v>
      </c>
      <c r="J1634" s="44">
        <v>5</v>
      </c>
      <c r="K1634" s="60">
        <v>7.2</v>
      </c>
      <c r="L1634" s="56">
        <v>5.94</v>
      </c>
      <c r="M1634" s="14">
        <f>K1634-L1634</f>
        <v>1.2599999999999998</v>
      </c>
      <c r="N1634" s="15">
        <f>IFERROR(M1634/K1634,0)</f>
        <v>0.17499999999999996</v>
      </c>
      <c r="O1634" s="14">
        <f>IFERROR(L1634/J1634,0)</f>
        <v>1.1880000000000002</v>
      </c>
      <c r="P1634" s="14">
        <f>IFERROR(L1634/G1634,0)</f>
        <v>0.42428571428571582</v>
      </c>
      <c r="R1634" s="57">
        <v>1.67</v>
      </c>
    </row>
    <row r="1635" spans="1:19" x14ac:dyDescent="0.3">
      <c r="A1635" s="9" t="s">
        <v>3624</v>
      </c>
      <c r="B1635" s="9" t="s">
        <v>26</v>
      </c>
      <c r="C1635" s="9" t="s">
        <v>27</v>
      </c>
      <c r="D1635" s="52">
        <v>46201</v>
      </c>
      <c r="E1635" s="48">
        <v>0.64722222222222225</v>
      </c>
      <c r="F1635" s="48">
        <v>0.65625</v>
      </c>
      <c r="G1635" s="43">
        <f>(F1635-E1635)*1440</f>
        <v>12.999999999999954</v>
      </c>
      <c r="H1635" s="9" t="s">
        <v>1367</v>
      </c>
      <c r="I1635" s="9" t="s">
        <v>4111</v>
      </c>
      <c r="J1635" s="44">
        <v>11.8</v>
      </c>
      <c r="K1635" s="60">
        <v>7.55</v>
      </c>
      <c r="L1635" s="56">
        <v>5.66</v>
      </c>
      <c r="M1635" s="14">
        <f>K1635-L1635</f>
        <v>1.8899999999999997</v>
      </c>
      <c r="N1635" s="15">
        <f>IFERROR(M1635/K1635,0)</f>
        <v>0.25033112582781453</v>
      </c>
      <c r="O1635" s="14">
        <f>IFERROR(L1635/J1635,0)</f>
        <v>0.47966101694915253</v>
      </c>
      <c r="P1635" s="14">
        <f>IFERROR(L1635/G1635,0)</f>
        <v>0.43538461538461692</v>
      </c>
    </row>
    <row r="1636" spans="1:19" x14ac:dyDescent="0.3">
      <c r="A1636" s="9" t="s">
        <v>3625</v>
      </c>
      <c r="B1636" s="9" t="s">
        <v>26</v>
      </c>
      <c r="C1636" s="9" t="s">
        <v>26</v>
      </c>
      <c r="D1636" s="52">
        <v>46201</v>
      </c>
      <c r="E1636" s="48">
        <v>0.65763888888888888</v>
      </c>
      <c r="F1636" s="48">
        <v>0.6645833333333333</v>
      </c>
      <c r="G1636" s="43">
        <f>(F1636-E1636)*1440</f>
        <v>9.9999999999999645</v>
      </c>
      <c r="H1636" s="9" t="s">
        <v>4112</v>
      </c>
      <c r="I1636" s="9" t="s">
        <v>4113</v>
      </c>
      <c r="J1636" s="44">
        <v>8.1</v>
      </c>
      <c r="K1636" s="60">
        <v>7.06</v>
      </c>
      <c r="L1636" s="56">
        <v>6.7</v>
      </c>
      <c r="M1636" s="14">
        <f>K1636-L1636</f>
        <v>0.35999999999999943</v>
      </c>
      <c r="N1636" s="15">
        <f>IFERROR(M1636/K1636,0)</f>
        <v>5.0991501416430517E-2</v>
      </c>
      <c r="O1636" s="14">
        <f>IFERROR(L1636/J1636,0)</f>
        <v>0.8271604938271605</v>
      </c>
      <c r="P1636" s="14">
        <f>IFERROR(L1636/G1636,0)</f>
        <v>0.67000000000000237</v>
      </c>
      <c r="Q1636" s="64">
        <v>0.35</v>
      </c>
      <c r="R1636" s="57">
        <v>2.44</v>
      </c>
    </row>
    <row r="1637" spans="1:19" x14ac:dyDescent="0.3">
      <c r="A1637" s="9" t="s">
        <v>3626</v>
      </c>
      <c r="B1637" s="9" t="s">
        <v>26</v>
      </c>
      <c r="C1637" s="9" t="s">
        <v>27</v>
      </c>
      <c r="D1637" s="52">
        <v>46201</v>
      </c>
      <c r="E1637" s="48">
        <v>0.66666666666666663</v>
      </c>
      <c r="F1637" s="48">
        <v>0.67083333333333339</v>
      </c>
      <c r="G1637" s="43">
        <f>(F1637-E1637)*1440</f>
        <v>6.0000000000001386</v>
      </c>
      <c r="H1637" s="9" t="s">
        <v>4114</v>
      </c>
      <c r="I1637" s="9" t="s">
        <v>4113</v>
      </c>
      <c r="J1637" s="44">
        <v>1.8</v>
      </c>
      <c r="K1637" s="60">
        <v>7.7</v>
      </c>
      <c r="L1637" s="56">
        <v>5.77</v>
      </c>
      <c r="M1637" s="14">
        <f>K1637-L1637</f>
        <v>1.9300000000000006</v>
      </c>
      <c r="N1637" s="15">
        <f>IFERROR(M1637/K1637,0)</f>
        <v>0.25064935064935073</v>
      </c>
      <c r="O1637" s="14">
        <f>IFERROR(L1637/J1637,0)</f>
        <v>3.2055555555555553</v>
      </c>
      <c r="P1637" s="14">
        <f>IFERROR(L1637/G1637,0)</f>
        <v>0.96166666666664435</v>
      </c>
    </row>
    <row r="1638" spans="1:19" x14ac:dyDescent="0.3">
      <c r="A1638" s="9" t="s">
        <v>3627</v>
      </c>
      <c r="B1638" s="9" t="s">
        <v>26</v>
      </c>
      <c r="C1638" s="9" t="s">
        <v>26</v>
      </c>
      <c r="D1638" s="52">
        <v>46201</v>
      </c>
      <c r="E1638" s="48">
        <v>0.70624999999999993</v>
      </c>
      <c r="F1638" s="48">
        <v>0.71111111111111114</v>
      </c>
      <c r="G1638" s="43">
        <f>(F1638-E1638)*1440</f>
        <v>7.000000000000135</v>
      </c>
      <c r="H1638" s="9" t="s">
        <v>4115</v>
      </c>
      <c r="I1638" s="9" t="s">
        <v>1361</v>
      </c>
      <c r="J1638" s="44">
        <v>2.8</v>
      </c>
      <c r="K1638" s="60">
        <v>7.48</v>
      </c>
      <c r="L1638" s="56">
        <v>5.61</v>
      </c>
      <c r="M1638" s="14">
        <f>K1638-L1638</f>
        <v>1.87</v>
      </c>
      <c r="N1638" s="15">
        <f>IFERROR(M1638/K1638,0)</f>
        <v>0.25</v>
      </c>
      <c r="O1638" s="14">
        <f>IFERROR(L1638/J1638,0)</f>
        <v>2.003571428571429</v>
      </c>
      <c r="P1638" s="14">
        <f>IFERROR(L1638/G1638,0)</f>
        <v>0.80142857142855606</v>
      </c>
    </row>
    <row r="1639" spans="1:19" x14ac:dyDescent="0.3">
      <c r="A1639" s="9" t="s">
        <v>3628</v>
      </c>
      <c r="B1639" s="9" t="s">
        <v>26</v>
      </c>
      <c r="C1639" s="9" t="s">
        <v>26</v>
      </c>
      <c r="D1639" s="52">
        <v>46201</v>
      </c>
      <c r="E1639" s="48">
        <v>0.72152777777777777</v>
      </c>
      <c r="F1639" s="48">
        <v>0.7368055555555556</v>
      </c>
      <c r="G1639" s="43">
        <f>(F1639-E1639)*1440</f>
        <v>22.000000000000082</v>
      </c>
      <c r="H1639" s="9" t="s">
        <v>728</v>
      </c>
      <c r="I1639" s="9" t="s">
        <v>1120</v>
      </c>
      <c r="J1639" s="44">
        <v>10.8</v>
      </c>
      <c r="K1639" s="60">
        <v>12.45</v>
      </c>
      <c r="L1639" s="56">
        <v>9.34</v>
      </c>
      <c r="M1639" s="14">
        <f>K1639-L1639</f>
        <v>3.1099999999999994</v>
      </c>
      <c r="N1639" s="15">
        <f>IFERROR(M1639/K1639,0)</f>
        <v>0.24979919678714857</v>
      </c>
      <c r="O1639" s="14">
        <f>IFERROR(L1639/J1639,0)</f>
        <v>0.8648148148148147</v>
      </c>
      <c r="P1639" s="14">
        <f>IFERROR(L1639/G1639,0)</f>
        <v>0.42454545454545295</v>
      </c>
    </row>
    <row r="1640" spans="1:19" x14ac:dyDescent="0.3">
      <c r="A1640" s="9" t="s">
        <v>3629</v>
      </c>
      <c r="B1640" s="9" t="s">
        <v>26</v>
      </c>
      <c r="C1640" s="9" t="s">
        <v>26</v>
      </c>
      <c r="D1640" s="52">
        <v>46201</v>
      </c>
      <c r="E1640" s="48">
        <v>0.7368055555555556</v>
      </c>
      <c r="F1640" s="48">
        <v>0.74583333333333324</v>
      </c>
      <c r="G1640" s="43">
        <f>(F1640-E1640)*1440</f>
        <v>12.999999999999794</v>
      </c>
      <c r="H1640" s="9" t="s">
        <v>1120</v>
      </c>
      <c r="I1640" s="9" t="s">
        <v>904</v>
      </c>
      <c r="J1640" s="44">
        <v>7.4</v>
      </c>
      <c r="K1640" s="60">
        <v>8.75</v>
      </c>
      <c r="L1640" s="56">
        <v>7.06</v>
      </c>
      <c r="M1640" s="14">
        <f>K1640-L1640</f>
        <v>1.6900000000000004</v>
      </c>
      <c r="N1640" s="15">
        <f>IFERROR(M1640/K1640,0)</f>
        <v>0.1931428571428572</v>
      </c>
      <c r="O1640" s="14">
        <f>IFERROR(L1640/J1640,0)</f>
        <v>0.95405405405405397</v>
      </c>
      <c r="P1640" s="14">
        <f>IFERROR(L1640/G1640,0)</f>
        <v>0.54307692307693167</v>
      </c>
      <c r="S1640" s="61">
        <v>2</v>
      </c>
    </row>
    <row r="1641" spans="1:19" x14ac:dyDescent="0.3">
      <c r="A1641" s="9" t="s">
        <v>3630</v>
      </c>
      <c r="B1641" s="9" t="s">
        <v>26</v>
      </c>
      <c r="C1641" s="9" t="s">
        <v>26</v>
      </c>
      <c r="D1641" s="52">
        <v>46201</v>
      </c>
      <c r="E1641" s="48">
        <v>0.76597222222222217</v>
      </c>
      <c r="F1641" s="48">
        <v>0.77361111111111114</v>
      </c>
      <c r="G1641" s="43">
        <f>(F1641-E1641)*1440</f>
        <v>11.000000000000121</v>
      </c>
      <c r="H1641" s="9" t="s">
        <v>4116</v>
      </c>
      <c r="I1641" s="9" t="s">
        <v>243</v>
      </c>
      <c r="J1641" s="44">
        <v>6.9</v>
      </c>
      <c r="K1641" s="60">
        <v>5.88</v>
      </c>
      <c r="L1641" s="56">
        <v>4.41</v>
      </c>
      <c r="M1641" s="14">
        <f>K1641-L1641</f>
        <v>1.4699999999999998</v>
      </c>
      <c r="N1641" s="15">
        <f>IFERROR(M1641/K1641,0)</f>
        <v>0.24999999999999997</v>
      </c>
      <c r="O1641" s="14">
        <f>IFERROR(L1641/J1641,0)</f>
        <v>0.63913043478260867</v>
      </c>
      <c r="P1641" s="14">
        <f>IFERROR(L1641/G1641,0)</f>
        <v>0.4009090909090865</v>
      </c>
    </row>
    <row r="1642" spans="1:19" x14ac:dyDescent="0.3">
      <c r="A1642" s="9" t="s">
        <v>3631</v>
      </c>
      <c r="B1642" s="9" t="s">
        <v>26</v>
      </c>
      <c r="C1642" s="9" t="s">
        <v>26</v>
      </c>
      <c r="D1642" s="52">
        <v>46201</v>
      </c>
      <c r="E1642" s="48">
        <v>0.79375000000000007</v>
      </c>
      <c r="F1642" s="48">
        <v>0.80069444444444438</v>
      </c>
      <c r="G1642" s="43">
        <f>(F1642-E1642)*1440</f>
        <v>9.9999999999998046</v>
      </c>
      <c r="H1642" s="9" t="s">
        <v>4117</v>
      </c>
      <c r="I1642" s="9" t="s">
        <v>4118</v>
      </c>
      <c r="J1642" s="44">
        <v>6.8</v>
      </c>
      <c r="K1642" s="60">
        <v>4.0199999999999996</v>
      </c>
      <c r="L1642" s="56">
        <v>3.76</v>
      </c>
      <c r="M1642" s="14">
        <f>K1642-L1642</f>
        <v>0.25999999999999979</v>
      </c>
      <c r="N1642" s="15">
        <f>IFERROR(M1642/K1642,0)</f>
        <v>6.4676616915422841E-2</v>
      </c>
      <c r="O1642" s="14">
        <f>IFERROR(L1642/J1642,0)</f>
        <v>0.55294117647058827</v>
      </c>
      <c r="P1642" s="14">
        <f>IFERROR(L1642/G1642,0)</f>
        <v>0.37600000000000733</v>
      </c>
    </row>
    <row r="1643" spans="1:19" x14ac:dyDescent="0.3">
      <c r="A1643" s="9" t="s">
        <v>3632</v>
      </c>
      <c r="B1643" s="9" t="s">
        <v>26</v>
      </c>
      <c r="C1643" s="9" t="s">
        <v>27</v>
      </c>
      <c r="D1643" s="52">
        <v>46201</v>
      </c>
      <c r="E1643" s="48">
        <v>0.80486111111111114</v>
      </c>
      <c r="F1643" s="48">
        <v>0.81805555555555554</v>
      </c>
      <c r="G1643" s="43">
        <f>(F1643-E1643)*1440</f>
        <v>18.999999999999932</v>
      </c>
      <c r="H1643" s="9" t="s">
        <v>4118</v>
      </c>
      <c r="I1643" s="9" t="s">
        <v>3417</v>
      </c>
      <c r="J1643" s="44">
        <v>9.3000000000000007</v>
      </c>
      <c r="K1643" s="60">
        <v>5.91</v>
      </c>
      <c r="L1643" s="56">
        <v>4.93</v>
      </c>
      <c r="M1643" s="14">
        <f>K1643-L1643</f>
        <v>0.98000000000000043</v>
      </c>
      <c r="N1643" s="15">
        <f>IFERROR(M1643/K1643,0)</f>
        <v>0.16582064297800345</v>
      </c>
      <c r="O1643" s="14">
        <f>IFERROR(L1643/J1643,0)</f>
        <v>0.53010752688172036</v>
      </c>
      <c r="P1643" s="14">
        <f>IFERROR(L1643/G1643,0)</f>
        <v>0.25947368421052724</v>
      </c>
    </row>
    <row r="1644" spans="1:19" x14ac:dyDescent="0.3">
      <c r="A1644" s="9" t="s">
        <v>3633</v>
      </c>
      <c r="B1644" s="9" t="s">
        <v>26</v>
      </c>
      <c r="C1644" s="9" t="s">
        <v>26</v>
      </c>
      <c r="D1644" s="52">
        <v>46201</v>
      </c>
      <c r="E1644" s="48">
        <v>0.84444444444444444</v>
      </c>
      <c r="F1644" s="48">
        <v>0.85486111111111107</v>
      </c>
      <c r="G1644" s="43">
        <f>(F1644-E1644)*1440</f>
        <v>14.999999999999947</v>
      </c>
      <c r="H1644" s="9" t="s">
        <v>589</v>
      </c>
      <c r="I1644" s="9" t="s">
        <v>4119</v>
      </c>
      <c r="J1644" s="44">
        <v>8.9</v>
      </c>
      <c r="K1644" s="60">
        <v>9.39</v>
      </c>
      <c r="L1644" s="56">
        <v>7.04</v>
      </c>
      <c r="M1644" s="14">
        <f>K1644-L1644</f>
        <v>2.3500000000000005</v>
      </c>
      <c r="N1644" s="15">
        <f>IFERROR(M1644/K1644,0)</f>
        <v>0.25026624068157621</v>
      </c>
      <c r="O1644" s="14">
        <f>IFERROR(L1644/J1644,0)</f>
        <v>0.79101123595505618</v>
      </c>
      <c r="P1644" s="14">
        <f>IFERROR(L1644/G1644,0)</f>
        <v>0.46933333333333499</v>
      </c>
    </row>
    <row r="1645" spans="1:19" x14ac:dyDescent="0.3">
      <c r="A1645" s="9" t="s">
        <v>3634</v>
      </c>
      <c r="B1645" s="9" t="s">
        <v>18</v>
      </c>
      <c r="C1645" s="9" t="s">
        <v>184</v>
      </c>
      <c r="D1645" s="52">
        <v>46201</v>
      </c>
      <c r="E1645" s="48">
        <v>0.58750000000000002</v>
      </c>
      <c r="F1645" s="48">
        <v>0.59236111111111112</v>
      </c>
      <c r="G1645" s="43">
        <f>(F1645-E1645)*1440</f>
        <v>6.9999999999999751</v>
      </c>
      <c r="H1645" s="9" t="s">
        <v>1945</v>
      </c>
      <c r="I1645" s="9" t="s">
        <v>698</v>
      </c>
      <c r="J1645" s="44">
        <v>3.23</v>
      </c>
      <c r="K1645" s="60">
        <v>4.93</v>
      </c>
      <c r="L1645" s="56">
        <v>3.63</v>
      </c>
      <c r="M1645" s="14">
        <f>K1645-L1645</f>
        <v>1.2999999999999998</v>
      </c>
      <c r="N1645" s="15">
        <f>IFERROR(M1645/K1645,0)</f>
        <v>0.26369168356997968</v>
      </c>
      <c r="O1645" s="14">
        <f>IFERROR(L1645/J1645,0)</f>
        <v>1.1238390092879256</v>
      </c>
      <c r="P1645" s="14">
        <f>IFERROR(L1645/G1645,0)</f>
        <v>0.51857142857143035</v>
      </c>
    </row>
    <row r="1646" spans="1:19" x14ac:dyDescent="0.3">
      <c r="A1646" s="9" t="s">
        <v>3635</v>
      </c>
      <c r="B1646" s="9" t="s">
        <v>18</v>
      </c>
      <c r="C1646" s="9" t="s">
        <v>196</v>
      </c>
      <c r="D1646" s="52">
        <v>46201</v>
      </c>
      <c r="E1646" s="48">
        <v>0.59236111111111112</v>
      </c>
      <c r="F1646" s="48">
        <v>0.59861111111111109</v>
      </c>
      <c r="G1646" s="43">
        <f>(F1646-E1646)*1440</f>
        <v>8.999999999999968</v>
      </c>
      <c r="H1646" s="9" t="s">
        <v>698</v>
      </c>
      <c r="I1646" s="9" t="s">
        <v>4120</v>
      </c>
      <c r="J1646" s="44">
        <v>3.13</v>
      </c>
      <c r="K1646" s="60">
        <v>5.98</v>
      </c>
      <c r="L1646" s="56">
        <v>4.04</v>
      </c>
      <c r="M1646" s="14">
        <f>K1646-L1646</f>
        <v>1.9400000000000004</v>
      </c>
      <c r="N1646" s="15">
        <f>IFERROR(M1646/K1646,0)</f>
        <v>0.32441471571906361</v>
      </c>
      <c r="O1646" s="14">
        <f>IFERROR(L1646/J1646,0)</f>
        <v>1.2907348242811503</v>
      </c>
      <c r="P1646" s="14">
        <f>IFERROR(L1646/G1646,0)</f>
        <v>0.4488888888888905</v>
      </c>
      <c r="S1646" s="61">
        <v>1</v>
      </c>
    </row>
    <row r="1647" spans="1:19" x14ac:dyDescent="0.3">
      <c r="A1647" s="9" t="s">
        <v>3636</v>
      </c>
      <c r="B1647" s="9" t="s">
        <v>18</v>
      </c>
      <c r="C1647" s="9" t="s">
        <v>184</v>
      </c>
      <c r="D1647" s="52">
        <v>46201</v>
      </c>
      <c r="E1647" s="48">
        <v>0.62569444444444444</v>
      </c>
      <c r="F1647" s="48">
        <v>0.63263888888888886</v>
      </c>
      <c r="G1647" s="43">
        <f>(F1647-E1647)*1440</f>
        <v>9.9999999999999645</v>
      </c>
      <c r="H1647" s="9" t="s">
        <v>4121</v>
      </c>
      <c r="I1647" s="9" t="s">
        <v>4122</v>
      </c>
      <c r="J1647" s="44">
        <v>7</v>
      </c>
      <c r="K1647" s="60">
        <v>7.95</v>
      </c>
      <c r="L1647" s="56">
        <v>5.17</v>
      </c>
      <c r="M1647" s="14">
        <f>K1647-L1647</f>
        <v>2.7800000000000002</v>
      </c>
      <c r="N1647" s="15">
        <f>IFERROR(M1647/K1647,0)</f>
        <v>0.349685534591195</v>
      </c>
      <c r="O1647" s="14">
        <f>IFERROR(L1647/J1647,0)</f>
        <v>0.73857142857142855</v>
      </c>
      <c r="P1647" s="14">
        <f>IFERROR(L1647/G1647,0)</f>
        <v>0.51700000000000179</v>
      </c>
      <c r="S1647" s="61">
        <v>0.5</v>
      </c>
    </row>
    <row r="1648" spans="1:19" x14ac:dyDescent="0.3">
      <c r="A1648" s="9" t="s">
        <v>3637</v>
      </c>
      <c r="B1648" s="9" t="s">
        <v>18</v>
      </c>
      <c r="C1648" s="9" t="s">
        <v>184</v>
      </c>
      <c r="D1648" s="52">
        <v>46201</v>
      </c>
      <c r="E1648" s="48">
        <v>0.63541666666666663</v>
      </c>
      <c r="F1648" s="48">
        <v>0.6430555555555556</v>
      </c>
      <c r="G1648" s="43">
        <f>(F1648-E1648)*1440</f>
        <v>11.000000000000121</v>
      </c>
      <c r="H1648" s="9" t="s">
        <v>4123</v>
      </c>
      <c r="I1648" s="9" t="s">
        <v>582</v>
      </c>
      <c r="J1648" s="44">
        <v>6.8</v>
      </c>
      <c r="K1648" s="60">
        <v>5.96</v>
      </c>
      <c r="L1648" s="56">
        <v>4.53</v>
      </c>
      <c r="M1648" s="14">
        <f>K1648-L1648</f>
        <v>1.4299999999999997</v>
      </c>
      <c r="N1648" s="15">
        <f>IFERROR(M1648/K1648,0)</f>
        <v>0.23993288590604023</v>
      </c>
      <c r="O1648" s="14">
        <f>IFERROR(L1648/J1648,0)</f>
        <v>0.66617647058823537</v>
      </c>
      <c r="P1648" s="14">
        <f>IFERROR(L1648/G1648,0)</f>
        <v>0.41181818181817731</v>
      </c>
    </row>
    <row r="1649" spans="1:19" x14ac:dyDescent="0.3">
      <c r="A1649" s="9" t="s">
        <v>3638</v>
      </c>
      <c r="B1649" s="9" t="s">
        <v>18</v>
      </c>
      <c r="C1649" s="9" t="s">
        <v>184</v>
      </c>
      <c r="D1649" s="52">
        <v>46201</v>
      </c>
      <c r="E1649" s="48">
        <v>0.67291666666666661</v>
      </c>
      <c r="F1649" s="48">
        <v>0.68402777777777779</v>
      </c>
      <c r="G1649" s="43">
        <f>(F1649-E1649)*1440</f>
        <v>16.000000000000103</v>
      </c>
      <c r="H1649" s="9" t="s">
        <v>4124</v>
      </c>
      <c r="I1649" s="9" t="s">
        <v>3341</v>
      </c>
      <c r="J1649" s="44">
        <v>10.68</v>
      </c>
      <c r="K1649" s="60">
        <v>6.95</v>
      </c>
      <c r="L1649" s="56">
        <v>6.04</v>
      </c>
      <c r="M1649" s="14">
        <f>K1649-L1649</f>
        <v>0.91000000000000014</v>
      </c>
      <c r="N1649" s="15">
        <f>IFERROR(M1649/K1649,0)</f>
        <v>0.13093525179856116</v>
      </c>
      <c r="O1649" s="14">
        <f>IFERROR(L1649/J1649,0)</f>
        <v>0.56554307116104874</v>
      </c>
      <c r="P1649" s="14">
        <f>IFERROR(L1649/G1649,0)</f>
        <v>0.37749999999999756</v>
      </c>
      <c r="S1649" s="61">
        <v>1</v>
      </c>
    </row>
    <row r="1650" spans="1:19" x14ac:dyDescent="0.3">
      <c r="A1650" s="9" t="s">
        <v>3639</v>
      </c>
      <c r="B1650" s="9" t="s">
        <v>18</v>
      </c>
      <c r="C1650" s="9" t="s">
        <v>184</v>
      </c>
      <c r="D1650" s="52">
        <v>46201</v>
      </c>
      <c r="E1650" s="48">
        <v>0.74583333333333324</v>
      </c>
      <c r="F1650" s="48">
        <v>0.75694444444444453</v>
      </c>
      <c r="G1650" s="43">
        <f>(F1650-E1650)*1440</f>
        <v>16.000000000000263</v>
      </c>
      <c r="H1650" s="9" t="s">
        <v>214</v>
      </c>
      <c r="I1650" s="9" t="s">
        <v>4116</v>
      </c>
      <c r="J1650" s="44">
        <v>9.6</v>
      </c>
      <c r="K1650" s="60">
        <v>7.93</v>
      </c>
      <c r="L1650" s="56">
        <v>5.15</v>
      </c>
      <c r="M1650" s="14">
        <f>K1650-L1650</f>
        <v>2.7799999999999994</v>
      </c>
      <c r="N1650" s="15">
        <f>IFERROR(M1650/K1650,0)</f>
        <v>0.35056746532156363</v>
      </c>
      <c r="O1650" s="14">
        <f>IFERROR(L1650/J1650,0)</f>
        <v>0.53645833333333337</v>
      </c>
      <c r="P1650" s="14">
        <f>IFERROR(L1650/G1650,0)</f>
        <v>0.32187499999999475</v>
      </c>
    </row>
    <row r="1651" spans="1:19" x14ac:dyDescent="0.3">
      <c r="A1651" s="9" t="s">
        <v>3640</v>
      </c>
      <c r="B1651" s="9" t="s">
        <v>18</v>
      </c>
      <c r="C1651" s="9" t="s">
        <v>184</v>
      </c>
      <c r="D1651" s="52">
        <v>46201</v>
      </c>
      <c r="E1651" s="48">
        <v>0.77083333333333337</v>
      </c>
      <c r="F1651" s="48">
        <v>0.77847222222222223</v>
      </c>
      <c r="G1651" s="43">
        <f>(F1651-E1651)*1440</f>
        <v>10.999999999999961</v>
      </c>
      <c r="H1651" s="9" t="s">
        <v>776</v>
      </c>
      <c r="I1651" s="9" t="s">
        <v>4125</v>
      </c>
      <c r="J1651" s="44">
        <v>9.14</v>
      </c>
      <c r="K1651" s="60">
        <v>5.94</v>
      </c>
      <c r="L1651" s="56">
        <v>5.2</v>
      </c>
      <c r="M1651" s="14">
        <f>K1651-L1651</f>
        <v>0.74000000000000021</v>
      </c>
      <c r="N1651" s="15">
        <f>IFERROR(M1651/K1651,0)</f>
        <v>0.12457912457912461</v>
      </c>
      <c r="O1651" s="14">
        <f>IFERROR(L1651/J1651,0)</f>
        <v>0.56892778993435444</v>
      </c>
      <c r="P1651" s="14">
        <f>IFERROR(L1651/G1651,0)</f>
        <v>0.47272727272727444</v>
      </c>
    </row>
    <row r="1652" spans="1:19" x14ac:dyDescent="0.3">
      <c r="A1652" s="9" t="s">
        <v>3641</v>
      </c>
      <c r="B1652" s="9" t="s">
        <v>18</v>
      </c>
      <c r="C1652" s="9" t="s">
        <v>196</v>
      </c>
      <c r="D1652" s="52">
        <v>46201</v>
      </c>
      <c r="E1652" s="48">
        <v>0.83124999999999993</v>
      </c>
      <c r="F1652" s="48">
        <v>0.83680555555555547</v>
      </c>
      <c r="G1652" s="43">
        <f>(F1652-E1652)*1440</f>
        <v>7.9999999999999716</v>
      </c>
      <c r="H1652" s="9" t="s">
        <v>2844</v>
      </c>
      <c r="I1652" s="9" t="s">
        <v>2888</v>
      </c>
      <c r="J1652" s="44">
        <v>3.46</v>
      </c>
      <c r="K1652" s="60">
        <v>5.98</v>
      </c>
      <c r="L1652" s="56">
        <v>4.12</v>
      </c>
      <c r="M1652" s="14">
        <f>K1652-L1652</f>
        <v>1.8600000000000003</v>
      </c>
      <c r="N1652" s="15">
        <f>IFERROR(M1652/K1652,0)</f>
        <v>0.31103678929765888</v>
      </c>
      <c r="O1652" s="14">
        <f>IFERROR(L1652/J1652,0)</f>
        <v>1.1907514450867052</v>
      </c>
      <c r="P1652" s="14">
        <f>IFERROR(L1652/G1652,0)</f>
        <v>0.51500000000000179</v>
      </c>
    </row>
    <row r="1653" spans="1:19" x14ac:dyDescent="0.3">
      <c r="A1653" s="9" t="s">
        <v>3642</v>
      </c>
      <c r="B1653" s="9" t="s">
        <v>18</v>
      </c>
      <c r="C1653" s="9" t="s">
        <v>184</v>
      </c>
      <c r="D1653" s="52">
        <v>46202</v>
      </c>
      <c r="E1653" s="48">
        <v>0.62083333333333335</v>
      </c>
      <c r="F1653" s="48">
        <v>0.62708333333333333</v>
      </c>
      <c r="G1653" s="43">
        <f>(F1653-E1653)*1440</f>
        <v>8.999999999999968</v>
      </c>
      <c r="H1653" s="9" t="s">
        <v>214</v>
      </c>
      <c r="I1653" s="9" t="s">
        <v>589</v>
      </c>
      <c r="J1653" s="44">
        <v>3.98</v>
      </c>
      <c r="K1653" s="60">
        <v>5.93</v>
      </c>
      <c r="L1653" s="56">
        <v>4.0999999999999996</v>
      </c>
      <c r="M1653" s="14">
        <f>K1653-L1653</f>
        <v>1.83</v>
      </c>
      <c r="N1653" s="15">
        <f>IFERROR(M1653/K1653,0)</f>
        <v>0.30860033726812819</v>
      </c>
      <c r="O1653" s="14">
        <f>IFERROR(L1653/J1653,0)</f>
        <v>1.0301507537688441</v>
      </c>
      <c r="P1653" s="14">
        <f>IFERROR(L1653/G1653,0)</f>
        <v>0.45555555555555716</v>
      </c>
    </row>
    <row r="1654" spans="1:19" x14ac:dyDescent="0.3">
      <c r="A1654" s="9" t="s">
        <v>3643</v>
      </c>
      <c r="B1654" s="9" t="s">
        <v>18</v>
      </c>
      <c r="C1654" s="9" t="s">
        <v>196</v>
      </c>
      <c r="D1654" s="52">
        <v>46202</v>
      </c>
      <c r="E1654" s="48">
        <v>0.63124999999999998</v>
      </c>
      <c r="F1654" s="48">
        <v>0.64097222222222217</v>
      </c>
      <c r="G1654" s="43">
        <f>(F1654-E1654)*1440</f>
        <v>13.99999999999995</v>
      </c>
      <c r="H1654" s="9" t="s">
        <v>4126</v>
      </c>
      <c r="I1654" s="9" t="s">
        <v>1296</v>
      </c>
      <c r="J1654" s="44">
        <v>4.55</v>
      </c>
      <c r="K1654" s="60">
        <v>9.98</v>
      </c>
      <c r="L1654" s="56">
        <v>6.75</v>
      </c>
      <c r="M1654" s="14">
        <f>K1654-L1654</f>
        <v>3.2300000000000004</v>
      </c>
      <c r="N1654" s="15">
        <f>IFERROR(M1654/K1654,0)</f>
        <v>0.3236472945891784</v>
      </c>
      <c r="O1654" s="14">
        <f>IFERROR(L1654/J1654,0)</f>
        <v>1.4835164835164836</v>
      </c>
      <c r="P1654" s="14">
        <f>IFERROR(L1654/G1654,0)</f>
        <v>0.48214285714285887</v>
      </c>
      <c r="S1654" s="61">
        <v>0.5</v>
      </c>
    </row>
    <row r="1655" spans="1:19" x14ac:dyDescent="0.3">
      <c r="A1655" s="9" t="s">
        <v>3644</v>
      </c>
      <c r="B1655" s="9" t="s">
        <v>18</v>
      </c>
      <c r="C1655" s="9" t="s">
        <v>184</v>
      </c>
      <c r="D1655" s="52">
        <v>46202</v>
      </c>
      <c r="E1655" s="48">
        <v>0.70486111111111116</v>
      </c>
      <c r="F1655" s="48">
        <v>0.72291666666666676</v>
      </c>
      <c r="G1655" s="43">
        <f>(F1655-E1655)*1440</f>
        <v>26.000000000000068</v>
      </c>
      <c r="H1655" s="9" t="s">
        <v>4127</v>
      </c>
      <c r="I1655" s="9" t="s">
        <v>4128</v>
      </c>
      <c r="J1655" s="44">
        <v>12.14</v>
      </c>
      <c r="K1655" s="60">
        <v>8.94</v>
      </c>
      <c r="L1655" s="56">
        <v>5.83</v>
      </c>
      <c r="M1655" s="14">
        <f>K1655-L1655</f>
        <v>3.1099999999999994</v>
      </c>
      <c r="N1655" s="15">
        <f>IFERROR(M1655/K1655,0)</f>
        <v>0.34787472035794181</v>
      </c>
      <c r="O1655" s="14">
        <f>IFERROR(L1655/J1655,0)</f>
        <v>0.48023064250411862</v>
      </c>
      <c r="P1655" s="14">
        <f>IFERROR(L1655/G1655,0)</f>
        <v>0.22423076923076865</v>
      </c>
    </row>
    <row r="1656" spans="1:19" x14ac:dyDescent="0.3">
      <c r="A1656" s="9" t="s">
        <v>3645</v>
      </c>
      <c r="B1656" s="9" t="s">
        <v>18</v>
      </c>
      <c r="C1656" s="9" t="s">
        <v>184</v>
      </c>
      <c r="D1656" s="52">
        <v>46202</v>
      </c>
      <c r="E1656" s="48">
        <v>0.72777777777777775</v>
      </c>
      <c r="F1656" s="48">
        <v>0.73888888888888893</v>
      </c>
      <c r="G1656" s="43">
        <f>(F1656-E1656)*1440</f>
        <v>16.000000000000103</v>
      </c>
      <c r="H1656" s="9" t="s">
        <v>4128</v>
      </c>
      <c r="I1656" s="9" t="s">
        <v>4126</v>
      </c>
      <c r="J1656" s="44">
        <v>8.2100000000000009</v>
      </c>
      <c r="K1656" s="60">
        <v>13.96</v>
      </c>
      <c r="L1656" s="56">
        <v>9.4600000000000009</v>
      </c>
      <c r="M1656" s="14">
        <f>K1656-L1656</f>
        <v>4.5</v>
      </c>
      <c r="N1656" s="15">
        <f>IFERROR(M1656/K1656,0)</f>
        <v>0.32234957020057303</v>
      </c>
      <c r="O1656" s="14">
        <f>IFERROR(L1656/J1656,0)</f>
        <v>1.1522533495736906</v>
      </c>
      <c r="P1656" s="14">
        <f>IFERROR(L1656/G1656,0)</f>
        <v>0.59124999999999628</v>
      </c>
    </row>
    <row r="1657" spans="1:19" x14ac:dyDescent="0.3">
      <c r="A1657" s="9" t="s">
        <v>3646</v>
      </c>
      <c r="B1657" s="9" t="s">
        <v>26</v>
      </c>
      <c r="C1657" s="9" t="s">
        <v>27</v>
      </c>
      <c r="D1657" s="52">
        <v>46202</v>
      </c>
      <c r="E1657" s="48">
        <v>0.55833333333333335</v>
      </c>
      <c r="F1657" s="48">
        <v>0.57361111111111118</v>
      </c>
      <c r="G1657" s="43">
        <f>(F1657-E1657)*1440</f>
        <v>22.000000000000082</v>
      </c>
      <c r="H1657" s="9" t="s">
        <v>4129</v>
      </c>
      <c r="I1657" s="9" t="s">
        <v>4130</v>
      </c>
      <c r="J1657" s="44">
        <v>21.3</v>
      </c>
      <c r="K1657" s="60">
        <v>12.19</v>
      </c>
      <c r="L1657" s="56">
        <v>9.14</v>
      </c>
      <c r="M1657" s="14">
        <f>K1657-L1657</f>
        <v>3.0499999999999989</v>
      </c>
      <c r="N1657" s="15">
        <f>IFERROR(M1657/K1657,0)</f>
        <v>0.25020508613617709</v>
      </c>
      <c r="O1657" s="14">
        <f>IFERROR(L1657/J1657,0)</f>
        <v>0.4291079812206573</v>
      </c>
      <c r="P1657" s="14">
        <f>IFERROR(L1657/G1657,0)</f>
        <v>0.41545454545454391</v>
      </c>
    </row>
    <row r="1658" spans="1:19" x14ac:dyDescent="0.3">
      <c r="A1658" s="9" t="s">
        <v>3647</v>
      </c>
      <c r="B1658" s="9" t="s">
        <v>26</v>
      </c>
      <c r="C1658" s="9" t="s">
        <v>27</v>
      </c>
      <c r="D1658" s="52">
        <v>46202</v>
      </c>
      <c r="E1658" s="48">
        <v>0.58402777777777781</v>
      </c>
      <c r="F1658" s="48">
        <v>0.59583333333333333</v>
      </c>
      <c r="G1658" s="43">
        <f>(F1658-E1658)*1440</f>
        <v>16.99999999999994</v>
      </c>
      <c r="H1658" s="9" t="s">
        <v>4131</v>
      </c>
      <c r="I1658" s="9" t="s">
        <v>4132</v>
      </c>
      <c r="J1658" s="44">
        <v>10.5</v>
      </c>
      <c r="K1658" s="60">
        <v>7.78</v>
      </c>
      <c r="L1658" s="56">
        <v>5.83</v>
      </c>
      <c r="M1658" s="14">
        <f>K1658-L1658</f>
        <v>1.9500000000000002</v>
      </c>
      <c r="N1658" s="15">
        <f>IFERROR(M1658/K1658,0)</f>
        <v>0.25064267352185093</v>
      </c>
      <c r="O1658" s="14">
        <f>IFERROR(L1658/J1658,0)</f>
        <v>0.5552380952380952</v>
      </c>
      <c r="P1658" s="14">
        <f>IFERROR(L1658/G1658,0)</f>
        <v>0.34294117647058947</v>
      </c>
    </row>
    <row r="1659" spans="1:19" x14ac:dyDescent="0.3">
      <c r="A1659" s="9" t="s">
        <v>3648</v>
      </c>
      <c r="B1659" s="9" t="s">
        <v>26</v>
      </c>
      <c r="C1659" s="9" t="s">
        <v>26</v>
      </c>
      <c r="D1659" s="52">
        <v>46202</v>
      </c>
      <c r="E1659" s="48">
        <v>0.60138888888888886</v>
      </c>
      <c r="F1659" s="48">
        <v>0.61111111111111105</v>
      </c>
      <c r="G1659" s="43">
        <f>(F1659-E1659)*1440</f>
        <v>13.99999999999995</v>
      </c>
      <c r="H1659" s="9" t="s">
        <v>4133</v>
      </c>
      <c r="I1659" s="9" t="s">
        <v>1367</v>
      </c>
      <c r="J1659" s="44">
        <v>6.1</v>
      </c>
      <c r="K1659" s="60">
        <v>8.4700000000000006</v>
      </c>
      <c r="L1659" s="56">
        <v>6.6</v>
      </c>
      <c r="M1659" s="14">
        <f>K1659-L1659</f>
        <v>1.870000000000001</v>
      </c>
      <c r="N1659" s="15">
        <f>IFERROR(M1659/K1659,0)</f>
        <v>0.22077922077922088</v>
      </c>
      <c r="O1659" s="14">
        <f>IFERROR(L1659/J1659,0)</f>
        <v>1.0819672131147542</v>
      </c>
      <c r="P1659" s="14">
        <f>IFERROR(L1659/G1659,0)</f>
        <v>0.47142857142857308</v>
      </c>
    </row>
    <row r="1660" spans="1:19" x14ac:dyDescent="0.3">
      <c r="A1660" s="9" t="s">
        <v>3649</v>
      </c>
      <c r="B1660" s="9" t="s">
        <v>26</v>
      </c>
      <c r="C1660" s="9" t="s">
        <v>27</v>
      </c>
      <c r="D1660" s="52">
        <v>46202</v>
      </c>
      <c r="E1660" s="48">
        <v>0.61458333333333337</v>
      </c>
      <c r="F1660" s="48">
        <v>0.62222222222222223</v>
      </c>
      <c r="G1660" s="43">
        <f>(F1660-E1660)*1440</f>
        <v>10.999999999999961</v>
      </c>
      <c r="H1660" s="9" t="s">
        <v>1223</v>
      </c>
      <c r="I1660" s="9" t="s">
        <v>214</v>
      </c>
      <c r="J1660" s="44">
        <v>2.2999999999999998</v>
      </c>
      <c r="K1660" s="60">
        <v>5.83</v>
      </c>
      <c r="L1660" s="56">
        <v>4.37</v>
      </c>
      <c r="M1660" s="14">
        <f>K1660-L1660</f>
        <v>1.46</v>
      </c>
      <c r="N1660" s="15">
        <f>IFERROR(M1660/K1660,0)</f>
        <v>0.2504288164665523</v>
      </c>
      <c r="O1660" s="14">
        <f>IFERROR(L1660/J1660,0)</f>
        <v>1.9000000000000001</v>
      </c>
      <c r="P1660" s="14">
        <f>IFERROR(L1660/G1660,0)</f>
        <v>0.39727272727272872</v>
      </c>
      <c r="R1660" s="57">
        <v>1.93</v>
      </c>
    </row>
    <row r="1661" spans="1:19" x14ac:dyDescent="0.3">
      <c r="A1661" s="9" t="s">
        <v>3650</v>
      </c>
      <c r="B1661" s="9" t="s">
        <v>26</v>
      </c>
      <c r="C1661" s="9" t="s">
        <v>27</v>
      </c>
      <c r="D1661" s="52">
        <v>46202</v>
      </c>
      <c r="E1661" s="48">
        <v>0.65277777777777779</v>
      </c>
      <c r="F1661" s="48">
        <v>0.66319444444444442</v>
      </c>
      <c r="G1661" s="43">
        <f>(F1661-E1661)*1440</f>
        <v>14.999999999999947</v>
      </c>
      <c r="H1661" s="9" t="s">
        <v>4134</v>
      </c>
      <c r="I1661" s="9" t="s">
        <v>4135</v>
      </c>
      <c r="J1661" s="44">
        <v>7.8</v>
      </c>
      <c r="K1661" s="60">
        <v>7.55</v>
      </c>
      <c r="L1661" s="56">
        <v>6.23</v>
      </c>
      <c r="M1661" s="14">
        <f>K1661-L1661</f>
        <v>1.3199999999999994</v>
      </c>
      <c r="N1661" s="15">
        <f>IFERROR(M1661/K1661,0)</f>
        <v>0.17483443708609264</v>
      </c>
      <c r="O1661" s="14">
        <f>IFERROR(L1661/J1661,0)</f>
        <v>0.79871794871794877</v>
      </c>
      <c r="P1661" s="14">
        <f>IFERROR(L1661/G1661,0)</f>
        <v>0.41533333333333483</v>
      </c>
    </row>
    <row r="1662" spans="1:19" x14ac:dyDescent="0.3">
      <c r="A1662" s="9" t="s">
        <v>3651</v>
      </c>
      <c r="B1662" s="9" t="s">
        <v>26</v>
      </c>
      <c r="C1662" s="9" t="s">
        <v>26</v>
      </c>
      <c r="D1662" s="52">
        <v>46202</v>
      </c>
      <c r="E1662" s="48">
        <v>0.68333333333333324</v>
      </c>
      <c r="F1662" s="48">
        <v>0.69166666666666676</v>
      </c>
      <c r="G1662" s="43">
        <f>(F1662-E1662)*1440</f>
        <v>12.000000000000277</v>
      </c>
      <c r="H1662" s="9" t="s">
        <v>243</v>
      </c>
      <c r="I1662" s="9" t="s">
        <v>4136</v>
      </c>
      <c r="J1662" s="44">
        <v>5.0999999999999996</v>
      </c>
      <c r="K1662" s="60">
        <v>5.87</v>
      </c>
      <c r="L1662" s="56">
        <v>5.5</v>
      </c>
      <c r="M1662" s="14">
        <f>K1662-L1662</f>
        <v>0.37000000000000011</v>
      </c>
      <c r="N1662" s="15">
        <f>IFERROR(M1662/K1662,0)</f>
        <v>6.3032367972742781E-2</v>
      </c>
      <c r="O1662" s="14">
        <f>IFERROR(L1662/J1662,0)</f>
        <v>1.0784313725490198</v>
      </c>
      <c r="P1662" s="14">
        <f>IFERROR(L1662/G1662,0)</f>
        <v>0.45833333333332277</v>
      </c>
    </row>
    <row r="1663" spans="1:19" x14ac:dyDescent="0.3">
      <c r="A1663" s="9" t="s">
        <v>3652</v>
      </c>
      <c r="B1663" s="9" t="s">
        <v>26</v>
      </c>
      <c r="C1663" s="9" t="s">
        <v>26</v>
      </c>
      <c r="D1663" s="52">
        <v>46202</v>
      </c>
      <c r="E1663" s="48">
        <v>0.69305555555555554</v>
      </c>
      <c r="F1663" s="48">
        <v>0.70277777777777783</v>
      </c>
      <c r="G1663" s="43">
        <f>(F1663-E1663)*1440</f>
        <v>14.00000000000011</v>
      </c>
      <c r="H1663" s="9" t="s">
        <v>4137</v>
      </c>
      <c r="I1663" s="9" t="s">
        <v>4138</v>
      </c>
      <c r="J1663" s="44">
        <v>7.9</v>
      </c>
      <c r="K1663" s="60">
        <v>7.72</v>
      </c>
      <c r="L1663" s="56">
        <v>6.58</v>
      </c>
      <c r="M1663" s="14">
        <f>K1663-L1663</f>
        <v>1.1399999999999997</v>
      </c>
      <c r="N1663" s="15">
        <f>IFERROR(M1663/K1663,0)</f>
        <v>0.14766839378238339</v>
      </c>
      <c r="O1663" s="14">
        <f>IFERROR(L1663/J1663,0)</f>
        <v>0.83291139240506329</v>
      </c>
      <c r="P1663" s="14">
        <f>IFERROR(L1663/G1663,0)</f>
        <v>0.46999999999999631</v>
      </c>
      <c r="R1663" s="57">
        <v>2.0499999999999998</v>
      </c>
    </row>
    <row r="1664" spans="1:19" x14ac:dyDescent="0.3">
      <c r="A1664" s="9" t="s">
        <v>3653</v>
      </c>
      <c r="B1664" s="9" t="s">
        <v>26</v>
      </c>
      <c r="C1664" s="9" t="s">
        <v>26</v>
      </c>
      <c r="D1664" s="52">
        <v>46202</v>
      </c>
      <c r="E1664" s="48">
        <v>0.75555555555555554</v>
      </c>
      <c r="F1664" s="48">
        <v>0.76388888888888884</v>
      </c>
      <c r="G1664" s="43">
        <f>(F1664-E1664)*1440</f>
        <v>11.999999999999957</v>
      </c>
      <c r="H1664" s="9" t="s">
        <v>2627</v>
      </c>
      <c r="I1664" s="9" t="s">
        <v>2152</v>
      </c>
      <c r="J1664" s="44">
        <v>5.7</v>
      </c>
      <c r="K1664" s="60">
        <v>8.91</v>
      </c>
      <c r="L1664" s="56">
        <v>7.35</v>
      </c>
      <c r="M1664" s="14">
        <f>K1664-L1664</f>
        <v>1.5600000000000005</v>
      </c>
      <c r="N1664" s="15">
        <f>IFERROR(M1664/K1664,0)</f>
        <v>0.17508417508417515</v>
      </c>
      <c r="O1664" s="14">
        <f>IFERROR(L1664/J1664,0)</f>
        <v>1.2894736842105261</v>
      </c>
      <c r="P1664" s="14">
        <f>IFERROR(L1664/G1664,0)</f>
        <v>0.61250000000000215</v>
      </c>
    </row>
    <row r="1665" spans="1:19" x14ac:dyDescent="0.3">
      <c r="A1665" s="9" t="s">
        <v>3654</v>
      </c>
      <c r="B1665" s="9" t="s">
        <v>26</v>
      </c>
      <c r="C1665" s="9" t="s">
        <v>26</v>
      </c>
      <c r="D1665" s="52">
        <v>46202</v>
      </c>
      <c r="E1665" s="48">
        <v>0.7680555555555556</v>
      </c>
      <c r="F1665" s="48">
        <v>0.78749999999999998</v>
      </c>
      <c r="G1665" s="43">
        <f>(F1665-E1665)*1440</f>
        <v>27.999999999999901</v>
      </c>
      <c r="H1665" s="9" t="s">
        <v>4139</v>
      </c>
      <c r="I1665" s="9" t="s">
        <v>818</v>
      </c>
      <c r="J1665" s="44">
        <v>6.5</v>
      </c>
      <c r="K1665" s="60">
        <v>6.82</v>
      </c>
      <c r="L1665" s="56">
        <v>7.24</v>
      </c>
      <c r="M1665" s="14">
        <f>K1665-L1665</f>
        <v>-0.41999999999999993</v>
      </c>
      <c r="N1665" s="15">
        <f>IFERROR(M1665/K1665,0)</f>
        <v>-6.1583577712609958E-2</v>
      </c>
      <c r="O1665" s="14">
        <f>IFERROR(L1665/J1665,0)</f>
        <v>1.1138461538461539</v>
      </c>
      <c r="P1665" s="14">
        <f>IFERROR(L1665/G1665,0)</f>
        <v>0.25857142857142951</v>
      </c>
      <c r="S1665" s="61">
        <v>2</v>
      </c>
    </row>
    <row r="1666" spans="1:19" x14ac:dyDescent="0.3">
      <c r="A1666" s="9" t="s">
        <v>3655</v>
      </c>
      <c r="B1666" s="9" t="s">
        <v>26</v>
      </c>
      <c r="C1666" s="9" t="s">
        <v>27</v>
      </c>
      <c r="D1666" s="52">
        <v>46202</v>
      </c>
      <c r="E1666" s="48">
        <v>0.80347222222222225</v>
      </c>
      <c r="F1666" s="48">
        <v>0.81388888888888899</v>
      </c>
      <c r="G1666" s="43">
        <f>(F1666-E1666)*1440</f>
        <v>15.000000000000107</v>
      </c>
      <c r="H1666" s="9" t="s">
        <v>818</v>
      </c>
      <c r="I1666" s="9" t="s">
        <v>4140</v>
      </c>
      <c r="J1666" s="44">
        <v>11.1</v>
      </c>
      <c r="K1666" s="60">
        <v>8.69</v>
      </c>
      <c r="L1666" s="56">
        <v>6.52</v>
      </c>
      <c r="M1666" s="14">
        <f>K1666-L1666</f>
        <v>2.17</v>
      </c>
      <c r="N1666" s="15">
        <f>IFERROR(M1666/K1666,0)</f>
        <v>0.24971231300345226</v>
      </c>
      <c r="O1666" s="14">
        <f>IFERROR(L1666/J1666,0)</f>
        <v>0.58738738738738738</v>
      </c>
      <c r="P1666" s="14">
        <f>IFERROR(L1666/G1666,0)</f>
        <v>0.43466666666666354</v>
      </c>
    </row>
    <row r="1667" spans="1:19" x14ac:dyDescent="0.3">
      <c r="A1667" s="9" t="s">
        <v>3656</v>
      </c>
      <c r="B1667" s="9" t="s">
        <v>26</v>
      </c>
      <c r="C1667" s="9" t="s">
        <v>27</v>
      </c>
      <c r="D1667" s="52">
        <v>46202</v>
      </c>
      <c r="E1667" s="48">
        <v>0.81736111111111109</v>
      </c>
      <c r="F1667" s="48">
        <v>0.8354166666666667</v>
      </c>
      <c r="G1667" s="43">
        <f>(F1667-E1667)*1440</f>
        <v>26.000000000000068</v>
      </c>
      <c r="H1667" s="9" t="s">
        <v>4141</v>
      </c>
      <c r="I1667" s="9" t="s">
        <v>219</v>
      </c>
      <c r="J1667" s="44">
        <v>16.100000000000001</v>
      </c>
      <c r="K1667" s="60">
        <v>11.04</v>
      </c>
      <c r="L1667" s="56">
        <v>8.2799999999999994</v>
      </c>
      <c r="M1667" s="14">
        <f>K1667-L1667</f>
        <v>2.76</v>
      </c>
      <c r="N1667" s="15">
        <f>IFERROR(M1667/K1667,0)</f>
        <v>0.25</v>
      </c>
      <c r="O1667" s="14">
        <f>IFERROR(L1667/J1667,0)</f>
        <v>0.51428571428571423</v>
      </c>
      <c r="P1667" s="14">
        <f>IFERROR(L1667/G1667,0)</f>
        <v>0.31846153846153763</v>
      </c>
    </row>
    <row r="1668" spans="1:19" x14ac:dyDescent="0.3">
      <c r="A1668" s="9" t="s">
        <v>3657</v>
      </c>
      <c r="B1668" s="9" t="s">
        <v>26</v>
      </c>
      <c r="C1668" s="9" t="s">
        <v>27</v>
      </c>
      <c r="D1668" s="52">
        <v>46202</v>
      </c>
      <c r="E1668" s="48">
        <v>0.84166666666666667</v>
      </c>
      <c r="F1668" s="48">
        <v>0.85833333333333339</v>
      </c>
      <c r="G1668" s="43">
        <f>(F1668-E1668)*1440</f>
        <v>24.000000000000075</v>
      </c>
      <c r="H1668" s="9" t="s">
        <v>228</v>
      </c>
      <c r="I1668" s="9" t="s">
        <v>4142</v>
      </c>
      <c r="J1668" s="44">
        <v>8.1999999999999993</v>
      </c>
      <c r="K1668" s="60">
        <v>8.15</v>
      </c>
      <c r="L1668" s="56">
        <v>6.72</v>
      </c>
      <c r="M1668" s="14">
        <f>K1668-L1668</f>
        <v>1.4300000000000006</v>
      </c>
      <c r="N1668" s="15">
        <f>IFERROR(M1668/K1668,0)</f>
        <v>0.17546012269938657</v>
      </c>
      <c r="O1668" s="14">
        <f>IFERROR(L1668/J1668,0)</f>
        <v>0.81951219512195128</v>
      </c>
      <c r="P1668" s="14">
        <f>IFERROR(L1668/G1668,0)</f>
        <v>0.27999999999999914</v>
      </c>
    </row>
    <row r="1669" spans="1:19" x14ac:dyDescent="0.3">
      <c r="A1669" s="9" t="s">
        <v>3658</v>
      </c>
      <c r="B1669" s="9" t="s">
        <v>26</v>
      </c>
      <c r="C1669" s="9" t="s">
        <v>27</v>
      </c>
      <c r="D1669" s="52">
        <v>46203</v>
      </c>
      <c r="E1669" s="48">
        <v>0.61041666666666672</v>
      </c>
      <c r="F1669" s="48">
        <v>0.61875000000000002</v>
      </c>
      <c r="G1669" s="43">
        <f>(F1669-E1669)*1440</f>
        <v>11.999999999999957</v>
      </c>
      <c r="H1669" s="9" t="s">
        <v>4143</v>
      </c>
      <c r="I1669" s="9" t="s">
        <v>884</v>
      </c>
      <c r="J1669" s="44">
        <v>7.2</v>
      </c>
      <c r="K1669" s="60">
        <v>5.84</v>
      </c>
      <c r="L1669" s="56">
        <v>4.38</v>
      </c>
      <c r="M1669" s="14">
        <f>K1669-L1669</f>
        <v>1.46</v>
      </c>
      <c r="N1669" s="15">
        <f>IFERROR(M1669/K1669,0)</f>
        <v>0.25</v>
      </c>
      <c r="O1669" s="14">
        <f>IFERROR(L1669/J1669,0)</f>
        <v>0.60833333333333328</v>
      </c>
      <c r="P1669" s="14">
        <f>IFERROR(L1669/G1669,0)</f>
        <v>0.36500000000000127</v>
      </c>
    </row>
    <row r="1670" spans="1:19" x14ac:dyDescent="0.3">
      <c r="A1670" s="9" t="s">
        <v>3659</v>
      </c>
      <c r="B1670" s="9" t="s">
        <v>26</v>
      </c>
      <c r="C1670" s="9" t="s">
        <v>26</v>
      </c>
      <c r="D1670" s="52">
        <v>46203</v>
      </c>
      <c r="E1670" s="48">
        <v>0.63611111111111118</v>
      </c>
      <c r="F1670" s="48">
        <v>0.64513888888888882</v>
      </c>
      <c r="G1670" s="43">
        <f>(F1670-E1670)*1440</f>
        <v>12.999999999999794</v>
      </c>
      <c r="H1670" s="9" t="s">
        <v>4144</v>
      </c>
      <c r="I1670" s="9" t="s">
        <v>4145</v>
      </c>
      <c r="J1670" s="44">
        <v>8</v>
      </c>
      <c r="K1670" s="60">
        <v>4.1900000000000004</v>
      </c>
      <c r="L1670" s="56">
        <v>4.4800000000000004</v>
      </c>
      <c r="M1670" s="14">
        <f>K1670-L1670</f>
        <v>-0.29000000000000004</v>
      </c>
      <c r="N1670" s="15">
        <f>IFERROR(M1670/K1670,0)</f>
        <v>-6.9212410501193325E-2</v>
      </c>
      <c r="O1670" s="14">
        <f>IFERROR(L1670/J1670,0)</f>
        <v>0.56000000000000005</v>
      </c>
      <c r="P1670" s="14">
        <f>IFERROR(L1670/G1670,0)</f>
        <v>0.3446153846153901</v>
      </c>
    </row>
    <row r="1671" spans="1:19" x14ac:dyDescent="0.3">
      <c r="A1671" s="9" t="s">
        <v>3660</v>
      </c>
      <c r="B1671" s="9" t="s">
        <v>26</v>
      </c>
      <c r="C1671" s="9" t="s">
        <v>27</v>
      </c>
      <c r="D1671" s="52">
        <v>46203</v>
      </c>
      <c r="E1671" s="48">
        <v>0.64861111111111114</v>
      </c>
      <c r="F1671" s="48">
        <v>0.66527777777777775</v>
      </c>
      <c r="G1671" s="43">
        <f>(F1671-E1671)*1440</f>
        <v>23.999999999999915</v>
      </c>
      <c r="H1671" s="9" t="s">
        <v>712</v>
      </c>
      <c r="I1671" s="9" t="s">
        <v>1332</v>
      </c>
      <c r="J1671" s="44">
        <v>8.9</v>
      </c>
      <c r="K1671" s="60">
        <v>9.8000000000000007</v>
      </c>
      <c r="L1671" s="56">
        <v>7.35</v>
      </c>
      <c r="M1671" s="14">
        <f>K1671-L1671</f>
        <v>2.4500000000000011</v>
      </c>
      <c r="N1671" s="15">
        <f>IFERROR(M1671/K1671,0)</f>
        <v>0.25000000000000011</v>
      </c>
      <c r="O1671" s="14">
        <f>IFERROR(L1671/J1671,0)</f>
        <v>0.82584269662921339</v>
      </c>
      <c r="P1671" s="14">
        <f>IFERROR(L1671/G1671,0)</f>
        <v>0.30625000000000108</v>
      </c>
    </row>
    <row r="1672" spans="1:19" x14ac:dyDescent="0.3">
      <c r="A1672" s="9" t="s">
        <v>3661</v>
      </c>
      <c r="B1672" s="9" t="s">
        <v>26</v>
      </c>
      <c r="C1672" s="9" t="s">
        <v>27</v>
      </c>
      <c r="D1672" s="52">
        <v>46203</v>
      </c>
      <c r="E1672" s="48">
        <v>0.68194444444444446</v>
      </c>
      <c r="F1672" s="48">
        <v>0.68888888888888899</v>
      </c>
      <c r="G1672" s="43">
        <f>(F1672-E1672)*1440</f>
        <v>10.000000000000124</v>
      </c>
      <c r="H1672" s="9" t="s">
        <v>3305</v>
      </c>
      <c r="I1672" s="9" t="s">
        <v>3084</v>
      </c>
      <c r="J1672" s="44">
        <v>2.6</v>
      </c>
      <c r="K1672" s="60">
        <v>5.01</v>
      </c>
      <c r="L1672" s="56">
        <v>4.1399999999999997</v>
      </c>
      <c r="M1672" s="14">
        <f>K1672-L1672</f>
        <v>0.87000000000000011</v>
      </c>
      <c r="N1672" s="15">
        <f>IFERROR(M1672/K1672,0)</f>
        <v>0.17365269461077848</v>
      </c>
      <c r="O1672" s="14">
        <f>IFERROR(L1672/J1672,0)</f>
        <v>1.5923076923076922</v>
      </c>
      <c r="P1672" s="14">
        <f>IFERROR(L1672/G1672,0)</f>
        <v>0.41399999999999482</v>
      </c>
    </row>
    <row r="1673" spans="1:19" x14ac:dyDescent="0.3">
      <c r="A1673" s="9" t="s">
        <v>3662</v>
      </c>
      <c r="B1673" s="9" t="s">
        <v>26</v>
      </c>
      <c r="C1673" s="9" t="s">
        <v>26</v>
      </c>
      <c r="D1673" s="52">
        <v>46203</v>
      </c>
      <c r="E1673" s="48">
        <v>0.69513888888888886</v>
      </c>
      <c r="F1673" s="48">
        <v>0.70208333333333339</v>
      </c>
      <c r="G1673" s="43">
        <f>(F1673-E1673)*1440</f>
        <v>10.000000000000124</v>
      </c>
      <c r="H1673" s="9" t="s">
        <v>1716</v>
      </c>
      <c r="I1673" s="9" t="s">
        <v>3087</v>
      </c>
      <c r="J1673" s="44">
        <v>4.2</v>
      </c>
      <c r="K1673" s="60">
        <v>5.53</v>
      </c>
      <c r="L1673" s="56">
        <v>4.3600000000000003</v>
      </c>
      <c r="M1673" s="14">
        <f>K1673-L1673</f>
        <v>1.17</v>
      </c>
      <c r="N1673" s="15">
        <f>IFERROR(M1673/K1673,0)</f>
        <v>0.21157323688969257</v>
      </c>
      <c r="O1673" s="14">
        <f>IFERROR(L1673/J1673,0)</f>
        <v>1.0380952380952382</v>
      </c>
      <c r="P1673" s="14">
        <f>IFERROR(L1673/G1673,0)</f>
        <v>0.43599999999999461</v>
      </c>
      <c r="R1673" s="57">
        <v>0.97</v>
      </c>
    </row>
    <row r="1674" spans="1:19" x14ac:dyDescent="0.3">
      <c r="A1674" s="9" t="s">
        <v>3663</v>
      </c>
      <c r="B1674" s="9" t="s">
        <v>26</v>
      </c>
      <c r="C1674" s="9" t="s">
        <v>26</v>
      </c>
      <c r="D1674" s="52">
        <v>46203</v>
      </c>
      <c r="E1674" s="48">
        <v>0.70486111111111116</v>
      </c>
      <c r="F1674" s="48">
        <v>0.72013888888888899</v>
      </c>
      <c r="G1674" s="43">
        <f>(F1674-E1674)*1440</f>
        <v>22.000000000000082</v>
      </c>
      <c r="H1674" s="9" t="s">
        <v>3088</v>
      </c>
      <c r="I1674" s="9" t="s">
        <v>4146</v>
      </c>
      <c r="J1674" s="44">
        <v>9.8000000000000007</v>
      </c>
      <c r="K1674" s="60">
        <v>8.7799999999999994</v>
      </c>
      <c r="L1674" s="56">
        <v>6.93</v>
      </c>
      <c r="M1674" s="14">
        <f>K1674-L1674</f>
        <v>1.8499999999999996</v>
      </c>
      <c r="N1674" s="15">
        <f>IFERROR(M1674/K1674,0)</f>
        <v>0.21070615034168563</v>
      </c>
      <c r="O1674" s="14">
        <f>IFERROR(L1674/J1674,0)</f>
        <v>0.70714285714285707</v>
      </c>
      <c r="P1674" s="14">
        <f>IFERROR(L1674/G1674,0)</f>
        <v>0.31499999999999884</v>
      </c>
    </row>
    <row r="1675" spans="1:19" x14ac:dyDescent="0.3">
      <c r="A1675" s="9" t="s">
        <v>3664</v>
      </c>
      <c r="B1675" s="9" t="s">
        <v>26</v>
      </c>
      <c r="C1675" s="9" t="s">
        <v>26</v>
      </c>
      <c r="D1675" s="52">
        <v>46203</v>
      </c>
      <c r="E1675" s="48">
        <v>0.7319444444444444</v>
      </c>
      <c r="F1675" s="48">
        <v>0.75694444444444453</v>
      </c>
      <c r="G1675" s="43">
        <f>(F1675-E1675)*1440</f>
        <v>36.000000000000192</v>
      </c>
      <c r="H1675" s="9" t="s">
        <v>852</v>
      </c>
      <c r="I1675" s="9" t="s">
        <v>4147</v>
      </c>
      <c r="J1675" s="44">
        <v>13.3</v>
      </c>
      <c r="K1675" s="60">
        <v>13.64</v>
      </c>
      <c r="L1675" s="56">
        <v>14.61</v>
      </c>
      <c r="M1675" s="14">
        <f>K1675-L1675</f>
        <v>-0.96999999999999886</v>
      </c>
      <c r="N1675" s="15">
        <f>IFERROR(M1675/K1675,0)</f>
        <v>-7.1114369501466185E-2</v>
      </c>
      <c r="O1675" s="14">
        <f>IFERROR(L1675/J1675,0)</f>
        <v>1.0984962406015037</v>
      </c>
      <c r="P1675" s="14">
        <f>IFERROR(L1675/G1675,0)</f>
        <v>0.40583333333333116</v>
      </c>
      <c r="R1675" s="57">
        <v>8.02</v>
      </c>
    </row>
    <row r="1676" spans="1:19" x14ac:dyDescent="0.3">
      <c r="A1676" s="9" t="s">
        <v>3665</v>
      </c>
      <c r="B1676" s="9" t="s">
        <v>26</v>
      </c>
      <c r="C1676" s="9" t="s">
        <v>26</v>
      </c>
      <c r="D1676" s="52">
        <v>46203</v>
      </c>
      <c r="E1676" s="48">
        <v>0.79722222222222217</v>
      </c>
      <c r="F1676" s="48">
        <v>0.81041666666666667</v>
      </c>
      <c r="G1676" s="43">
        <f>(F1676-E1676)*1440</f>
        <v>19.000000000000092</v>
      </c>
      <c r="H1676" s="9" t="s">
        <v>4148</v>
      </c>
      <c r="I1676" s="9" t="s">
        <v>4149</v>
      </c>
      <c r="J1676" s="44">
        <v>12.8</v>
      </c>
      <c r="K1676" s="60">
        <v>8.0399999999999991</v>
      </c>
      <c r="L1676" s="56">
        <v>9.61</v>
      </c>
      <c r="M1676" s="14">
        <f>K1676-L1676</f>
        <v>-1.5700000000000003</v>
      </c>
      <c r="N1676" s="15">
        <f>IFERROR(M1676/K1676,0)</f>
        <v>-0.19527363184079607</v>
      </c>
      <c r="O1676" s="14">
        <f>IFERROR(L1676/J1676,0)</f>
        <v>0.75078124999999996</v>
      </c>
      <c r="P1676" s="14">
        <f>IFERROR(L1676/G1676,0)</f>
        <v>0.50578947368420801</v>
      </c>
    </row>
    <row r="1677" spans="1:19" x14ac:dyDescent="0.3">
      <c r="A1677" s="9" t="s">
        <v>3666</v>
      </c>
      <c r="B1677" s="9" t="s">
        <v>26</v>
      </c>
      <c r="C1677" s="9" t="s">
        <v>27</v>
      </c>
      <c r="D1677" s="52">
        <v>46203</v>
      </c>
      <c r="E1677" s="48">
        <v>0.85833333333333339</v>
      </c>
      <c r="F1677" s="48">
        <v>0.86736111111111114</v>
      </c>
      <c r="G1677" s="43">
        <f>(F1677-E1677)*1440</f>
        <v>12.999999999999954</v>
      </c>
      <c r="H1677" s="9" t="s">
        <v>4150</v>
      </c>
      <c r="I1677" s="9" t="s">
        <v>867</v>
      </c>
      <c r="J1677" s="44">
        <v>12.3</v>
      </c>
      <c r="K1677" s="60">
        <v>8.33</v>
      </c>
      <c r="L1677" s="56">
        <v>6.25</v>
      </c>
      <c r="M1677" s="14">
        <f>K1677-L1677</f>
        <v>2.08</v>
      </c>
      <c r="N1677" s="15">
        <f>IFERROR(M1677/K1677,0)</f>
        <v>0.24969987995198079</v>
      </c>
      <c r="O1677" s="14">
        <f>IFERROR(L1677/J1677,0)</f>
        <v>0.50813008130081294</v>
      </c>
      <c r="P1677" s="14">
        <f>IFERROR(L1677/G1677,0)</f>
        <v>0.4807692307692325</v>
      </c>
    </row>
    <row r="1678" spans="1:19" x14ac:dyDescent="0.3">
      <c r="A1678" s="9" t="s">
        <v>3667</v>
      </c>
      <c r="B1678" s="9" t="s">
        <v>18</v>
      </c>
      <c r="C1678" s="9" t="s">
        <v>196</v>
      </c>
      <c r="D1678" s="52">
        <v>46203</v>
      </c>
      <c r="E1678" s="48">
        <v>0.54861111111111105</v>
      </c>
      <c r="F1678" s="48">
        <v>0.55555555555555558</v>
      </c>
      <c r="G1678" s="43">
        <f>(F1678-E1678)*1440</f>
        <v>10.000000000000124</v>
      </c>
      <c r="H1678" s="9" t="s">
        <v>1184</v>
      </c>
      <c r="I1678" s="9" t="s">
        <v>2001</v>
      </c>
      <c r="J1678" s="44">
        <v>5.29</v>
      </c>
      <c r="K1678" s="60">
        <v>4.99</v>
      </c>
      <c r="L1678" s="56">
        <v>3.74</v>
      </c>
      <c r="M1678" s="14">
        <f>K1678-L1678</f>
        <v>1.25</v>
      </c>
      <c r="N1678" s="15">
        <f>IFERROR(M1678/K1678,0)</f>
        <v>0.25050100200400799</v>
      </c>
      <c r="O1678" s="14">
        <f>IFERROR(L1678/J1678,0)</f>
        <v>0.70699432892249536</v>
      </c>
      <c r="P1678" s="14">
        <f>IFERROR(L1678/G1678,0)</f>
        <v>0.37399999999999539</v>
      </c>
    </row>
    <row r="1679" spans="1:19" x14ac:dyDescent="0.3">
      <c r="A1679" s="9" t="s">
        <v>3668</v>
      </c>
      <c r="B1679" s="9" t="s">
        <v>18</v>
      </c>
      <c r="C1679" s="9" t="s">
        <v>184</v>
      </c>
      <c r="D1679" s="52">
        <v>46203</v>
      </c>
      <c r="E1679" s="48">
        <v>0.56111111111111112</v>
      </c>
      <c r="F1679" s="48">
        <v>0.58333333333333337</v>
      </c>
      <c r="G1679" s="43">
        <f>(F1679-E1679)*1440</f>
        <v>32.000000000000043</v>
      </c>
      <c r="H1679" s="9" t="s">
        <v>2001</v>
      </c>
      <c r="I1679" s="9" t="s">
        <v>4034</v>
      </c>
      <c r="J1679" s="44">
        <v>30.4</v>
      </c>
      <c r="K1679" s="60">
        <v>16.04</v>
      </c>
      <c r="L1679" s="56">
        <v>11.08</v>
      </c>
      <c r="M1679" s="14">
        <f>K1679-L1679</f>
        <v>4.9599999999999991</v>
      </c>
      <c r="N1679" s="15">
        <f>IFERROR(M1679/K1679,0)</f>
        <v>0.30922693266832912</v>
      </c>
      <c r="O1679" s="14">
        <f>IFERROR(L1679/J1679,0)</f>
        <v>0.36447368421052634</v>
      </c>
      <c r="P1679" s="14">
        <f>IFERROR(L1679/G1679,0)</f>
        <v>0.34624999999999956</v>
      </c>
    </row>
    <row r="1680" spans="1:19" x14ac:dyDescent="0.3">
      <c r="A1680" s="9" t="s">
        <v>3669</v>
      </c>
      <c r="B1680" s="9" t="s">
        <v>18</v>
      </c>
      <c r="C1680" s="9" t="s">
        <v>184</v>
      </c>
      <c r="D1680" s="52">
        <v>46203</v>
      </c>
      <c r="E1680" s="48">
        <v>0.58263888888888882</v>
      </c>
      <c r="F1680" s="48">
        <v>0.59375</v>
      </c>
      <c r="G1680" s="43">
        <f>(F1680-E1680)*1440</f>
        <v>16.000000000000103</v>
      </c>
      <c r="H1680" s="9" t="s">
        <v>4065</v>
      </c>
      <c r="I1680" s="9" t="s">
        <v>4151</v>
      </c>
      <c r="J1680" s="44">
        <v>13.03</v>
      </c>
      <c r="K1680" s="60">
        <v>8.9600000000000009</v>
      </c>
      <c r="L1680" s="56">
        <v>5.56</v>
      </c>
      <c r="M1680" s="14">
        <f>K1680-L1680</f>
        <v>3.4000000000000012</v>
      </c>
      <c r="N1680" s="15">
        <f>IFERROR(M1680/K1680,0)</f>
        <v>0.37946428571428581</v>
      </c>
      <c r="O1680" s="14">
        <f>IFERROR(L1680/J1680,0)</f>
        <v>0.42670759785111279</v>
      </c>
      <c r="P1680" s="14">
        <f>IFERROR(L1680/G1680,0)</f>
        <v>0.34749999999999776</v>
      </c>
    </row>
    <row r="1681" spans="1:16" x14ac:dyDescent="0.3">
      <c r="A1681" s="9" t="s">
        <v>3670</v>
      </c>
      <c r="B1681" s="9" t="s">
        <v>18</v>
      </c>
      <c r="C1681" s="9" t="s">
        <v>184</v>
      </c>
      <c r="D1681" s="52">
        <v>46203</v>
      </c>
      <c r="E1681" s="48">
        <v>0.62013888888888891</v>
      </c>
      <c r="F1681" s="48">
        <v>0.63055555555555554</v>
      </c>
      <c r="G1681" s="43">
        <f>(F1681-E1681)*1440</f>
        <v>14.999999999999947</v>
      </c>
      <c r="H1681" s="9" t="s">
        <v>4152</v>
      </c>
      <c r="I1681" s="9" t="s">
        <v>4153</v>
      </c>
      <c r="J1681" s="44">
        <v>11.08</v>
      </c>
      <c r="K1681" s="60">
        <v>10.93</v>
      </c>
      <c r="L1681" s="56">
        <v>7.35</v>
      </c>
      <c r="M1681" s="14">
        <f>K1681-L1681</f>
        <v>3.58</v>
      </c>
      <c r="N1681" s="15">
        <f>IFERROR(M1681/K1681,0)</f>
        <v>0.32753888380603846</v>
      </c>
      <c r="O1681" s="14">
        <f>IFERROR(L1681/J1681,0)</f>
        <v>0.66335740072202165</v>
      </c>
      <c r="P1681" s="14">
        <f>IFERROR(L1681/G1681,0)</f>
        <v>0.49000000000000171</v>
      </c>
    </row>
    <row r="1682" spans="1:16" x14ac:dyDescent="0.3">
      <c r="A1682" s="9" t="s">
        <v>3671</v>
      </c>
      <c r="B1682" s="9" t="s">
        <v>18</v>
      </c>
      <c r="C1682" s="9" t="s">
        <v>184</v>
      </c>
      <c r="D1682" s="52">
        <v>46203</v>
      </c>
      <c r="E1682" s="48">
        <v>0.7583333333333333</v>
      </c>
      <c r="F1682" s="48">
        <v>0.77361111111111114</v>
      </c>
      <c r="G1682" s="43">
        <f>(F1682-E1682)*1440</f>
        <v>22.000000000000082</v>
      </c>
      <c r="H1682" s="9" t="s">
        <v>4154</v>
      </c>
      <c r="I1682" s="9" t="s">
        <v>646</v>
      </c>
      <c r="J1682" s="44">
        <v>8.68</v>
      </c>
      <c r="K1682" s="60">
        <v>7.94</v>
      </c>
      <c r="L1682" s="56">
        <v>5.84</v>
      </c>
      <c r="M1682" s="14">
        <f>K1682-L1682</f>
        <v>2.1000000000000005</v>
      </c>
      <c r="N1682" s="15">
        <f>IFERROR(M1682/K1682,0)</f>
        <v>0.26448362720403029</v>
      </c>
      <c r="O1682" s="14">
        <f>IFERROR(L1682/J1682,0)</f>
        <v>0.67281105990783407</v>
      </c>
      <c r="P1682" s="14">
        <f>IFERROR(L1682/G1682,0)</f>
        <v>0.26545454545454444</v>
      </c>
    </row>
    <row r="1683" spans="1:16" x14ac:dyDescent="0.3">
      <c r="A1683" s="9" t="s">
        <v>3672</v>
      </c>
      <c r="B1683" s="9" t="s">
        <v>18</v>
      </c>
      <c r="C1683" s="9" t="s">
        <v>184</v>
      </c>
      <c r="D1683" s="52">
        <v>46203</v>
      </c>
      <c r="E1683" s="48">
        <v>0.77569444444444446</v>
      </c>
      <c r="F1683" s="48">
        <v>0.7895833333333333</v>
      </c>
      <c r="G1683" s="43">
        <f>(F1683-E1683)*1440</f>
        <v>19.999999999999929</v>
      </c>
      <c r="H1683" s="9" t="s">
        <v>4155</v>
      </c>
      <c r="I1683" s="9" t="s">
        <v>4156</v>
      </c>
      <c r="J1683" s="44">
        <v>12.65</v>
      </c>
      <c r="K1683" s="60">
        <v>10.95</v>
      </c>
      <c r="L1683" s="56">
        <v>7.9</v>
      </c>
      <c r="M1683" s="14">
        <f>K1683-L1683</f>
        <v>3.0499999999999989</v>
      </c>
      <c r="N1683" s="15">
        <f>IFERROR(M1683/K1683,0)</f>
        <v>0.27853881278538806</v>
      </c>
      <c r="O1683" s="14">
        <f>IFERROR(L1683/J1683,0)</f>
        <v>0.624505928853755</v>
      </c>
      <c r="P1683" s="14">
        <f>IFERROR(L1683/G1683,0)</f>
        <v>0.39500000000000141</v>
      </c>
    </row>
    <row r="1684" spans="1:16" x14ac:dyDescent="0.3">
      <c r="A1684" s="9" t="s">
        <v>3673</v>
      </c>
      <c r="B1684" s="9" t="s">
        <v>18</v>
      </c>
      <c r="C1684" s="9" t="s">
        <v>184</v>
      </c>
      <c r="D1684" s="52">
        <v>46203</v>
      </c>
      <c r="E1684" s="48">
        <v>0.82708333333333339</v>
      </c>
      <c r="F1684" s="48">
        <v>0.84652777777777777</v>
      </c>
      <c r="G1684" s="43">
        <f>(F1684-E1684)*1440</f>
        <v>27.999999999999901</v>
      </c>
      <c r="H1684" s="69" t="s">
        <v>4157</v>
      </c>
      <c r="I1684" s="9" t="s">
        <v>2158</v>
      </c>
      <c r="J1684" s="44">
        <v>18.3</v>
      </c>
      <c r="K1684" s="60">
        <v>11.93</v>
      </c>
      <c r="L1684" s="56">
        <v>9.24</v>
      </c>
      <c r="M1684" s="14">
        <f>K1684-L1684</f>
        <v>2.6899999999999995</v>
      </c>
      <c r="N1684" s="15">
        <f>IFERROR(M1684/K1684,0)</f>
        <v>0.2254819782062028</v>
      </c>
      <c r="O1684" s="14">
        <f>IFERROR(L1684/J1684,0)</f>
        <v>0.50491803278688518</v>
      </c>
      <c r="P1684" s="14">
        <f>IFERROR(L1684/G1684,0)</f>
        <v>0.33000000000000118</v>
      </c>
    </row>
    <row r="1685" spans="1:16" x14ac:dyDescent="0.3">
      <c r="A1685" s="9" t="s">
        <v>3674</v>
      </c>
      <c r="B1685" s="9" t="s">
        <v>18</v>
      </c>
      <c r="C1685" s="9" t="s">
        <v>196</v>
      </c>
      <c r="D1685" s="52">
        <v>46205</v>
      </c>
      <c r="E1685" s="48">
        <v>0.56805555555555554</v>
      </c>
      <c r="F1685" s="48">
        <v>0.57430555555555551</v>
      </c>
      <c r="G1685" s="43">
        <f>(F1685-E1685)*1440</f>
        <v>8.999999999999968</v>
      </c>
      <c r="H1685" s="9" t="s">
        <v>604</v>
      </c>
      <c r="I1685" s="9" t="s">
        <v>4158</v>
      </c>
      <c r="J1685" s="44">
        <v>4.3600000000000003</v>
      </c>
      <c r="K1685" s="60">
        <v>5.98</v>
      </c>
      <c r="L1685" s="56">
        <v>4.53</v>
      </c>
      <c r="M1685" s="14">
        <f>K1685-L1685</f>
        <v>1.4500000000000002</v>
      </c>
      <c r="N1685" s="15">
        <f>IFERROR(M1685/K1685,0)</f>
        <v>0.24247491638795987</v>
      </c>
      <c r="O1685" s="14">
        <f>IFERROR(L1685/J1685,0)</f>
        <v>1.0389908256880733</v>
      </c>
      <c r="P1685" s="14">
        <f>IFERROR(L1685/G1685,0)</f>
        <v>0.50333333333333519</v>
      </c>
    </row>
    <row r="1686" spans="1:16" x14ac:dyDescent="0.3">
      <c r="A1686" s="9" t="s">
        <v>3675</v>
      </c>
      <c r="B1686" s="9" t="s">
        <v>18</v>
      </c>
      <c r="C1686" s="9" t="s">
        <v>184</v>
      </c>
      <c r="D1686" s="52">
        <v>46205</v>
      </c>
      <c r="E1686" s="48">
        <v>0.57986111111111105</v>
      </c>
      <c r="F1686" s="48">
        <v>0.6</v>
      </c>
      <c r="G1686" s="43">
        <f>(F1686-E1686)*1440</f>
        <v>29.000000000000057</v>
      </c>
      <c r="H1686" s="9" t="s">
        <v>4158</v>
      </c>
      <c r="I1686" s="9" t="s">
        <v>4159</v>
      </c>
      <c r="J1686" s="44">
        <v>14.52</v>
      </c>
      <c r="K1686" s="60">
        <v>12.95</v>
      </c>
      <c r="L1686" s="56">
        <v>8.65</v>
      </c>
      <c r="M1686" s="14">
        <f>K1686-L1686</f>
        <v>4.2999999999999989</v>
      </c>
      <c r="N1686" s="15">
        <f>IFERROR(M1686/K1686,0)</f>
        <v>0.33204633204633199</v>
      </c>
      <c r="O1686" s="14">
        <f>IFERROR(L1686/J1686,0)</f>
        <v>0.59573002754820936</v>
      </c>
      <c r="P1686" s="14">
        <f>IFERROR(L1686/G1686,0)</f>
        <v>0.29827586206896495</v>
      </c>
    </row>
    <row r="1687" spans="1:16" x14ac:dyDescent="0.3">
      <c r="A1687" s="9" t="s">
        <v>3676</v>
      </c>
      <c r="B1687" s="9" t="s">
        <v>18</v>
      </c>
      <c r="C1687" s="9" t="s">
        <v>196</v>
      </c>
      <c r="D1687" s="52">
        <v>46205</v>
      </c>
      <c r="E1687" s="48">
        <v>0.62152777777777779</v>
      </c>
      <c r="F1687" s="48">
        <v>0.62638888888888888</v>
      </c>
      <c r="G1687" s="43">
        <f>(F1687-E1687)*1440</f>
        <v>6.9999999999999751</v>
      </c>
      <c r="H1687" s="9" t="s">
        <v>209</v>
      </c>
      <c r="I1687" s="9" t="s">
        <v>4160</v>
      </c>
      <c r="J1687" s="44">
        <v>2.48</v>
      </c>
      <c r="K1687" s="60">
        <v>8.98</v>
      </c>
      <c r="L1687" s="56">
        <v>6.59</v>
      </c>
      <c r="M1687" s="14">
        <f>K1687-L1687</f>
        <v>2.3900000000000006</v>
      </c>
      <c r="N1687" s="15">
        <f>IFERROR(M1687/K1687,0)</f>
        <v>0.26614699331848557</v>
      </c>
      <c r="O1687" s="14">
        <f>IFERROR(L1687/J1687,0)</f>
        <v>2.657258064516129</v>
      </c>
      <c r="P1687" s="14">
        <f>IFERROR(L1687/G1687,0)</f>
        <v>0.94142857142857472</v>
      </c>
    </row>
    <row r="1688" spans="1:16" x14ac:dyDescent="0.3">
      <c r="A1688" s="9" t="s">
        <v>3677</v>
      </c>
      <c r="B1688" s="9" t="s">
        <v>18</v>
      </c>
      <c r="C1688" s="9" t="s">
        <v>184</v>
      </c>
      <c r="D1688" s="52">
        <v>46205</v>
      </c>
      <c r="E1688" s="48">
        <v>0.63124999999999998</v>
      </c>
      <c r="F1688" s="48">
        <v>0.63750000000000007</v>
      </c>
      <c r="G1688" s="43">
        <f>(F1688-E1688)*1440</f>
        <v>9.0000000000001279</v>
      </c>
      <c r="H1688" s="9" t="s">
        <v>233</v>
      </c>
      <c r="I1688" s="9" t="s">
        <v>1289</v>
      </c>
      <c r="J1688" s="44">
        <v>4.46</v>
      </c>
      <c r="K1688" s="60">
        <v>7.96</v>
      </c>
      <c r="L1688" s="56">
        <v>6.13</v>
      </c>
      <c r="M1688" s="14">
        <f>K1688-L1688</f>
        <v>1.83</v>
      </c>
      <c r="N1688" s="15">
        <f>IFERROR(M1688/K1688,0)</f>
        <v>0.22989949748743718</v>
      </c>
      <c r="O1688" s="14">
        <f>IFERROR(L1688/J1688,0)</f>
        <v>1.3744394618834082</v>
      </c>
      <c r="P1688" s="14">
        <f>IFERROR(L1688/G1688,0)</f>
        <v>0.68111111111110145</v>
      </c>
    </row>
    <row r="1689" spans="1:16" x14ac:dyDescent="0.3">
      <c r="A1689" s="9" t="s">
        <v>3678</v>
      </c>
      <c r="B1689" s="9" t="s">
        <v>18</v>
      </c>
      <c r="C1689" s="9" t="s">
        <v>184</v>
      </c>
      <c r="D1689" s="52">
        <v>46205</v>
      </c>
      <c r="E1689" s="48">
        <v>0.64861111111111114</v>
      </c>
      <c r="F1689" s="48">
        <v>0.65763888888888888</v>
      </c>
      <c r="G1689" s="43">
        <f>(F1689-E1689)*1440</f>
        <v>12.999999999999954</v>
      </c>
      <c r="H1689" s="9" t="s">
        <v>3065</v>
      </c>
      <c r="I1689" s="9" t="s">
        <v>4161</v>
      </c>
      <c r="J1689" s="44">
        <v>10.23</v>
      </c>
      <c r="K1689" s="60">
        <v>10.95</v>
      </c>
      <c r="L1689" s="56">
        <v>8.4700000000000006</v>
      </c>
      <c r="M1689" s="14">
        <f>K1689-L1689</f>
        <v>2.4799999999999986</v>
      </c>
      <c r="N1689" s="15">
        <f>IFERROR(M1689/K1689,0)</f>
        <v>0.22648401826484008</v>
      </c>
      <c r="O1689" s="14">
        <f>IFERROR(L1689/J1689,0)</f>
        <v>0.82795698924731187</v>
      </c>
      <c r="P1689" s="14">
        <f>IFERROR(L1689/G1689,0)</f>
        <v>0.65153846153846395</v>
      </c>
    </row>
    <row r="1690" spans="1:16" x14ac:dyDescent="0.3">
      <c r="A1690" s="9" t="s">
        <v>3679</v>
      </c>
      <c r="B1690" s="9" t="s">
        <v>18</v>
      </c>
      <c r="C1690" s="9" t="s">
        <v>230</v>
      </c>
      <c r="D1690" s="52">
        <v>46205</v>
      </c>
      <c r="E1690" s="48">
        <v>0.69444444444444453</v>
      </c>
      <c r="F1690" s="48">
        <v>0.69930555555555562</v>
      </c>
      <c r="G1690" s="43">
        <f>(F1690-E1690)*1440</f>
        <v>6.9999999999999751</v>
      </c>
      <c r="H1690" s="9" t="s">
        <v>4162</v>
      </c>
      <c r="I1690" s="9" t="s">
        <v>214</v>
      </c>
      <c r="J1690" s="44">
        <v>4.28</v>
      </c>
      <c r="K1690" s="60">
        <v>7.92</v>
      </c>
      <c r="L1690" s="56">
        <v>6.88</v>
      </c>
      <c r="M1690" s="14">
        <f>K1690-L1690</f>
        <v>1.04</v>
      </c>
      <c r="N1690" s="15">
        <f>IFERROR(M1690/K1690,0)</f>
        <v>0.13131313131313133</v>
      </c>
      <c r="O1690" s="14">
        <f>IFERROR(L1690/J1690,0)</f>
        <v>1.6074766355140186</v>
      </c>
      <c r="P1690" s="14">
        <f>IFERROR(L1690/G1690,0)</f>
        <v>0.98285714285714632</v>
      </c>
    </row>
    <row r="1691" spans="1:16" x14ac:dyDescent="0.3">
      <c r="A1691" s="9" t="s">
        <v>3680</v>
      </c>
      <c r="B1691" s="9" t="s">
        <v>18</v>
      </c>
      <c r="C1691" s="9" t="s">
        <v>184</v>
      </c>
      <c r="D1691" s="52">
        <v>46205</v>
      </c>
      <c r="E1691" s="48">
        <v>0.70416666666666661</v>
      </c>
      <c r="F1691" s="48">
        <v>0.71458333333333324</v>
      </c>
      <c r="G1691" s="43">
        <f>(F1691-E1691)*1440</f>
        <v>14.999999999999947</v>
      </c>
      <c r="H1691" s="9" t="s">
        <v>725</v>
      </c>
      <c r="I1691" s="9" t="s">
        <v>1283</v>
      </c>
      <c r="J1691" s="44">
        <v>8.93</v>
      </c>
      <c r="K1691" s="60">
        <v>15.94</v>
      </c>
      <c r="L1691" s="56">
        <v>10.36</v>
      </c>
      <c r="M1691" s="14">
        <f>K1691-L1691</f>
        <v>5.58</v>
      </c>
      <c r="N1691" s="15">
        <f>IFERROR(M1691/K1691,0)</f>
        <v>0.3500627352572146</v>
      </c>
      <c r="O1691" s="14">
        <f>IFERROR(L1691/J1691,0)</f>
        <v>1.16013437849944</v>
      </c>
      <c r="P1691" s="14">
        <f>IFERROR(L1691/G1691,0)</f>
        <v>0.69066666666666909</v>
      </c>
    </row>
    <row r="1692" spans="1:16" x14ac:dyDescent="0.3">
      <c r="A1692" s="9" t="s">
        <v>3681</v>
      </c>
      <c r="B1692" s="9" t="s">
        <v>18</v>
      </c>
      <c r="C1692" s="9" t="s">
        <v>184</v>
      </c>
      <c r="D1692" s="52">
        <v>46205</v>
      </c>
      <c r="E1692" s="48">
        <v>0.71805555555555556</v>
      </c>
      <c r="F1692" s="48">
        <v>0.7319444444444444</v>
      </c>
      <c r="G1692" s="43">
        <f>(F1692-E1692)*1440</f>
        <v>19.999999999999929</v>
      </c>
      <c r="H1692" s="9" t="s">
        <v>2585</v>
      </c>
      <c r="I1692" s="9" t="s">
        <v>4163</v>
      </c>
      <c r="J1692" s="44">
        <v>9.18</v>
      </c>
      <c r="K1692" s="60">
        <v>14.94</v>
      </c>
      <c r="L1692" s="56">
        <v>11.79</v>
      </c>
      <c r="M1692" s="14">
        <f>K1692-L1692</f>
        <v>3.1500000000000004</v>
      </c>
      <c r="N1692" s="15">
        <f>IFERROR(M1692/K1692,0)</f>
        <v>0.21084337349397594</v>
      </c>
      <c r="O1692" s="14">
        <f>IFERROR(L1692/J1692,0)</f>
        <v>1.284313725490196</v>
      </c>
      <c r="P1692" s="14">
        <f>IFERROR(L1692/G1692,0)</f>
        <v>0.58950000000000202</v>
      </c>
    </row>
    <row r="1693" spans="1:16" x14ac:dyDescent="0.3">
      <c r="A1693" s="9" t="s">
        <v>3682</v>
      </c>
      <c r="B1693" s="9" t="s">
        <v>18</v>
      </c>
      <c r="C1693" s="9" t="s">
        <v>184</v>
      </c>
      <c r="D1693" s="52">
        <v>46205</v>
      </c>
      <c r="E1693" s="48">
        <v>0.73611111111111116</v>
      </c>
      <c r="F1693" s="48">
        <v>0.74444444444444446</v>
      </c>
      <c r="G1693" s="43">
        <f>(F1693-E1693)*1440</f>
        <v>11.999999999999957</v>
      </c>
      <c r="H1693" s="9" t="s">
        <v>698</v>
      </c>
      <c r="I1693" s="9" t="s">
        <v>233</v>
      </c>
      <c r="J1693" s="44">
        <v>4.95</v>
      </c>
      <c r="K1693" s="60">
        <v>9.94</v>
      </c>
      <c r="L1693" s="56">
        <v>7.4</v>
      </c>
      <c r="M1693" s="14">
        <f>K1693-L1693</f>
        <v>2.5399999999999991</v>
      </c>
      <c r="N1693" s="15">
        <f>IFERROR(M1693/K1693,0)</f>
        <v>0.25553319919517098</v>
      </c>
      <c r="O1693" s="14">
        <f>IFERROR(L1693/J1693,0)</f>
        <v>1.494949494949495</v>
      </c>
      <c r="P1693" s="14">
        <f>IFERROR(L1693/G1693,0)</f>
        <v>0.61666666666666892</v>
      </c>
    </row>
    <row r="1694" spans="1:16" x14ac:dyDescent="0.3">
      <c r="A1694" s="9" t="s">
        <v>3683</v>
      </c>
      <c r="B1694" s="9" t="s">
        <v>18</v>
      </c>
      <c r="C1694" s="9" t="s">
        <v>184</v>
      </c>
      <c r="D1694" s="52">
        <v>46205</v>
      </c>
      <c r="E1694" s="48">
        <v>0.82152777777777775</v>
      </c>
      <c r="F1694" s="48">
        <v>0.83333333333333337</v>
      </c>
      <c r="G1694" s="43">
        <f>(F1694-E1694)*1440</f>
        <v>17.000000000000099</v>
      </c>
      <c r="H1694" s="9" t="s">
        <v>1695</v>
      </c>
      <c r="I1694" s="9" t="s">
        <v>1120</v>
      </c>
      <c r="J1694" s="44">
        <v>7.25</v>
      </c>
      <c r="K1694" s="60">
        <v>7.96</v>
      </c>
      <c r="L1694" s="56">
        <v>6.65</v>
      </c>
      <c r="M1694" s="14">
        <f>K1694-L1694</f>
        <v>1.3099999999999996</v>
      </c>
      <c r="N1694" s="15">
        <f>IFERROR(M1694/K1694,0)</f>
        <v>0.164572864321608</v>
      </c>
      <c r="O1694" s="14">
        <f>IFERROR(L1694/J1694,0)</f>
        <v>0.91724137931034488</v>
      </c>
      <c r="P1694" s="14">
        <f>IFERROR(L1694/G1694,0)</f>
        <v>0.39117647058823302</v>
      </c>
    </row>
    <row r="1695" spans="1:16" x14ac:dyDescent="0.3">
      <c r="A1695" s="9" t="s">
        <v>3684</v>
      </c>
      <c r="B1695" s="9" t="s">
        <v>18</v>
      </c>
      <c r="C1695" s="9" t="s">
        <v>184</v>
      </c>
      <c r="D1695" s="52">
        <v>46205</v>
      </c>
      <c r="E1695" s="48">
        <v>0.83680555555555547</v>
      </c>
      <c r="F1695" s="48">
        <v>0.84930555555555554</v>
      </c>
      <c r="G1695" s="43">
        <f>(F1695-E1695)*1440</f>
        <v>18.000000000000096</v>
      </c>
      <c r="H1695" s="9" t="s">
        <v>1120</v>
      </c>
      <c r="I1695" s="9" t="s">
        <v>4164</v>
      </c>
      <c r="J1695" s="44">
        <v>15.1</v>
      </c>
      <c r="K1695" s="60">
        <v>15.16</v>
      </c>
      <c r="L1695" s="56">
        <v>9.6999999999999993</v>
      </c>
      <c r="M1695" s="14">
        <f>K1695-L1695</f>
        <v>5.4600000000000009</v>
      </c>
      <c r="N1695" s="15">
        <f>IFERROR(M1695/K1695,0)</f>
        <v>0.36015831134564646</v>
      </c>
      <c r="O1695" s="14">
        <f>IFERROR(L1695/J1695,0)</f>
        <v>0.64238410596026485</v>
      </c>
      <c r="P1695" s="14">
        <f>IFERROR(L1695/G1695,0)</f>
        <v>0.53888888888888598</v>
      </c>
    </row>
    <row r="1696" spans="1:16" x14ac:dyDescent="0.3">
      <c r="A1696" s="9" t="s">
        <v>3685</v>
      </c>
      <c r="B1696" s="9" t="s">
        <v>26</v>
      </c>
      <c r="C1696" s="9" t="s">
        <v>27</v>
      </c>
      <c r="D1696" s="52">
        <v>46205</v>
      </c>
      <c r="E1696" s="48">
        <v>0.54236111111111118</v>
      </c>
      <c r="F1696" s="48">
        <v>0.54999999999999993</v>
      </c>
      <c r="G1696" s="43">
        <f>(F1696-E1696)*1440</f>
        <v>10.999999999999801</v>
      </c>
      <c r="H1696" s="9" t="s">
        <v>4165</v>
      </c>
      <c r="I1696" s="9" t="s">
        <v>4166</v>
      </c>
      <c r="J1696" s="44">
        <v>5.4</v>
      </c>
      <c r="K1696" s="60">
        <v>4.26</v>
      </c>
      <c r="L1696" s="56">
        <v>3.19</v>
      </c>
      <c r="M1696" s="14">
        <f>K1696-L1696</f>
        <v>1.0699999999999998</v>
      </c>
      <c r="N1696" s="15">
        <f>IFERROR(M1696/K1696,0)</f>
        <v>0.25117370892018775</v>
      </c>
      <c r="O1696" s="14">
        <f>IFERROR(L1696/J1696,0)</f>
        <v>0.59074074074074068</v>
      </c>
      <c r="P1696" s="14">
        <f>IFERROR(L1696/G1696,0)</f>
        <v>0.29000000000000525</v>
      </c>
    </row>
    <row r="1697" spans="1:18" x14ac:dyDescent="0.3">
      <c r="A1697" s="9" t="s">
        <v>3686</v>
      </c>
      <c r="B1697" s="9" t="s">
        <v>26</v>
      </c>
      <c r="C1697" s="9" t="s">
        <v>27</v>
      </c>
      <c r="D1697" s="52">
        <v>46205</v>
      </c>
      <c r="E1697" s="48">
        <v>0.55972222222222223</v>
      </c>
      <c r="F1697" s="48">
        <v>0.5708333333333333</v>
      </c>
      <c r="G1697" s="43">
        <f>(F1697-E1697)*1440</f>
        <v>15.999999999999943</v>
      </c>
      <c r="H1697" s="9" t="s">
        <v>4167</v>
      </c>
      <c r="I1697" s="9" t="s">
        <v>570</v>
      </c>
      <c r="J1697" s="44">
        <v>11.8</v>
      </c>
      <c r="K1697" s="60">
        <v>8.61</v>
      </c>
      <c r="L1697" s="56">
        <v>6.46</v>
      </c>
      <c r="M1697" s="14">
        <f>K1697-L1697</f>
        <v>2.1499999999999995</v>
      </c>
      <c r="N1697" s="15">
        <f>IFERROR(M1697/K1697,0)</f>
        <v>0.24970963995354234</v>
      </c>
      <c r="O1697" s="14">
        <f>IFERROR(L1697/J1697,0)</f>
        <v>0.54745762711864399</v>
      </c>
      <c r="P1697" s="14">
        <f>IFERROR(L1697/G1697,0)</f>
        <v>0.40375000000000144</v>
      </c>
    </row>
    <row r="1698" spans="1:18" x14ac:dyDescent="0.3">
      <c r="A1698" s="9" t="s">
        <v>3687</v>
      </c>
      <c r="B1698" s="9" t="s">
        <v>26</v>
      </c>
      <c r="C1698" s="9" t="s">
        <v>26</v>
      </c>
      <c r="D1698" s="52">
        <v>46205</v>
      </c>
      <c r="E1698" s="48">
        <v>0.60763888888888895</v>
      </c>
      <c r="F1698" s="48">
        <v>0.62222222222222223</v>
      </c>
      <c r="G1698" s="43">
        <f>(F1698-E1698)*1440</f>
        <v>20.999999999999925</v>
      </c>
      <c r="H1698" s="9" t="s">
        <v>4168</v>
      </c>
      <c r="I1698" s="9" t="s">
        <v>4169</v>
      </c>
      <c r="J1698" s="44">
        <v>8.6</v>
      </c>
      <c r="K1698" s="60">
        <v>14.43</v>
      </c>
      <c r="L1698" s="56">
        <v>11.9</v>
      </c>
      <c r="M1698" s="14">
        <f>K1698-L1698</f>
        <v>2.5299999999999994</v>
      </c>
      <c r="N1698" s="15">
        <f>IFERROR(M1698/K1698,0)</f>
        <v>0.1753291753291753</v>
      </c>
      <c r="O1698" s="14">
        <f>IFERROR(L1698/J1698,0)</f>
        <v>1.3837209302325582</v>
      </c>
      <c r="P1698" s="14">
        <f>IFERROR(L1698/G1698,0)</f>
        <v>0.56666666666666865</v>
      </c>
    </row>
    <row r="1699" spans="1:18" x14ac:dyDescent="0.3">
      <c r="A1699" s="9" t="s">
        <v>3688</v>
      </c>
      <c r="B1699" s="9" t="s">
        <v>26</v>
      </c>
      <c r="C1699" s="9" t="s">
        <v>27</v>
      </c>
      <c r="D1699" s="52">
        <v>46205</v>
      </c>
      <c r="E1699" s="48">
        <v>0.66666666666666663</v>
      </c>
      <c r="F1699" s="48">
        <v>0.68125000000000002</v>
      </c>
      <c r="G1699" s="43">
        <f>(F1699-E1699)*1440</f>
        <v>21.000000000000085</v>
      </c>
      <c r="H1699" s="9" t="s">
        <v>4170</v>
      </c>
      <c r="I1699" s="9" t="s">
        <v>225</v>
      </c>
      <c r="J1699" s="44">
        <v>8.3000000000000007</v>
      </c>
      <c r="K1699" s="60">
        <v>9.77</v>
      </c>
      <c r="L1699" s="56">
        <v>7.33</v>
      </c>
      <c r="M1699" s="14">
        <f>K1699-L1699</f>
        <v>2.4399999999999995</v>
      </c>
      <c r="N1699" s="15">
        <f>IFERROR(M1699/K1699,0)</f>
        <v>0.24974411463664276</v>
      </c>
      <c r="O1699" s="14">
        <f>IFERROR(L1699/J1699,0)</f>
        <v>0.88313253012048187</v>
      </c>
      <c r="P1699" s="14">
        <f>IFERROR(L1699/G1699,0)</f>
        <v>0.34904761904761761</v>
      </c>
      <c r="R1699" s="57">
        <v>3.27</v>
      </c>
    </row>
    <row r="1700" spans="1:18" x14ac:dyDescent="0.3">
      <c r="A1700" s="9" t="s">
        <v>3689</v>
      </c>
      <c r="B1700" s="9" t="s">
        <v>26</v>
      </c>
      <c r="C1700" s="9" t="s">
        <v>27</v>
      </c>
      <c r="D1700" s="52">
        <v>46205</v>
      </c>
      <c r="E1700" s="48">
        <v>0.75624999999999998</v>
      </c>
      <c r="F1700" s="48">
        <v>0.76250000000000007</v>
      </c>
      <c r="G1700" s="43">
        <f>(F1700-E1700)*1440</f>
        <v>9.0000000000001279</v>
      </c>
      <c r="H1700" s="9" t="s">
        <v>4171</v>
      </c>
      <c r="I1700" s="9" t="s">
        <v>4172</v>
      </c>
      <c r="J1700" s="44">
        <v>7</v>
      </c>
      <c r="K1700" s="60">
        <v>6.33</v>
      </c>
      <c r="L1700" s="56">
        <v>4.75</v>
      </c>
      <c r="M1700" s="14">
        <f>K1700-L1700</f>
        <v>1.58</v>
      </c>
      <c r="N1700" s="15">
        <f>IFERROR(M1700/K1700,0)</f>
        <v>0.2496050552922591</v>
      </c>
      <c r="O1700" s="14">
        <f>IFERROR(L1700/J1700,0)</f>
        <v>0.6785714285714286</v>
      </c>
      <c r="P1700" s="14">
        <f>IFERROR(L1700/G1700,0)</f>
        <v>0.52777777777777024</v>
      </c>
    </row>
    <row r="1701" spans="1:18" x14ac:dyDescent="0.3">
      <c r="A1701" s="9" t="s">
        <v>3690</v>
      </c>
      <c r="B1701" s="9" t="s">
        <v>26</v>
      </c>
      <c r="C1701" s="9" t="s">
        <v>26</v>
      </c>
      <c r="D1701" s="52">
        <v>46205</v>
      </c>
      <c r="E1701" s="48">
        <v>0.76736111111111116</v>
      </c>
      <c r="F1701" s="48">
        <v>0.77361111111111114</v>
      </c>
      <c r="G1701" s="43">
        <f>(F1701-E1701)*1440</f>
        <v>8.999999999999968</v>
      </c>
      <c r="H1701" s="9" t="s">
        <v>4173</v>
      </c>
      <c r="I1701" s="9" t="s">
        <v>4174</v>
      </c>
      <c r="J1701" s="44">
        <v>3.7</v>
      </c>
      <c r="K1701" s="60">
        <v>4.9800000000000004</v>
      </c>
      <c r="L1701" s="56">
        <v>4.66</v>
      </c>
      <c r="M1701" s="14">
        <f>K1701-L1701</f>
        <v>0.32000000000000028</v>
      </c>
      <c r="N1701" s="15">
        <f>IFERROR(M1701/K1701,0)</f>
        <v>6.4257028112449849E-2</v>
      </c>
      <c r="O1701" s="14">
        <f>IFERROR(L1701/J1701,0)</f>
        <v>1.2594594594594595</v>
      </c>
      <c r="P1701" s="14">
        <f>IFERROR(L1701/G1701,0)</f>
        <v>0.51777777777777967</v>
      </c>
    </row>
    <row r="1702" spans="1:18" x14ac:dyDescent="0.3">
      <c r="A1702" s="9" t="s">
        <v>3691</v>
      </c>
      <c r="B1702" s="9" t="s">
        <v>26</v>
      </c>
      <c r="C1702" s="9" t="s">
        <v>26</v>
      </c>
      <c r="D1702" s="52">
        <v>46205</v>
      </c>
      <c r="E1702" s="48">
        <v>0.77500000000000002</v>
      </c>
      <c r="F1702" s="48">
        <v>0.78333333333333333</v>
      </c>
      <c r="G1702" s="43">
        <f>(F1702-E1702)*1440</f>
        <v>11.999999999999957</v>
      </c>
      <c r="H1702" s="9" t="s">
        <v>4175</v>
      </c>
      <c r="I1702" s="9" t="s">
        <v>243</v>
      </c>
      <c r="J1702" s="44">
        <v>4</v>
      </c>
      <c r="K1702" s="60">
        <v>5.17</v>
      </c>
      <c r="L1702" s="56">
        <v>6.08</v>
      </c>
      <c r="M1702" s="14">
        <f>K1702-L1702</f>
        <v>-0.91000000000000014</v>
      </c>
      <c r="N1702" s="15">
        <f>IFERROR(M1702/K1702,0)</f>
        <v>-0.17601547388781436</v>
      </c>
      <c r="O1702" s="14">
        <f>IFERROR(L1702/J1702,0)</f>
        <v>1.52</v>
      </c>
      <c r="P1702" s="14">
        <f>IFERROR(L1702/G1702,0)</f>
        <v>0.50666666666666849</v>
      </c>
    </row>
    <row r="1703" spans="1:18" x14ac:dyDescent="0.3">
      <c r="A1703" s="9" t="s">
        <v>3692</v>
      </c>
      <c r="B1703" s="9" t="s">
        <v>26</v>
      </c>
      <c r="C1703" s="9" t="s">
        <v>26</v>
      </c>
      <c r="D1703" s="52">
        <v>46205</v>
      </c>
      <c r="E1703" s="48">
        <v>0.78472222222222221</v>
      </c>
      <c r="F1703" s="48">
        <v>0.78888888888888886</v>
      </c>
      <c r="G1703" s="43">
        <f>(F1703-E1703)*1440</f>
        <v>5.9999999999999787</v>
      </c>
      <c r="H1703" s="9" t="s">
        <v>243</v>
      </c>
      <c r="I1703" s="9" t="s">
        <v>4176</v>
      </c>
      <c r="J1703" s="44">
        <v>2.5</v>
      </c>
      <c r="K1703" s="60">
        <v>4.4000000000000004</v>
      </c>
      <c r="L1703" s="56">
        <v>4.29</v>
      </c>
      <c r="M1703" s="14">
        <f>K1703-L1703</f>
        <v>0.11000000000000032</v>
      </c>
      <c r="N1703" s="15">
        <f>IFERROR(M1703/K1703,0)</f>
        <v>2.5000000000000071E-2</v>
      </c>
      <c r="O1703" s="14">
        <f>IFERROR(L1703/J1703,0)</f>
        <v>1.716</v>
      </c>
      <c r="P1703" s="14">
        <f>IFERROR(L1703/G1703,0)</f>
        <v>0.71500000000000252</v>
      </c>
    </row>
    <row r="1704" spans="1:18" x14ac:dyDescent="0.3">
      <c r="A1704" s="9" t="s">
        <v>3693</v>
      </c>
      <c r="B1704" s="9" t="s">
        <v>26</v>
      </c>
      <c r="C1704" s="9" t="s">
        <v>27</v>
      </c>
      <c r="D1704" s="52">
        <v>46205</v>
      </c>
      <c r="E1704" s="48">
        <v>0.80902777777777779</v>
      </c>
      <c r="F1704" s="48">
        <v>0.8125</v>
      </c>
      <c r="G1704" s="43">
        <f>(F1704-E1704)*1440</f>
        <v>4.9999999999999822</v>
      </c>
      <c r="H1704" s="9" t="s">
        <v>243</v>
      </c>
      <c r="I1704" s="9" t="s">
        <v>4177</v>
      </c>
      <c r="J1704" s="44">
        <v>2.1</v>
      </c>
      <c r="K1704" s="60">
        <v>7.32</v>
      </c>
      <c r="L1704" s="56">
        <v>5.49</v>
      </c>
      <c r="M1704" s="14">
        <f>K1704-L1704</f>
        <v>1.83</v>
      </c>
      <c r="N1704" s="15">
        <f>IFERROR(M1704/K1704,0)</f>
        <v>0.25</v>
      </c>
      <c r="O1704" s="14">
        <f>IFERROR(L1704/J1704,0)</f>
        <v>2.6142857142857143</v>
      </c>
      <c r="P1704" s="14">
        <f>IFERROR(L1704/G1704,0)</f>
        <v>1.0980000000000039</v>
      </c>
    </row>
    <row r="1705" spans="1:18" x14ac:dyDescent="0.3">
      <c r="A1705" s="9" t="s">
        <v>3694</v>
      </c>
      <c r="B1705" s="9" t="s">
        <v>26</v>
      </c>
      <c r="C1705" s="9" t="s">
        <v>27</v>
      </c>
      <c r="D1705" s="52">
        <v>46205</v>
      </c>
      <c r="E1705" s="48">
        <v>0.81458333333333333</v>
      </c>
      <c r="F1705" s="48">
        <v>0.81944444444444453</v>
      </c>
      <c r="G1705" s="43">
        <f>(F1705-E1705)*1440</f>
        <v>7.000000000000135</v>
      </c>
      <c r="H1705" s="9" t="s">
        <v>4178</v>
      </c>
      <c r="I1705" s="9" t="s">
        <v>887</v>
      </c>
      <c r="J1705" s="44">
        <v>4.7</v>
      </c>
      <c r="K1705" s="60">
        <v>5.62</v>
      </c>
      <c r="L1705" s="56">
        <v>4.21</v>
      </c>
      <c r="M1705" s="14">
        <f>K1705-L1705</f>
        <v>1.4100000000000001</v>
      </c>
      <c r="N1705" s="15">
        <f>IFERROR(M1705/K1705,0)</f>
        <v>0.25088967971530252</v>
      </c>
      <c r="O1705" s="14">
        <f>IFERROR(L1705/J1705,0)</f>
        <v>0.89574468085106373</v>
      </c>
      <c r="P1705" s="14">
        <f>IFERROR(L1705/G1705,0)</f>
        <v>0.60142857142855988</v>
      </c>
    </row>
    <row r="1706" spans="1:18" x14ac:dyDescent="0.3">
      <c r="A1706" s="9" t="s">
        <v>3695</v>
      </c>
      <c r="B1706" s="9" t="s">
        <v>26</v>
      </c>
      <c r="C1706" s="9" t="s">
        <v>26</v>
      </c>
      <c r="D1706" s="52">
        <v>46206</v>
      </c>
      <c r="E1706" s="48">
        <v>0.6</v>
      </c>
      <c r="F1706" s="48">
        <v>0.61805555555555558</v>
      </c>
      <c r="G1706" s="43">
        <f>(F1706-E1706)*1440</f>
        <v>26.000000000000068</v>
      </c>
      <c r="H1706" s="9" t="s">
        <v>1120</v>
      </c>
      <c r="I1706" s="9" t="s">
        <v>4179</v>
      </c>
      <c r="J1706" s="44">
        <v>10.199999999999999</v>
      </c>
      <c r="K1706" s="60">
        <v>10.47</v>
      </c>
      <c r="L1706" s="56">
        <v>7.8</v>
      </c>
      <c r="M1706" s="14">
        <f>K1706-L1706</f>
        <v>2.6700000000000008</v>
      </c>
      <c r="N1706" s="15">
        <f>IFERROR(M1706/K1706,0)</f>
        <v>0.25501432664756452</v>
      </c>
      <c r="O1706" s="14">
        <f>IFERROR(L1706/J1706,0)</f>
        <v>0.76470588235294124</v>
      </c>
      <c r="P1706" s="14">
        <f>IFERROR(L1706/G1706,0)</f>
        <v>0.29999999999999921</v>
      </c>
    </row>
    <row r="1707" spans="1:18" x14ac:dyDescent="0.3">
      <c r="A1707" s="9" t="s">
        <v>3696</v>
      </c>
      <c r="B1707" s="9" t="s">
        <v>26</v>
      </c>
      <c r="C1707" s="9" t="s">
        <v>26</v>
      </c>
      <c r="D1707" s="52">
        <v>46206</v>
      </c>
      <c r="E1707" s="48">
        <v>0.62083333333333335</v>
      </c>
      <c r="F1707" s="48">
        <v>0.63194444444444442</v>
      </c>
      <c r="G1707" s="43">
        <f>(F1707-E1707)*1440</f>
        <v>15.999999999999943</v>
      </c>
      <c r="H1707" s="9" t="s">
        <v>4180</v>
      </c>
      <c r="I1707" s="9" t="s">
        <v>2796</v>
      </c>
      <c r="J1707" s="44">
        <v>9.9</v>
      </c>
      <c r="K1707" s="60">
        <v>12.38</v>
      </c>
      <c r="L1707" s="56">
        <v>9.2799999999999994</v>
      </c>
      <c r="M1707" s="14">
        <f>K1707-L1707</f>
        <v>3.1000000000000014</v>
      </c>
      <c r="N1707" s="15">
        <f>IFERROR(M1707/K1707,0)</f>
        <v>0.25040387722132479</v>
      </c>
      <c r="O1707" s="14">
        <f>IFERROR(L1707/J1707,0)</f>
        <v>0.9373737373737373</v>
      </c>
      <c r="P1707" s="14">
        <f>IFERROR(L1707/G1707,0)</f>
        <v>0.58000000000000207</v>
      </c>
    </row>
    <row r="1708" spans="1:18" x14ac:dyDescent="0.3">
      <c r="A1708" s="9" t="s">
        <v>3697</v>
      </c>
      <c r="B1708" s="9" t="s">
        <v>26</v>
      </c>
      <c r="C1708" s="9" t="s">
        <v>26</v>
      </c>
      <c r="D1708" s="52">
        <v>46206</v>
      </c>
      <c r="E1708" s="48">
        <v>0.66111111111111109</v>
      </c>
      <c r="F1708" s="48">
        <v>0.66666666666666663</v>
      </c>
      <c r="G1708" s="43">
        <f>(F1708-E1708)*1440</f>
        <v>7.9999999999999716</v>
      </c>
      <c r="H1708" s="9" t="s">
        <v>1695</v>
      </c>
      <c r="I1708" s="9" t="s">
        <v>1709</v>
      </c>
      <c r="J1708" s="44">
        <v>2.4</v>
      </c>
      <c r="K1708" s="60">
        <v>4.8</v>
      </c>
      <c r="L1708" s="56">
        <v>5.14</v>
      </c>
      <c r="M1708" s="14">
        <f>K1708-L1708</f>
        <v>-0.33999999999999986</v>
      </c>
      <c r="N1708" s="15">
        <f>IFERROR(M1708/K1708,0)</f>
        <v>-7.0833333333333304E-2</v>
      </c>
      <c r="O1708" s="14">
        <f>IFERROR(L1708/J1708,0)</f>
        <v>2.1416666666666666</v>
      </c>
      <c r="P1708" s="14">
        <f>IFERROR(L1708/G1708,0)</f>
        <v>0.64250000000000229</v>
      </c>
    </row>
    <row r="1709" spans="1:18" x14ac:dyDescent="0.3">
      <c r="A1709" s="9" t="s">
        <v>3698</v>
      </c>
      <c r="B1709" s="9" t="s">
        <v>26</v>
      </c>
      <c r="C1709" s="9" t="s">
        <v>27</v>
      </c>
      <c r="D1709" s="52">
        <v>46206</v>
      </c>
      <c r="E1709" s="48">
        <v>0.6694444444444444</v>
      </c>
      <c r="F1709" s="48">
        <v>0.67847222222222225</v>
      </c>
      <c r="G1709" s="43">
        <f>(F1709-E1709)*1440</f>
        <v>13.000000000000114</v>
      </c>
      <c r="H1709" s="9" t="s">
        <v>2146</v>
      </c>
      <c r="I1709" s="9" t="s">
        <v>732</v>
      </c>
      <c r="J1709" s="44">
        <v>6.9</v>
      </c>
      <c r="K1709" s="60">
        <v>6.01</v>
      </c>
      <c r="L1709" s="56">
        <v>4.51</v>
      </c>
      <c r="M1709" s="14">
        <f>K1709-L1709</f>
        <v>1.5</v>
      </c>
      <c r="N1709" s="15">
        <f>IFERROR(M1709/K1709,0)</f>
        <v>0.24958402662229617</v>
      </c>
      <c r="O1709" s="14">
        <f>IFERROR(L1709/J1709,0)</f>
        <v>0.65362318840579703</v>
      </c>
      <c r="P1709" s="14">
        <f>IFERROR(L1709/G1709,0)</f>
        <v>0.34692307692307389</v>
      </c>
    </row>
    <row r="1710" spans="1:18" x14ac:dyDescent="0.3">
      <c r="A1710" s="9" t="s">
        <v>3699</v>
      </c>
      <c r="B1710" s="9" t="s">
        <v>26</v>
      </c>
      <c r="C1710" s="9" t="s">
        <v>26</v>
      </c>
      <c r="D1710" s="52">
        <v>46206</v>
      </c>
      <c r="E1710" s="48">
        <v>0.68125000000000002</v>
      </c>
      <c r="F1710" s="48">
        <v>0.68611111111111101</v>
      </c>
      <c r="G1710" s="43">
        <f>(F1710-E1710)*1440</f>
        <v>6.9999999999998153</v>
      </c>
      <c r="H1710" s="9" t="s">
        <v>3371</v>
      </c>
      <c r="I1710" s="9" t="s">
        <v>1965</v>
      </c>
      <c r="J1710" s="44">
        <v>4.7</v>
      </c>
      <c r="K1710" s="60">
        <v>6.61</v>
      </c>
      <c r="L1710" s="56">
        <v>5.63</v>
      </c>
      <c r="M1710" s="14">
        <f>K1710-L1710</f>
        <v>0.98000000000000043</v>
      </c>
      <c r="N1710" s="15">
        <f>IFERROR(M1710/K1710,0)</f>
        <v>0.14826021180030263</v>
      </c>
      <c r="O1710" s="14">
        <f>IFERROR(L1710/J1710,0)</f>
        <v>1.1978723404255318</v>
      </c>
      <c r="P1710" s="14">
        <f>IFERROR(L1710/G1710,0)</f>
        <v>0.80428571428573548</v>
      </c>
    </row>
    <row r="1711" spans="1:18" x14ac:dyDescent="0.3">
      <c r="A1711" s="9" t="s">
        <v>3700</v>
      </c>
      <c r="B1711" s="9" t="s">
        <v>26</v>
      </c>
      <c r="C1711" s="9" t="s">
        <v>26</v>
      </c>
      <c r="D1711" s="52">
        <v>46206</v>
      </c>
      <c r="E1711" s="48">
        <v>0.70833333333333337</v>
      </c>
      <c r="F1711" s="48">
        <v>0.72430555555555554</v>
      </c>
      <c r="G1711" s="43">
        <f>(F1711-E1711)*1440</f>
        <v>22.999999999999918</v>
      </c>
      <c r="H1711" s="9" t="s">
        <v>827</v>
      </c>
      <c r="I1711" s="9" t="s">
        <v>2244</v>
      </c>
      <c r="J1711" s="44">
        <v>9.8000000000000007</v>
      </c>
      <c r="K1711" s="60">
        <v>10.3</v>
      </c>
      <c r="L1711" s="56">
        <v>8.1300000000000008</v>
      </c>
      <c r="M1711" s="14">
        <f>K1711-L1711</f>
        <v>2.17</v>
      </c>
      <c r="N1711" s="15">
        <f>IFERROR(M1711/K1711,0)</f>
        <v>0.2106796116504854</v>
      </c>
      <c r="O1711" s="14">
        <f>IFERROR(L1711/J1711,0)</f>
        <v>0.82959183673469394</v>
      </c>
      <c r="P1711" s="14">
        <f>IFERROR(L1711/G1711,0)</f>
        <v>0.35347826086956652</v>
      </c>
      <c r="R1711" s="57">
        <v>2.5</v>
      </c>
    </row>
    <row r="1712" spans="1:18" x14ac:dyDescent="0.3">
      <c r="A1712" s="9" t="s">
        <v>3701</v>
      </c>
      <c r="B1712" s="9" t="s">
        <v>26</v>
      </c>
      <c r="C1712" s="9" t="s">
        <v>27</v>
      </c>
      <c r="D1712" s="52">
        <v>46206</v>
      </c>
      <c r="E1712" s="48">
        <v>0.72777777777777775</v>
      </c>
      <c r="F1712" s="48">
        <v>0.73402777777777783</v>
      </c>
      <c r="G1712" s="43">
        <f>(F1712-E1712)*1440</f>
        <v>9.0000000000001279</v>
      </c>
      <c r="H1712" s="9" t="s">
        <v>2215</v>
      </c>
      <c r="I1712" s="9" t="s">
        <v>1840</v>
      </c>
      <c r="J1712" s="44">
        <v>3.1</v>
      </c>
      <c r="K1712" s="60">
        <v>6.16</v>
      </c>
      <c r="L1712" s="56">
        <v>5.08</v>
      </c>
      <c r="M1712" s="14">
        <f>K1712-L1712</f>
        <v>1.08</v>
      </c>
      <c r="N1712" s="15">
        <f>IFERROR(M1712/K1712,0)</f>
        <v>0.17532467532467533</v>
      </c>
      <c r="O1712" s="14">
        <f>IFERROR(L1712/J1712,0)</f>
        <v>1.6387096774193548</v>
      </c>
      <c r="P1712" s="14">
        <f>IFERROR(L1712/G1712,0)</f>
        <v>0.56444444444443642</v>
      </c>
    </row>
    <row r="1713" spans="1:16" x14ac:dyDescent="0.3">
      <c r="A1713" s="9" t="s">
        <v>3702</v>
      </c>
      <c r="B1713" s="9" t="s">
        <v>26</v>
      </c>
      <c r="C1713" s="9" t="s">
        <v>26</v>
      </c>
      <c r="D1713" s="52">
        <v>46206</v>
      </c>
      <c r="E1713" s="48">
        <v>0.73888888888888893</v>
      </c>
      <c r="F1713" s="48">
        <v>0.78125</v>
      </c>
      <c r="G1713" s="43">
        <f>(F1713-E1713)*1440</f>
        <v>60.999999999999943</v>
      </c>
      <c r="H1713" s="9" t="s">
        <v>908</v>
      </c>
      <c r="I1713" s="9" t="s">
        <v>2545</v>
      </c>
      <c r="J1713" s="44">
        <v>6.8</v>
      </c>
      <c r="K1713" s="60">
        <v>15.74</v>
      </c>
      <c r="L1713" s="56">
        <v>18.559999999999999</v>
      </c>
      <c r="M1713" s="14">
        <f>K1713-L1713</f>
        <v>-2.8199999999999985</v>
      </c>
      <c r="N1713" s="15">
        <f>IFERROR(M1713/K1713,0)</f>
        <v>-0.17916137229987283</v>
      </c>
      <c r="O1713" s="14">
        <f>IFERROR(L1713/J1713,0)</f>
        <v>2.7294117647058824</v>
      </c>
      <c r="P1713" s="14">
        <f>IFERROR(L1713/G1713,0)</f>
        <v>0.30426229508196745</v>
      </c>
    </row>
    <row r="1714" spans="1:16" x14ac:dyDescent="0.3">
      <c r="A1714" s="9" t="s">
        <v>3703</v>
      </c>
      <c r="B1714" s="9" t="s">
        <v>26</v>
      </c>
      <c r="C1714" s="9" t="s">
        <v>26</v>
      </c>
      <c r="D1714" s="52">
        <v>46206</v>
      </c>
      <c r="E1714" s="48">
        <v>0.78194444444444444</v>
      </c>
      <c r="F1714" s="48">
        <v>0.79166666666666663</v>
      </c>
      <c r="G1714" s="43">
        <f>(F1714-E1714)*1440</f>
        <v>13.99999999999995</v>
      </c>
      <c r="H1714" s="9" t="s">
        <v>1296</v>
      </c>
      <c r="I1714" s="9" t="s">
        <v>4181</v>
      </c>
      <c r="J1714" s="44">
        <v>6.6</v>
      </c>
      <c r="K1714" s="60">
        <v>5.6</v>
      </c>
      <c r="L1714" s="56">
        <v>6</v>
      </c>
      <c r="M1714" s="14">
        <f>K1714-L1714</f>
        <v>-0.40000000000000036</v>
      </c>
      <c r="N1714" s="15">
        <f>IFERROR(M1714/K1714,0)</f>
        <v>-7.1428571428571494E-2</v>
      </c>
      <c r="O1714" s="14">
        <f>IFERROR(L1714/J1714,0)</f>
        <v>0.90909090909090917</v>
      </c>
      <c r="P1714" s="14">
        <f>IFERROR(L1714/G1714,0)</f>
        <v>0.4285714285714301</v>
      </c>
    </row>
    <row r="1715" spans="1:16" x14ac:dyDescent="0.3">
      <c r="A1715" s="9" t="s">
        <v>3704</v>
      </c>
      <c r="B1715" s="9" t="s">
        <v>26</v>
      </c>
      <c r="C1715" s="9" t="s">
        <v>26</v>
      </c>
      <c r="D1715" s="52">
        <v>46206</v>
      </c>
      <c r="E1715" s="48">
        <v>0.81041666666666667</v>
      </c>
      <c r="F1715" s="48">
        <v>0.81666666666666676</v>
      </c>
      <c r="G1715" s="43">
        <f>(F1715-E1715)*1440</f>
        <v>9.0000000000001279</v>
      </c>
      <c r="H1715" s="9" t="s">
        <v>3073</v>
      </c>
      <c r="I1715" s="9" t="s">
        <v>818</v>
      </c>
      <c r="J1715" s="44">
        <v>4.7</v>
      </c>
      <c r="K1715" s="60">
        <v>4.16</v>
      </c>
      <c r="L1715" s="56">
        <v>4.45</v>
      </c>
      <c r="M1715" s="14">
        <f>K1715-L1715</f>
        <v>-0.29000000000000004</v>
      </c>
      <c r="N1715" s="15">
        <f>IFERROR(M1715/K1715,0)</f>
        <v>-6.9711538461538464E-2</v>
      </c>
      <c r="O1715" s="14">
        <f>IFERROR(L1715/J1715,0)</f>
        <v>0.94680851063829785</v>
      </c>
      <c r="P1715" s="14">
        <f>IFERROR(L1715/G1715,0)</f>
        <v>0.49444444444443741</v>
      </c>
    </row>
    <row r="1716" spans="1:16" x14ac:dyDescent="0.3">
      <c r="A1716" s="9" t="s">
        <v>3705</v>
      </c>
      <c r="B1716" s="9" t="s">
        <v>26</v>
      </c>
      <c r="C1716" s="9" t="s">
        <v>26</v>
      </c>
      <c r="D1716" s="52">
        <v>46206</v>
      </c>
      <c r="E1716" s="48">
        <v>0.82152777777777775</v>
      </c>
      <c r="F1716" s="48">
        <v>0.82638888888888884</v>
      </c>
      <c r="G1716" s="43">
        <f>(F1716-E1716)*1440</f>
        <v>6.9999999999999751</v>
      </c>
      <c r="H1716" s="9" t="s">
        <v>1688</v>
      </c>
      <c r="I1716" s="9" t="s">
        <v>4182</v>
      </c>
      <c r="J1716" s="44">
        <v>4.9000000000000004</v>
      </c>
      <c r="K1716" s="60">
        <v>5.48</v>
      </c>
      <c r="L1716" s="56">
        <v>4.62</v>
      </c>
      <c r="M1716" s="14">
        <f>K1716-L1716</f>
        <v>0.86000000000000032</v>
      </c>
      <c r="N1716" s="15">
        <f>IFERROR(M1716/K1716,0)</f>
        <v>0.15693430656934312</v>
      </c>
      <c r="O1716" s="14">
        <f>IFERROR(L1716/J1716,0)</f>
        <v>0.94285714285714284</v>
      </c>
      <c r="P1716" s="14">
        <f>IFERROR(L1716/G1716,0)</f>
        <v>0.66000000000000236</v>
      </c>
    </row>
    <row r="1717" spans="1:16" x14ac:dyDescent="0.3">
      <c r="A1717" s="9" t="s">
        <v>3706</v>
      </c>
      <c r="B1717" s="9" t="s">
        <v>26</v>
      </c>
      <c r="C1717" s="9" t="s">
        <v>26</v>
      </c>
      <c r="D1717" s="52">
        <v>46206</v>
      </c>
      <c r="E1717" s="48">
        <v>0.82986111111111116</v>
      </c>
      <c r="F1717" s="48">
        <v>0.8340277777777777</v>
      </c>
      <c r="G1717" s="43">
        <f>(F1717-E1717)*1440</f>
        <v>5.9999999999998188</v>
      </c>
      <c r="H1717" s="9" t="s">
        <v>4183</v>
      </c>
      <c r="I1717" s="9" t="s">
        <v>4184</v>
      </c>
      <c r="J1717" s="44">
        <v>3.1</v>
      </c>
      <c r="K1717" s="60">
        <v>6.34</v>
      </c>
      <c r="L1717" s="56">
        <v>4.75</v>
      </c>
      <c r="M1717" s="14">
        <f>K1717-L1717</f>
        <v>1.5899999999999999</v>
      </c>
      <c r="N1717" s="15">
        <f>IFERROR(M1717/K1717,0)</f>
        <v>0.25078864353312302</v>
      </c>
      <c r="O1717" s="14">
        <f>IFERROR(L1717/J1717,0)</f>
        <v>1.532258064516129</v>
      </c>
      <c r="P1717" s="14">
        <f>IFERROR(L1717/G1717,0)</f>
        <v>0.79166666666669061</v>
      </c>
    </row>
    <row r="1718" spans="1:16" x14ac:dyDescent="0.3">
      <c r="A1718" s="9" t="s">
        <v>3707</v>
      </c>
      <c r="B1718" s="9" t="s">
        <v>26</v>
      </c>
      <c r="C1718" s="9" t="s">
        <v>26</v>
      </c>
      <c r="D1718" s="52">
        <v>46206</v>
      </c>
      <c r="E1718" s="48">
        <v>0.83750000000000002</v>
      </c>
      <c r="F1718" s="48">
        <v>0.84236111111111101</v>
      </c>
      <c r="G1718" s="43">
        <f>(F1718-E1718)*1440</f>
        <v>6.9999999999998153</v>
      </c>
      <c r="H1718" s="9" t="s">
        <v>4185</v>
      </c>
      <c r="I1718" s="9" t="s">
        <v>2885</v>
      </c>
      <c r="J1718" s="44">
        <v>4.5</v>
      </c>
      <c r="K1718" s="60">
        <v>6.85</v>
      </c>
      <c r="L1718" s="56">
        <v>5.14</v>
      </c>
      <c r="M1718" s="14">
        <f>K1718-L1718</f>
        <v>1.71</v>
      </c>
      <c r="N1718" s="15">
        <f>IFERROR(M1718/K1718,0)</f>
        <v>0.24963503649635038</v>
      </c>
      <c r="O1718" s="14">
        <f>IFERROR(L1718/J1718,0)</f>
        <v>1.1422222222222222</v>
      </c>
      <c r="P1718" s="14">
        <f>IFERROR(L1718/G1718,0)</f>
        <v>0.73428571428573364</v>
      </c>
    </row>
    <row r="1719" spans="1:16" x14ac:dyDescent="0.3">
      <c r="A1719" s="9" t="s">
        <v>3708</v>
      </c>
      <c r="B1719" s="9" t="s">
        <v>26</v>
      </c>
      <c r="C1719" s="9" t="s">
        <v>27</v>
      </c>
      <c r="D1719" s="52">
        <v>46206</v>
      </c>
      <c r="E1719" s="48">
        <v>0.85555555555555562</v>
      </c>
      <c r="F1719" s="48">
        <v>0.88055555555555554</v>
      </c>
      <c r="G1719" s="43">
        <f>(F1719-E1719)*1440</f>
        <v>35.999999999999872</v>
      </c>
      <c r="H1719" s="9" t="s">
        <v>766</v>
      </c>
      <c r="I1719" s="9" t="s">
        <v>531</v>
      </c>
      <c r="J1719" s="44">
        <v>27.3</v>
      </c>
      <c r="K1719" s="60">
        <v>19.7</v>
      </c>
      <c r="L1719" s="56">
        <v>14.77</v>
      </c>
      <c r="M1719" s="14">
        <f>K1719-L1719</f>
        <v>4.93</v>
      </c>
      <c r="N1719" s="15">
        <f>IFERROR(M1719/K1719,0)</f>
        <v>0.250253807106599</v>
      </c>
      <c r="O1719" s="14">
        <f>IFERROR(L1719/J1719,0)</f>
        <v>0.54102564102564099</v>
      </c>
      <c r="P1719" s="14">
        <f>IFERROR(L1719/G1719,0)</f>
        <v>0.41027777777777924</v>
      </c>
    </row>
    <row r="1720" spans="1:16" x14ac:dyDescent="0.3">
      <c r="A1720" s="9" t="s">
        <v>3709</v>
      </c>
      <c r="B1720" s="9" t="s">
        <v>26</v>
      </c>
      <c r="C1720" s="9" t="s">
        <v>27</v>
      </c>
      <c r="D1720" s="52">
        <v>46206</v>
      </c>
      <c r="E1720" s="48">
        <v>0.8833333333333333</v>
      </c>
      <c r="F1720" s="48">
        <v>0.89097222222222217</v>
      </c>
      <c r="G1720" s="43">
        <f>(F1720-E1720)*1440</f>
        <v>10.999999999999961</v>
      </c>
      <c r="H1720" s="9" t="s">
        <v>570</v>
      </c>
      <c r="I1720" s="9" t="s">
        <v>4186</v>
      </c>
      <c r="J1720" s="44">
        <v>6.8</v>
      </c>
      <c r="K1720" s="60">
        <v>5.76</v>
      </c>
      <c r="L1720" s="56">
        <v>4.32</v>
      </c>
      <c r="M1720" s="14">
        <f>K1720-L1720</f>
        <v>1.4399999999999995</v>
      </c>
      <c r="N1720" s="15">
        <f>IFERROR(M1720/K1720,0)</f>
        <v>0.24999999999999992</v>
      </c>
      <c r="O1720" s="14">
        <f>IFERROR(L1720/J1720,0)</f>
        <v>0.6352941176470589</v>
      </c>
      <c r="P1720" s="14">
        <f>IFERROR(L1720/G1720,0)</f>
        <v>0.39272727272727415</v>
      </c>
    </row>
    <row r="1721" spans="1:16" x14ac:dyDescent="0.3">
      <c r="A1721" s="9" t="s">
        <v>3710</v>
      </c>
      <c r="B1721" s="9" t="s">
        <v>18</v>
      </c>
      <c r="C1721" s="9" t="s">
        <v>184</v>
      </c>
      <c r="D1721" s="52">
        <v>46206</v>
      </c>
      <c r="E1721" s="48">
        <v>0.54375000000000007</v>
      </c>
      <c r="F1721" s="48">
        <v>0.55069444444444449</v>
      </c>
      <c r="G1721" s="43">
        <f>(F1721-E1721)*1440</f>
        <v>9.9999999999999645</v>
      </c>
      <c r="H1721" s="9" t="s">
        <v>4187</v>
      </c>
      <c r="I1721" s="9" t="s">
        <v>1183</v>
      </c>
      <c r="J1721" s="44">
        <v>6.45</v>
      </c>
      <c r="K1721" s="60">
        <v>5.93</v>
      </c>
      <c r="L1721" s="56">
        <v>4.45</v>
      </c>
      <c r="M1721" s="14">
        <f>K1721-L1721</f>
        <v>1.4799999999999995</v>
      </c>
      <c r="N1721" s="15">
        <f>IFERROR(M1721/K1721,0)</f>
        <v>0.24957841483979756</v>
      </c>
      <c r="O1721" s="14">
        <f>IFERROR(L1721/J1721,0)</f>
        <v>0.68992248062015504</v>
      </c>
      <c r="P1721" s="14">
        <f>IFERROR(L1721/G1721,0)</f>
        <v>0.44500000000000162</v>
      </c>
    </row>
    <row r="1722" spans="1:16" x14ac:dyDescent="0.3">
      <c r="A1722" s="9" t="s">
        <v>3711</v>
      </c>
      <c r="B1722" s="9" t="s">
        <v>18</v>
      </c>
      <c r="C1722" s="9" t="s">
        <v>184</v>
      </c>
      <c r="D1722" s="52">
        <v>46206</v>
      </c>
      <c r="E1722" s="48">
        <v>0.55277777777777781</v>
      </c>
      <c r="F1722" s="48">
        <v>0.55833333333333335</v>
      </c>
      <c r="G1722" s="43">
        <f>(F1722-E1722)*1440</f>
        <v>7.9999999999999716</v>
      </c>
      <c r="H1722" s="9" t="s">
        <v>4188</v>
      </c>
      <c r="I1722" s="9" t="s">
        <v>4189</v>
      </c>
      <c r="J1722" s="44">
        <v>4.25</v>
      </c>
      <c r="K1722" s="60">
        <v>6.93</v>
      </c>
      <c r="L1722" s="56">
        <v>5.98</v>
      </c>
      <c r="M1722" s="14">
        <f>K1722-L1722</f>
        <v>0.94999999999999929</v>
      </c>
      <c r="N1722" s="15">
        <f>IFERROR(M1722/K1722,0)</f>
        <v>0.13708513708513698</v>
      </c>
      <c r="O1722" s="14">
        <f>IFERROR(L1722/J1722,0)</f>
        <v>1.4070588235294119</v>
      </c>
      <c r="P1722" s="14">
        <f>IFERROR(L1722/G1722,0)</f>
        <v>0.74750000000000272</v>
      </c>
    </row>
    <row r="1723" spans="1:16" x14ac:dyDescent="0.3">
      <c r="A1723" s="9" t="s">
        <v>3712</v>
      </c>
      <c r="B1723" s="9" t="s">
        <v>18</v>
      </c>
      <c r="C1723" s="9" t="s">
        <v>184</v>
      </c>
      <c r="D1723" s="52">
        <v>46206</v>
      </c>
      <c r="E1723" s="48">
        <v>0.56666666666666665</v>
      </c>
      <c r="F1723" s="48">
        <v>0.57013888888888886</v>
      </c>
      <c r="G1723" s="43">
        <f>(F1723-E1723)*1440</f>
        <v>4.9999999999999822</v>
      </c>
      <c r="H1723" s="9" t="s">
        <v>4189</v>
      </c>
      <c r="I1723" s="9" t="s">
        <v>4190</v>
      </c>
      <c r="J1723" s="44">
        <v>1.57</v>
      </c>
      <c r="K1723" s="60">
        <v>6.44</v>
      </c>
      <c r="L1723" s="56">
        <v>5.48</v>
      </c>
      <c r="M1723" s="14">
        <f>K1723-L1723</f>
        <v>0.96</v>
      </c>
      <c r="N1723" s="15">
        <f>IFERROR(M1723/K1723,0)</f>
        <v>0.14906832298136644</v>
      </c>
      <c r="O1723" s="14">
        <f>IFERROR(L1723/J1723,0)</f>
        <v>3.4904458598726116</v>
      </c>
      <c r="P1723" s="14">
        <f>IFERROR(L1723/G1723,0)</f>
        <v>1.0960000000000041</v>
      </c>
    </row>
    <row r="1724" spans="1:16" x14ac:dyDescent="0.3">
      <c r="A1724" s="9" t="s">
        <v>3713</v>
      </c>
      <c r="B1724" s="9" t="s">
        <v>18</v>
      </c>
      <c r="C1724" s="9" t="s">
        <v>184</v>
      </c>
      <c r="D1724" s="52">
        <v>46206</v>
      </c>
      <c r="E1724" s="48">
        <v>0.57500000000000007</v>
      </c>
      <c r="F1724" s="48">
        <v>0.57847222222222217</v>
      </c>
      <c r="G1724" s="43">
        <f>(F1724-E1724)*1440</f>
        <v>4.9999999999998224</v>
      </c>
      <c r="H1724" s="9" t="s">
        <v>4191</v>
      </c>
      <c r="I1724" s="9" t="s">
        <v>2883</v>
      </c>
      <c r="J1724" s="44">
        <v>2.9</v>
      </c>
      <c r="K1724" s="60">
        <v>7.94</v>
      </c>
      <c r="L1724" s="56">
        <v>6</v>
      </c>
      <c r="M1724" s="14">
        <f>K1724-L1724</f>
        <v>1.9400000000000004</v>
      </c>
      <c r="N1724" s="15">
        <f>IFERROR(M1724/K1724,0)</f>
        <v>0.24433249370277083</v>
      </c>
      <c r="O1724" s="14">
        <f>IFERROR(L1724/J1724,0)</f>
        <v>2.0689655172413794</v>
      </c>
      <c r="P1724" s="14">
        <f>IFERROR(L1724/G1724,0)</f>
        <v>1.2000000000000426</v>
      </c>
    </row>
    <row r="1725" spans="1:16" x14ac:dyDescent="0.3">
      <c r="A1725" s="9" t="s">
        <v>3714</v>
      </c>
      <c r="B1725" s="9" t="s">
        <v>18</v>
      </c>
      <c r="C1725" s="9" t="s">
        <v>184</v>
      </c>
      <c r="D1725" s="52">
        <v>46206</v>
      </c>
      <c r="E1725" s="48">
        <v>0.57777777777777783</v>
      </c>
      <c r="F1725" s="48">
        <v>0.59097222222222223</v>
      </c>
      <c r="G1725" s="43">
        <f>(F1725-E1725)*1440</f>
        <v>18.999999999999932</v>
      </c>
      <c r="H1725" s="9" t="s">
        <v>4097</v>
      </c>
      <c r="I1725" s="9" t="s">
        <v>1120</v>
      </c>
      <c r="J1725" s="44">
        <v>13.14</v>
      </c>
      <c r="K1725" s="60">
        <v>17.96</v>
      </c>
      <c r="L1725" s="56">
        <v>11.7</v>
      </c>
      <c r="M1725" s="14">
        <f>K1725-L1725</f>
        <v>6.2600000000000016</v>
      </c>
      <c r="N1725" s="15">
        <f>IFERROR(M1725/K1725,0)</f>
        <v>0.3485523385300669</v>
      </c>
      <c r="O1725" s="14">
        <f>IFERROR(L1725/J1725,0)</f>
        <v>0.89041095890410948</v>
      </c>
      <c r="P1725" s="14">
        <f>IFERROR(L1725/G1725,0)</f>
        <v>0.61578947368421266</v>
      </c>
    </row>
    <row r="1726" spans="1:16" x14ac:dyDescent="0.3">
      <c r="A1726" s="9" t="s">
        <v>3715</v>
      </c>
      <c r="B1726" s="9" t="s">
        <v>18</v>
      </c>
      <c r="C1726" s="9" t="s">
        <v>184</v>
      </c>
      <c r="D1726" s="52">
        <v>46206</v>
      </c>
      <c r="E1726" s="48">
        <v>0.63402777777777775</v>
      </c>
      <c r="F1726" s="48">
        <v>0.6381944444444444</v>
      </c>
      <c r="G1726" s="43">
        <f>(F1726-E1726)*1440</f>
        <v>5.9999999999999787</v>
      </c>
      <c r="H1726" s="9" t="s">
        <v>1317</v>
      </c>
      <c r="I1726" s="9" t="s">
        <v>2796</v>
      </c>
      <c r="J1726" s="44">
        <v>2.38</v>
      </c>
      <c r="K1726" s="60">
        <v>9.93</v>
      </c>
      <c r="L1726" s="56">
        <v>6.79</v>
      </c>
      <c r="M1726" s="14">
        <f>K1726-L1726</f>
        <v>3.1399999999999997</v>
      </c>
      <c r="N1726" s="15">
        <f>IFERROR(M1726/K1726,0)</f>
        <v>0.31621349446122859</v>
      </c>
      <c r="O1726" s="14">
        <f>IFERROR(L1726/J1726,0)</f>
        <v>2.8529411764705883</v>
      </c>
      <c r="P1726" s="14">
        <f>IFERROR(L1726/G1726,0)</f>
        <v>1.1316666666666706</v>
      </c>
    </row>
    <row r="1727" spans="1:16" x14ac:dyDescent="0.3">
      <c r="A1727" s="9" t="s">
        <v>3716</v>
      </c>
      <c r="B1727" s="9" t="s">
        <v>18</v>
      </c>
      <c r="C1727" s="9" t="s">
        <v>184</v>
      </c>
      <c r="D1727" s="52">
        <v>46206</v>
      </c>
      <c r="E1727" s="48">
        <v>0.68472222222222223</v>
      </c>
      <c r="F1727" s="48">
        <v>0.69513888888888886</v>
      </c>
      <c r="G1727" s="43">
        <f>(F1727-E1727)*1440</f>
        <v>14.999999999999947</v>
      </c>
      <c r="H1727" s="9" t="s">
        <v>729</v>
      </c>
      <c r="I1727" s="9" t="s">
        <v>1690</v>
      </c>
      <c r="J1727" s="44">
        <v>8.9600000000000009</v>
      </c>
      <c r="K1727" s="60">
        <v>14.94</v>
      </c>
      <c r="L1727" s="56">
        <v>11.26</v>
      </c>
      <c r="M1727" s="14">
        <f>K1727-L1727</f>
        <v>3.6799999999999997</v>
      </c>
      <c r="N1727" s="15">
        <f>IFERROR(M1727/K1727,0)</f>
        <v>0.24631860776439088</v>
      </c>
      <c r="O1727" s="14">
        <f>IFERROR(L1727/J1727,0)</f>
        <v>1.2566964285714284</v>
      </c>
      <c r="P1727" s="14">
        <f>IFERROR(L1727/G1727,0)</f>
        <v>0.75066666666666937</v>
      </c>
    </row>
    <row r="1728" spans="1:16" x14ac:dyDescent="0.3">
      <c r="A1728" s="9" t="s">
        <v>3717</v>
      </c>
      <c r="B1728" s="9" t="s">
        <v>18</v>
      </c>
      <c r="C1728" s="9" t="s">
        <v>184</v>
      </c>
      <c r="D1728" s="52">
        <v>46207</v>
      </c>
      <c r="E1728" s="48">
        <v>0.57500000000000007</v>
      </c>
      <c r="F1728" s="48">
        <v>0.58194444444444449</v>
      </c>
      <c r="G1728" s="43">
        <f>(F1728-E1728)*1440</f>
        <v>9.9999999999999645</v>
      </c>
      <c r="H1728" s="9" t="s">
        <v>4192</v>
      </c>
      <c r="I1728" s="9" t="s">
        <v>1770</v>
      </c>
      <c r="J1728" s="44">
        <v>9.6</v>
      </c>
      <c r="K1728" s="60">
        <v>9.94</v>
      </c>
      <c r="L1728" s="56">
        <v>7.16</v>
      </c>
      <c r="M1728" s="14">
        <f>K1728-L1728</f>
        <v>2.7799999999999994</v>
      </c>
      <c r="N1728" s="15">
        <f>IFERROR(M1728/K1728,0)</f>
        <v>0.27967806841046272</v>
      </c>
      <c r="O1728" s="14">
        <f>IFERROR(L1728/J1728,0)</f>
        <v>0.74583333333333335</v>
      </c>
      <c r="P1728" s="14">
        <f>IFERROR(L1728/G1728,0)</f>
        <v>0.71600000000000252</v>
      </c>
    </row>
    <row r="1729" spans="1:19" x14ac:dyDescent="0.3">
      <c r="A1729" s="9" t="s">
        <v>3718</v>
      </c>
      <c r="B1729" s="9" t="s">
        <v>18</v>
      </c>
      <c r="C1729" s="9" t="s">
        <v>184</v>
      </c>
      <c r="D1729" s="52">
        <v>46207</v>
      </c>
      <c r="E1729" s="48">
        <v>0.64097222222222217</v>
      </c>
      <c r="F1729" s="48">
        <v>0.6479166666666667</v>
      </c>
      <c r="G1729" s="43">
        <f>(F1729-E1729)*1440</f>
        <v>10.000000000000124</v>
      </c>
      <c r="H1729" s="9" t="s">
        <v>4193</v>
      </c>
      <c r="I1729" s="9" t="s">
        <v>4194</v>
      </c>
      <c r="J1729" s="44">
        <v>4.6399999999999997</v>
      </c>
      <c r="K1729" s="60">
        <v>9.94</v>
      </c>
      <c r="L1729" s="56">
        <v>6.76</v>
      </c>
      <c r="M1729" s="14">
        <f>K1729-L1729</f>
        <v>3.1799999999999997</v>
      </c>
      <c r="N1729" s="15">
        <f>IFERROR(M1729/K1729,0)</f>
        <v>0.31991951710261568</v>
      </c>
      <c r="O1729" s="14">
        <f>IFERROR(L1729/J1729,0)</f>
        <v>1.4568965517241379</v>
      </c>
      <c r="P1729" s="14">
        <f>IFERROR(L1729/G1729,0)</f>
        <v>0.67599999999999161</v>
      </c>
    </row>
    <row r="1730" spans="1:19" x14ac:dyDescent="0.3">
      <c r="A1730" s="9" t="s">
        <v>3719</v>
      </c>
      <c r="B1730" s="9" t="s">
        <v>18</v>
      </c>
      <c r="C1730" s="9" t="s">
        <v>184</v>
      </c>
      <c r="D1730" s="52">
        <v>46207</v>
      </c>
      <c r="E1730" s="48">
        <v>0.68472222222222223</v>
      </c>
      <c r="F1730" s="48">
        <v>0.69236111111111109</v>
      </c>
      <c r="G1730" s="43">
        <f>(F1730-E1730)*1440</f>
        <v>10.999999999999961</v>
      </c>
      <c r="H1730" s="9" t="s">
        <v>4195</v>
      </c>
      <c r="I1730" s="9" t="s">
        <v>4196</v>
      </c>
      <c r="J1730" s="44">
        <v>5.26</v>
      </c>
      <c r="K1730" s="60">
        <v>5.94</v>
      </c>
      <c r="L1730" s="56">
        <v>4.4800000000000004</v>
      </c>
      <c r="M1730" s="14">
        <f>K1730-L1730</f>
        <v>1.46</v>
      </c>
      <c r="N1730" s="15">
        <f>IFERROR(M1730/K1730,0)</f>
        <v>0.24579124579124578</v>
      </c>
      <c r="O1730" s="14">
        <f>IFERROR(L1730/J1730,0)</f>
        <v>0.85171102661596965</v>
      </c>
      <c r="P1730" s="14">
        <f>IFERROR(L1730/G1730,0)</f>
        <v>0.40727272727272879</v>
      </c>
    </row>
    <row r="1731" spans="1:19" x14ac:dyDescent="0.3">
      <c r="A1731" s="9" t="s">
        <v>3720</v>
      </c>
      <c r="B1731" s="9" t="s">
        <v>18</v>
      </c>
      <c r="C1731" s="9" t="s">
        <v>196</v>
      </c>
      <c r="D1731" s="52">
        <v>46207</v>
      </c>
      <c r="E1731" s="48">
        <v>0.7680555555555556</v>
      </c>
      <c r="F1731" s="48">
        <v>0.77430555555555547</v>
      </c>
      <c r="G1731" s="43">
        <f>(F1731-E1731)*1440</f>
        <v>8.9999999999998082</v>
      </c>
      <c r="H1731" s="9" t="s">
        <v>4197</v>
      </c>
      <c r="I1731" s="9" t="s">
        <v>788</v>
      </c>
      <c r="J1731" s="44">
        <v>6.41</v>
      </c>
      <c r="K1731" s="60">
        <v>6.47</v>
      </c>
      <c r="L1731" s="56">
        <v>4.12</v>
      </c>
      <c r="M1731" s="14">
        <f>K1731-L1731</f>
        <v>2.3499999999999996</v>
      </c>
      <c r="N1731" s="15">
        <f>IFERROR(M1731/K1731,0)</f>
        <v>0.36321483771251928</v>
      </c>
      <c r="O1731" s="14">
        <f>IFERROR(L1731/J1731,0)</f>
        <v>0.64274570982839319</v>
      </c>
      <c r="P1731" s="14">
        <f>IFERROR(L1731/G1731,0)</f>
        <v>0.45777777777778755</v>
      </c>
    </row>
    <row r="1732" spans="1:19" x14ac:dyDescent="0.3">
      <c r="A1732" s="9" t="s">
        <v>3721</v>
      </c>
      <c r="B1732" s="9" t="s">
        <v>18</v>
      </c>
      <c r="C1732" s="9" t="s">
        <v>184</v>
      </c>
      <c r="D1732" s="52">
        <v>46207</v>
      </c>
      <c r="E1732" s="48">
        <v>0.7944444444444444</v>
      </c>
      <c r="F1732" s="48">
        <v>0.80069444444444438</v>
      </c>
      <c r="G1732" s="43">
        <f>(F1732-E1732)*1440</f>
        <v>8.999999999999968</v>
      </c>
      <c r="H1732" s="9" t="s">
        <v>825</v>
      </c>
      <c r="I1732" s="9" t="s">
        <v>214</v>
      </c>
      <c r="J1732" s="44">
        <v>8.69</v>
      </c>
      <c r="K1732" s="60">
        <v>6.93</v>
      </c>
      <c r="L1732" s="56">
        <v>5.18</v>
      </c>
      <c r="M1732" s="14">
        <f>K1732-L1732</f>
        <v>1.75</v>
      </c>
      <c r="N1732" s="15">
        <f>IFERROR(M1732/K1732,0)</f>
        <v>0.25252525252525254</v>
      </c>
      <c r="O1732" s="14">
        <f>IFERROR(L1732/J1732,0)</f>
        <v>0.59608745684695053</v>
      </c>
      <c r="P1732" s="14">
        <f>IFERROR(L1732/G1732,0)</f>
        <v>0.5755555555555576</v>
      </c>
      <c r="S1732" s="61">
        <v>2</v>
      </c>
    </row>
    <row r="1733" spans="1:19" x14ac:dyDescent="0.3">
      <c r="A1733" s="9" t="s">
        <v>3722</v>
      </c>
      <c r="B1733" s="9" t="s">
        <v>18</v>
      </c>
      <c r="C1733" s="9" t="s">
        <v>184</v>
      </c>
      <c r="D1733" s="52">
        <v>46207</v>
      </c>
      <c r="E1733" s="48">
        <v>0.80347222222222225</v>
      </c>
      <c r="F1733" s="48">
        <v>0.81041666666666667</v>
      </c>
      <c r="G1733" s="43">
        <f>(F1733-E1733)*1440</f>
        <v>9.9999999999999645</v>
      </c>
      <c r="H1733" s="9" t="s">
        <v>214</v>
      </c>
      <c r="I1733" s="9" t="s">
        <v>4198</v>
      </c>
      <c r="J1733" s="44">
        <v>5.12</v>
      </c>
      <c r="K1733" s="60">
        <v>6.96</v>
      </c>
      <c r="L1733" s="56">
        <v>4.5199999999999996</v>
      </c>
      <c r="M1733" s="14">
        <f>K1733-L1733</f>
        <v>2.4400000000000004</v>
      </c>
      <c r="N1733" s="15">
        <f>IFERROR(M1733/K1733,0)</f>
        <v>0.35057471264367823</v>
      </c>
      <c r="O1733" s="14">
        <f>IFERROR(L1733/J1733,0)</f>
        <v>0.88281249999999989</v>
      </c>
      <c r="P1733" s="14">
        <f>IFERROR(L1733/G1733,0)</f>
        <v>0.45200000000000157</v>
      </c>
    </row>
    <row r="1734" spans="1:19" x14ac:dyDescent="0.3">
      <c r="A1734" s="9" t="s">
        <v>3723</v>
      </c>
      <c r="B1734" s="9" t="s">
        <v>18</v>
      </c>
      <c r="C1734" s="9" t="s">
        <v>184</v>
      </c>
      <c r="D1734" s="52">
        <v>46207</v>
      </c>
      <c r="E1734" s="48">
        <v>0.81458333333333333</v>
      </c>
      <c r="F1734" s="48">
        <v>0.82361111111111107</v>
      </c>
      <c r="G1734" s="43">
        <f>(F1734-E1734)*1440</f>
        <v>12.999999999999954</v>
      </c>
      <c r="H1734" s="9" t="s">
        <v>4199</v>
      </c>
      <c r="I1734" s="9" t="s">
        <v>1361</v>
      </c>
      <c r="J1734" s="44">
        <v>7.54</v>
      </c>
      <c r="K1734" s="60">
        <v>7.96</v>
      </c>
      <c r="L1734" s="56">
        <v>6.28</v>
      </c>
      <c r="M1734" s="14">
        <f>K1734-L1734</f>
        <v>1.6799999999999997</v>
      </c>
      <c r="N1734" s="15">
        <f>IFERROR(M1734/K1734,0)</f>
        <v>0.21105527638190952</v>
      </c>
      <c r="O1734" s="14">
        <f>IFERROR(L1734/J1734,0)</f>
        <v>0.83289124668435022</v>
      </c>
      <c r="P1734" s="14">
        <f>IFERROR(L1734/G1734,0)</f>
        <v>0.48307692307692479</v>
      </c>
    </row>
    <row r="1735" spans="1:19" x14ac:dyDescent="0.3">
      <c r="A1735" s="9" t="s">
        <v>3724</v>
      </c>
      <c r="B1735" s="9" t="s">
        <v>26</v>
      </c>
      <c r="C1735" s="9" t="s">
        <v>26</v>
      </c>
      <c r="D1735" s="52">
        <v>46207</v>
      </c>
      <c r="E1735" s="48">
        <v>0.53819444444444442</v>
      </c>
      <c r="F1735" s="48">
        <v>0.55486111111111114</v>
      </c>
      <c r="G1735" s="43">
        <f>(F1735-E1735)*1440</f>
        <v>24.000000000000075</v>
      </c>
      <c r="H1735" s="9" t="s">
        <v>4200</v>
      </c>
      <c r="I1735" s="9" t="s">
        <v>4201</v>
      </c>
      <c r="J1735" s="44">
        <v>18.7</v>
      </c>
      <c r="K1735" s="60">
        <v>9.51</v>
      </c>
      <c r="L1735" s="56">
        <v>10.18</v>
      </c>
      <c r="M1735" s="14">
        <f>K1735-L1735</f>
        <v>-0.66999999999999993</v>
      </c>
      <c r="N1735" s="15">
        <f>IFERROR(M1735/K1735,0)</f>
        <v>-7.0452155625657195E-2</v>
      </c>
      <c r="O1735" s="14">
        <f>IFERROR(L1735/J1735,0)</f>
        <v>0.54438502673796796</v>
      </c>
      <c r="P1735" s="14">
        <f>IFERROR(L1735/G1735,0)</f>
        <v>0.42416666666666536</v>
      </c>
    </row>
    <row r="1736" spans="1:19" x14ac:dyDescent="0.3">
      <c r="A1736" s="9" t="s">
        <v>3725</v>
      </c>
      <c r="B1736" s="9" t="s">
        <v>26</v>
      </c>
      <c r="C1736" s="9" t="s">
        <v>26</v>
      </c>
      <c r="D1736" s="52">
        <v>46207</v>
      </c>
      <c r="E1736" s="48">
        <v>0.55555555555555558</v>
      </c>
      <c r="F1736" s="48">
        <v>0.55902777777777779</v>
      </c>
      <c r="G1736" s="43">
        <f>(F1736-E1736)*1440</f>
        <v>4.9999999999999822</v>
      </c>
      <c r="H1736" s="9" t="s">
        <v>4201</v>
      </c>
      <c r="I1736" s="9" t="s">
        <v>608</v>
      </c>
      <c r="J1736" s="44">
        <v>1.6</v>
      </c>
      <c r="K1736" s="60">
        <v>4.3600000000000003</v>
      </c>
      <c r="L1736" s="56">
        <v>3.63</v>
      </c>
      <c r="M1736" s="14">
        <f>K1736-L1736</f>
        <v>0.73000000000000043</v>
      </c>
      <c r="N1736" s="15">
        <f>IFERROR(M1736/K1736,0)</f>
        <v>0.16743119266055054</v>
      </c>
      <c r="O1736" s="14">
        <f>IFERROR(L1736/J1736,0)</f>
        <v>2.2687499999999998</v>
      </c>
      <c r="P1736" s="14">
        <f>IFERROR(L1736/G1736,0)</f>
        <v>0.72600000000000253</v>
      </c>
    </row>
    <row r="1737" spans="1:19" x14ac:dyDescent="0.3">
      <c r="A1737" s="9" t="s">
        <v>3726</v>
      </c>
      <c r="B1737" s="9" t="s">
        <v>26</v>
      </c>
      <c r="C1737" s="9" t="s">
        <v>26</v>
      </c>
      <c r="D1737" s="52">
        <v>46207</v>
      </c>
      <c r="E1737" s="48">
        <v>0.56458333333333333</v>
      </c>
      <c r="F1737" s="48">
        <v>0.57638888888888895</v>
      </c>
      <c r="G1737" s="43">
        <f>(F1737-E1737)*1440</f>
        <v>17.000000000000099</v>
      </c>
      <c r="H1737" s="9" t="s">
        <v>4202</v>
      </c>
      <c r="I1737" s="9" t="s">
        <v>4203</v>
      </c>
      <c r="J1737" s="44">
        <v>11</v>
      </c>
      <c r="K1737" s="60">
        <v>5.95</v>
      </c>
      <c r="L1737" s="56">
        <v>6.37</v>
      </c>
      <c r="M1737" s="14">
        <f>K1737-L1737</f>
        <v>-0.41999999999999993</v>
      </c>
      <c r="N1737" s="15">
        <f>IFERROR(M1737/K1737,0)</f>
        <v>-7.0588235294117632E-2</v>
      </c>
      <c r="O1737" s="14">
        <f>IFERROR(L1737/J1737,0)</f>
        <v>0.5790909090909091</v>
      </c>
      <c r="P1737" s="14">
        <f>IFERROR(L1737/G1737,0)</f>
        <v>0.374705882352939</v>
      </c>
    </row>
    <row r="1738" spans="1:19" x14ac:dyDescent="0.3">
      <c r="A1738" s="9" t="s">
        <v>3727</v>
      </c>
      <c r="B1738" s="9" t="s">
        <v>26</v>
      </c>
      <c r="C1738" s="9" t="s">
        <v>26</v>
      </c>
      <c r="D1738" s="52">
        <v>46207</v>
      </c>
      <c r="E1738" s="48">
        <v>0.59652777777777777</v>
      </c>
      <c r="F1738" s="48">
        <v>0.60277777777777775</v>
      </c>
      <c r="G1738" s="43">
        <f>(F1738-E1738)*1440</f>
        <v>8.999999999999968</v>
      </c>
      <c r="H1738" s="9" t="s">
        <v>4204</v>
      </c>
      <c r="I1738" s="9" t="s">
        <v>4205</v>
      </c>
      <c r="J1738" s="44">
        <v>4.7</v>
      </c>
      <c r="K1738" s="60">
        <v>5.82</v>
      </c>
      <c r="L1738" s="56">
        <v>5.46</v>
      </c>
      <c r="M1738" s="14">
        <f>K1738-L1738</f>
        <v>0.36000000000000032</v>
      </c>
      <c r="N1738" s="15">
        <f>IFERROR(M1738/K1738,0)</f>
        <v>6.1855670103092834E-2</v>
      </c>
      <c r="O1738" s="14">
        <f>IFERROR(L1738/J1738,0)</f>
        <v>1.1617021276595745</v>
      </c>
      <c r="P1738" s="14">
        <f>IFERROR(L1738/G1738,0)</f>
        <v>0.6066666666666688</v>
      </c>
      <c r="R1738" s="57">
        <v>2.4300000000000002</v>
      </c>
    </row>
    <row r="1739" spans="1:19" x14ac:dyDescent="0.3">
      <c r="A1739" s="9" t="s">
        <v>3728</v>
      </c>
      <c r="B1739" s="9" t="s">
        <v>26</v>
      </c>
      <c r="C1739" s="9" t="s">
        <v>26</v>
      </c>
      <c r="D1739" s="52">
        <v>46207</v>
      </c>
      <c r="E1739" s="48">
        <v>0.60763888888888895</v>
      </c>
      <c r="F1739" s="48">
        <v>0.61388888888888882</v>
      </c>
      <c r="G1739" s="43">
        <f>(F1739-E1739)*1440</f>
        <v>8.9999999999998082</v>
      </c>
      <c r="H1739" s="9" t="s">
        <v>243</v>
      </c>
      <c r="I1739" s="9" t="s">
        <v>2215</v>
      </c>
      <c r="J1739" s="44">
        <v>4.7</v>
      </c>
      <c r="K1739" s="60">
        <v>3.09</v>
      </c>
      <c r="L1739" s="56">
        <v>3.86</v>
      </c>
      <c r="M1739" s="14">
        <f>K1739-L1739</f>
        <v>-0.77</v>
      </c>
      <c r="N1739" s="15">
        <f>IFERROR(M1739/K1739,0)</f>
        <v>-0.24919093851132687</v>
      </c>
      <c r="O1739" s="14">
        <f>IFERROR(L1739/J1739,0)</f>
        <v>0.82127659574468082</v>
      </c>
      <c r="P1739" s="14">
        <f>IFERROR(L1739/G1739,0)</f>
        <v>0.42888888888889803</v>
      </c>
    </row>
    <row r="1740" spans="1:19" x14ac:dyDescent="0.3">
      <c r="A1740" s="9" t="s">
        <v>3729</v>
      </c>
      <c r="B1740" s="9" t="s">
        <v>26</v>
      </c>
      <c r="C1740" s="9" t="s">
        <v>26</v>
      </c>
      <c r="D1740" s="52">
        <v>46207</v>
      </c>
      <c r="E1740" s="48">
        <v>0.61597222222222225</v>
      </c>
      <c r="F1740" s="48">
        <v>0.62430555555555556</v>
      </c>
      <c r="G1740" s="43">
        <f>(F1740-E1740)*1440</f>
        <v>11.999999999999957</v>
      </c>
      <c r="H1740" s="9" t="s">
        <v>3015</v>
      </c>
      <c r="I1740" s="9" t="s">
        <v>4206</v>
      </c>
      <c r="J1740" s="44">
        <v>6.6</v>
      </c>
      <c r="K1740" s="60">
        <v>4.8099999999999996</v>
      </c>
      <c r="L1740" s="56">
        <v>5.15</v>
      </c>
      <c r="M1740" s="14">
        <f>K1740-L1740</f>
        <v>-0.34000000000000075</v>
      </c>
      <c r="N1740" s="15">
        <f>IFERROR(M1740/K1740,0)</f>
        <v>-7.0686070686070843E-2</v>
      </c>
      <c r="O1740" s="14">
        <f>IFERROR(L1740/J1740,0)</f>
        <v>0.78030303030303039</v>
      </c>
      <c r="P1740" s="14">
        <f>IFERROR(L1740/G1740,0)</f>
        <v>0.4291666666666682</v>
      </c>
    </row>
    <row r="1741" spans="1:19" x14ac:dyDescent="0.3">
      <c r="A1741" s="9" t="s">
        <v>3730</v>
      </c>
      <c r="B1741" s="9" t="s">
        <v>26</v>
      </c>
      <c r="C1741" s="9" t="s">
        <v>27</v>
      </c>
      <c r="D1741" s="52">
        <v>46207</v>
      </c>
      <c r="E1741" s="48">
        <v>0.62777777777777777</v>
      </c>
      <c r="F1741" s="48">
        <v>0.64027777777777783</v>
      </c>
      <c r="G1741" s="43">
        <f>(F1741-E1741)*1440</f>
        <v>18.000000000000096</v>
      </c>
      <c r="H1741" s="9" t="s">
        <v>4207</v>
      </c>
      <c r="I1741" s="9" t="s">
        <v>4208</v>
      </c>
      <c r="J1741" s="44">
        <v>8.9</v>
      </c>
      <c r="K1741" s="60">
        <v>9.0399999999999991</v>
      </c>
      <c r="L1741" s="56">
        <v>6.78</v>
      </c>
      <c r="M1741" s="14">
        <f>K1741-L1741</f>
        <v>2.2599999999999989</v>
      </c>
      <c r="N1741" s="15">
        <f>IFERROR(M1741/K1741,0)</f>
        <v>0.24999999999999989</v>
      </c>
      <c r="O1741" s="14">
        <f>IFERROR(L1741/J1741,0)</f>
        <v>0.76179775280898876</v>
      </c>
      <c r="P1741" s="14">
        <f>IFERROR(L1741/G1741,0)</f>
        <v>0.37666666666666465</v>
      </c>
      <c r="R1741" s="57">
        <v>2.06</v>
      </c>
    </row>
    <row r="1742" spans="1:19" x14ac:dyDescent="0.3">
      <c r="A1742" s="9" t="s">
        <v>3731</v>
      </c>
      <c r="B1742" s="9" t="s">
        <v>26</v>
      </c>
      <c r="C1742" s="9" t="s">
        <v>26</v>
      </c>
      <c r="D1742" s="52">
        <v>46207</v>
      </c>
      <c r="E1742" s="48">
        <v>0.65694444444444444</v>
      </c>
      <c r="F1742" s="48">
        <v>0.67083333333333339</v>
      </c>
      <c r="G1742" s="43">
        <f>(F1742-E1742)*1440</f>
        <v>20.000000000000089</v>
      </c>
      <c r="H1742" s="9" t="s">
        <v>4209</v>
      </c>
      <c r="I1742" s="9" t="s">
        <v>4210</v>
      </c>
      <c r="J1742" s="44">
        <v>8.9</v>
      </c>
      <c r="K1742" s="60">
        <v>9.25</v>
      </c>
      <c r="L1742" s="56">
        <v>7.3</v>
      </c>
      <c r="M1742" s="14">
        <f>K1742-L1742</f>
        <v>1.9500000000000002</v>
      </c>
      <c r="N1742" s="15">
        <f>IFERROR(M1742/K1742,0)</f>
        <v>0.21081081081081082</v>
      </c>
      <c r="O1742" s="14">
        <f>IFERROR(L1742/J1742,0)</f>
        <v>0.82022471910112349</v>
      </c>
      <c r="P1742" s="14">
        <f>IFERROR(L1742/G1742,0)</f>
        <v>0.36499999999999838</v>
      </c>
    </row>
    <row r="1743" spans="1:19" x14ac:dyDescent="0.3">
      <c r="A1743" s="9" t="s">
        <v>3732</v>
      </c>
      <c r="B1743" s="9" t="s">
        <v>26</v>
      </c>
      <c r="C1743" s="9" t="s">
        <v>26</v>
      </c>
      <c r="D1743" s="52">
        <v>46207</v>
      </c>
      <c r="E1743" s="48">
        <v>0.69930555555555562</v>
      </c>
      <c r="F1743" s="48">
        <v>0.70694444444444438</v>
      </c>
      <c r="G1743" s="43">
        <f>(F1743-E1743)*1440</f>
        <v>10.999999999999801</v>
      </c>
      <c r="H1743" s="9" t="s">
        <v>4211</v>
      </c>
      <c r="I1743" s="9" t="s">
        <v>4212</v>
      </c>
      <c r="J1743" s="44">
        <v>3.9</v>
      </c>
      <c r="K1743" s="60">
        <v>4.3099999999999996</v>
      </c>
      <c r="L1743" s="56">
        <v>4.62</v>
      </c>
      <c r="M1743" s="14">
        <f>K1743-L1743</f>
        <v>-0.3100000000000005</v>
      </c>
      <c r="N1743" s="15">
        <f>IFERROR(M1743/K1743,0)</f>
        <v>-7.1925754060324948E-2</v>
      </c>
      <c r="O1743" s="14">
        <f>IFERROR(L1743/J1743,0)</f>
        <v>1.1846153846153846</v>
      </c>
      <c r="P1743" s="14">
        <f>IFERROR(L1743/G1743,0)</f>
        <v>0.42000000000000759</v>
      </c>
    </row>
    <row r="1744" spans="1:19" x14ac:dyDescent="0.3">
      <c r="A1744" s="9" t="s">
        <v>3733</v>
      </c>
      <c r="B1744" s="9" t="s">
        <v>26</v>
      </c>
      <c r="C1744" s="9" t="s">
        <v>27</v>
      </c>
      <c r="D1744" s="52">
        <v>46207</v>
      </c>
      <c r="E1744" s="48">
        <v>0.7090277777777777</v>
      </c>
      <c r="F1744" s="48">
        <v>0.72013888888888899</v>
      </c>
      <c r="G1744" s="43">
        <f>(F1744-E1744)*1440</f>
        <v>16.000000000000263</v>
      </c>
      <c r="H1744" s="9" t="s">
        <v>4213</v>
      </c>
      <c r="I1744" s="9" t="s">
        <v>4214</v>
      </c>
      <c r="J1744" s="44">
        <v>4.0999999999999996</v>
      </c>
      <c r="K1744" s="60">
        <v>8.11</v>
      </c>
      <c r="L1744" s="56">
        <v>6.69</v>
      </c>
      <c r="M1744" s="14">
        <f>K1744-L1744</f>
        <v>1.419999999999999</v>
      </c>
      <c r="N1744" s="15">
        <f>IFERROR(M1744/K1744,0)</f>
        <v>0.1750924784217015</v>
      </c>
      <c r="O1744" s="14">
        <f>IFERROR(L1744/J1744,0)</f>
        <v>1.6317073170731711</v>
      </c>
      <c r="P1744" s="14">
        <f>IFERROR(L1744/G1744,0)</f>
        <v>0.41812499999999314</v>
      </c>
    </row>
    <row r="1745" spans="1:19" x14ac:dyDescent="0.3">
      <c r="A1745" s="9" t="s">
        <v>3734</v>
      </c>
      <c r="B1745" s="9" t="s">
        <v>26</v>
      </c>
      <c r="C1745" s="9" t="s">
        <v>27</v>
      </c>
      <c r="D1745" s="52">
        <v>46207</v>
      </c>
      <c r="E1745" s="48">
        <v>0.72361111111111109</v>
      </c>
      <c r="F1745" s="48">
        <v>0.73263888888888884</v>
      </c>
      <c r="G1745" s="43">
        <f>(F1745-E1745)*1440</f>
        <v>12.999999999999954</v>
      </c>
      <c r="H1745" s="9" t="s">
        <v>4127</v>
      </c>
      <c r="I1745" s="9" t="s">
        <v>4215</v>
      </c>
      <c r="J1745" s="44">
        <v>10.9</v>
      </c>
      <c r="K1745" s="60">
        <v>6.75</v>
      </c>
      <c r="L1745" s="56">
        <v>5.0599999999999996</v>
      </c>
      <c r="M1745" s="14">
        <f>K1745-L1745</f>
        <v>1.6900000000000004</v>
      </c>
      <c r="N1745" s="15">
        <f>IFERROR(M1745/K1745,0)</f>
        <v>0.25037037037037041</v>
      </c>
      <c r="O1745" s="14">
        <f>IFERROR(L1745/J1745,0)</f>
        <v>0.4642201834862385</v>
      </c>
      <c r="P1745" s="14">
        <f>IFERROR(L1745/G1745,0)</f>
        <v>0.3892307692307706</v>
      </c>
    </row>
    <row r="1746" spans="1:19" x14ac:dyDescent="0.3">
      <c r="A1746" s="9" t="s">
        <v>3735</v>
      </c>
      <c r="B1746" s="9" t="s">
        <v>26</v>
      </c>
      <c r="C1746" s="9" t="s">
        <v>27</v>
      </c>
      <c r="D1746" s="52">
        <v>46207</v>
      </c>
      <c r="E1746" s="48">
        <v>0.73541666666666661</v>
      </c>
      <c r="F1746" s="48">
        <v>0.74583333333333324</v>
      </c>
      <c r="G1746" s="43">
        <f>(F1746-E1746)*1440</f>
        <v>14.999999999999947</v>
      </c>
      <c r="H1746" s="9" t="s">
        <v>641</v>
      </c>
      <c r="I1746" s="9" t="s">
        <v>214</v>
      </c>
      <c r="J1746" s="44">
        <v>7.6</v>
      </c>
      <c r="K1746" s="60">
        <v>7.61</v>
      </c>
      <c r="L1746" s="56">
        <v>5.71</v>
      </c>
      <c r="M1746" s="14">
        <f>K1746-L1746</f>
        <v>1.9000000000000004</v>
      </c>
      <c r="N1746" s="15">
        <f>IFERROR(M1746/K1746,0)</f>
        <v>0.2496714848883049</v>
      </c>
      <c r="O1746" s="14">
        <f>IFERROR(L1746/J1746,0)</f>
        <v>0.75131578947368427</v>
      </c>
      <c r="P1746" s="14">
        <f>IFERROR(L1746/G1746,0)</f>
        <v>0.38066666666666804</v>
      </c>
    </row>
    <row r="1747" spans="1:19" x14ac:dyDescent="0.3">
      <c r="A1747" s="9" t="s">
        <v>3736</v>
      </c>
      <c r="B1747" s="9" t="s">
        <v>26</v>
      </c>
      <c r="C1747" s="9" t="s">
        <v>27</v>
      </c>
      <c r="D1747" s="52">
        <v>46207</v>
      </c>
      <c r="E1747" s="48">
        <v>0.74861111111111101</v>
      </c>
      <c r="F1747" s="48">
        <v>0.7597222222222223</v>
      </c>
      <c r="G1747" s="43">
        <f>(F1747-E1747)*1440</f>
        <v>16.000000000000263</v>
      </c>
      <c r="H1747" s="9" t="s">
        <v>214</v>
      </c>
      <c r="I1747" s="9" t="s">
        <v>4216</v>
      </c>
      <c r="J1747" s="44">
        <v>8.6999999999999993</v>
      </c>
      <c r="K1747" s="60">
        <v>7.59</v>
      </c>
      <c r="L1747" s="56">
        <v>5.69</v>
      </c>
      <c r="M1747" s="14">
        <f>K1747-L1747</f>
        <v>1.8999999999999995</v>
      </c>
      <c r="N1747" s="15">
        <f>IFERROR(M1747/K1747,0)</f>
        <v>0.25032938076416333</v>
      </c>
      <c r="O1747" s="14">
        <f>IFERROR(L1747/J1747,0)</f>
        <v>0.65402298850574725</v>
      </c>
      <c r="P1747" s="14">
        <f>IFERROR(L1747/G1747,0)</f>
        <v>0.3556249999999942</v>
      </c>
    </row>
    <row r="1748" spans="1:19" x14ac:dyDescent="0.3">
      <c r="A1748" s="9" t="s">
        <v>3737</v>
      </c>
      <c r="B1748" s="9" t="s">
        <v>26</v>
      </c>
      <c r="C1748" s="9" t="s">
        <v>27</v>
      </c>
      <c r="D1748" s="52">
        <v>46207</v>
      </c>
      <c r="E1748" s="48">
        <v>0.83194444444444438</v>
      </c>
      <c r="F1748" s="48">
        <v>0.84166666666666667</v>
      </c>
      <c r="G1748" s="43">
        <f>(F1748-E1748)*1440</f>
        <v>14.00000000000011</v>
      </c>
      <c r="H1748" s="9" t="s">
        <v>204</v>
      </c>
      <c r="I1748" s="9" t="s">
        <v>4217</v>
      </c>
      <c r="J1748" s="44">
        <v>7.8</v>
      </c>
      <c r="K1748" s="60">
        <v>7.31</v>
      </c>
      <c r="L1748" s="56">
        <v>5.48</v>
      </c>
      <c r="M1748" s="14">
        <f>K1748-L1748</f>
        <v>1.8299999999999992</v>
      </c>
      <c r="N1748" s="15">
        <f>IFERROR(M1748/K1748,0)</f>
        <v>0.25034199726402179</v>
      </c>
      <c r="O1748" s="14">
        <f>IFERROR(L1748/J1748,0)</f>
        <v>0.70256410256410262</v>
      </c>
      <c r="P1748" s="14">
        <f>IFERROR(L1748/G1748,0)</f>
        <v>0.39142857142856841</v>
      </c>
    </row>
    <row r="1749" spans="1:19" x14ac:dyDescent="0.3">
      <c r="A1749" s="9" t="s">
        <v>3738</v>
      </c>
      <c r="B1749" s="9" t="s">
        <v>26</v>
      </c>
      <c r="C1749" s="9" t="s">
        <v>26</v>
      </c>
      <c r="D1749" s="52">
        <v>46207</v>
      </c>
      <c r="E1749" s="48">
        <v>0.85277777777777775</v>
      </c>
      <c r="F1749" s="48">
        <v>0.86944444444444446</v>
      </c>
      <c r="G1749" s="43">
        <f>(F1749-E1749)*1440</f>
        <v>24.000000000000075</v>
      </c>
      <c r="H1749" s="9" t="s">
        <v>1876</v>
      </c>
      <c r="I1749" s="9" t="s">
        <v>4218</v>
      </c>
      <c r="J1749" s="44">
        <v>17.3</v>
      </c>
      <c r="K1749" s="60">
        <v>12.59</v>
      </c>
      <c r="L1749" s="56">
        <v>11.93</v>
      </c>
      <c r="M1749" s="14">
        <f>K1749-L1749</f>
        <v>0.66000000000000014</v>
      </c>
      <c r="N1749" s="15">
        <f>IFERROR(M1749/K1749,0)</f>
        <v>5.2422557585385235E-2</v>
      </c>
      <c r="O1749" s="14">
        <f>IFERROR(L1749/J1749,0)</f>
        <v>0.68959537572254326</v>
      </c>
      <c r="P1749" s="14">
        <f>IFERROR(L1749/G1749,0)</f>
        <v>0.49708333333333177</v>
      </c>
    </row>
    <row r="1750" spans="1:19" x14ac:dyDescent="0.3">
      <c r="A1750" s="9" t="s">
        <v>3739</v>
      </c>
      <c r="B1750" s="9" t="s">
        <v>26</v>
      </c>
      <c r="C1750" s="9" t="s">
        <v>27</v>
      </c>
      <c r="D1750" s="52">
        <v>46208</v>
      </c>
      <c r="E1750" s="48">
        <v>0.54722222222222217</v>
      </c>
      <c r="F1750" s="48">
        <v>0.5625</v>
      </c>
      <c r="G1750" s="43">
        <f>(F1750-E1750)*1440</f>
        <v>22.000000000000082</v>
      </c>
      <c r="H1750" s="9" t="s">
        <v>2618</v>
      </c>
      <c r="I1750" s="9" t="s">
        <v>4219</v>
      </c>
      <c r="J1750" s="44">
        <v>16.399999999999999</v>
      </c>
      <c r="K1750" s="60">
        <v>8.74</v>
      </c>
      <c r="L1750" s="56">
        <v>8.19</v>
      </c>
      <c r="M1750" s="14">
        <f>K1750-L1750</f>
        <v>0.55000000000000071</v>
      </c>
      <c r="N1750" s="15">
        <f>IFERROR(M1750/K1750,0)</f>
        <v>6.29290617848971E-2</v>
      </c>
      <c r="O1750" s="14">
        <f>IFERROR(L1750/J1750,0)</f>
        <v>0.49939024390243902</v>
      </c>
      <c r="P1750" s="14">
        <f>IFERROR(L1750/G1750,0)</f>
        <v>0.37227272727272587</v>
      </c>
    </row>
    <row r="1751" spans="1:19" x14ac:dyDescent="0.3">
      <c r="A1751" s="9" t="s">
        <v>3740</v>
      </c>
      <c r="B1751" s="9" t="s">
        <v>26</v>
      </c>
      <c r="C1751" s="9" t="s">
        <v>26</v>
      </c>
      <c r="D1751" s="52">
        <v>46208</v>
      </c>
      <c r="E1751" s="48">
        <v>0.56666666666666665</v>
      </c>
      <c r="F1751" s="48">
        <v>0.57777777777777783</v>
      </c>
      <c r="G1751" s="43">
        <f>(F1751-E1751)*1440</f>
        <v>16.000000000000103</v>
      </c>
      <c r="H1751" s="9" t="s">
        <v>4220</v>
      </c>
      <c r="I1751" s="9" t="s">
        <v>4221</v>
      </c>
      <c r="J1751" s="44">
        <v>6.5</v>
      </c>
      <c r="K1751" s="60">
        <v>5.96</v>
      </c>
      <c r="L1751" s="56">
        <v>5.17</v>
      </c>
      <c r="M1751" s="14">
        <f>K1751-L1751</f>
        <v>0.79</v>
      </c>
      <c r="N1751" s="15">
        <f>IFERROR(M1751/K1751,0)</f>
        <v>0.1325503355704698</v>
      </c>
      <c r="O1751" s="14">
        <f>IFERROR(L1751/J1751,0)</f>
        <v>0.79538461538461536</v>
      </c>
      <c r="P1751" s="14">
        <f>IFERROR(L1751/G1751,0)</f>
        <v>0.32312499999999794</v>
      </c>
    </row>
    <row r="1752" spans="1:19" x14ac:dyDescent="0.3">
      <c r="A1752" s="9" t="s">
        <v>3741</v>
      </c>
      <c r="B1752" s="9" t="s">
        <v>26</v>
      </c>
      <c r="C1752" s="9" t="s">
        <v>27</v>
      </c>
      <c r="D1752" s="52">
        <v>46208</v>
      </c>
      <c r="E1752" s="48">
        <v>0.60625000000000007</v>
      </c>
      <c r="F1752" s="48">
        <v>0.61736111111111114</v>
      </c>
      <c r="G1752" s="43">
        <f>(F1752-E1752)*1440</f>
        <v>15.999999999999943</v>
      </c>
      <c r="H1752" s="9" t="s">
        <v>214</v>
      </c>
      <c r="I1752" s="9" t="s">
        <v>570</v>
      </c>
      <c r="J1752" s="44">
        <v>9.1</v>
      </c>
      <c r="K1752" s="60">
        <v>7.08</v>
      </c>
      <c r="L1752" s="56">
        <v>5.31</v>
      </c>
      <c r="M1752" s="14">
        <f>K1752-L1752</f>
        <v>1.7700000000000005</v>
      </c>
      <c r="N1752" s="15">
        <f>IFERROR(M1752/K1752,0)</f>
        <v>0.25000000000000006</v>
      </c>
      <c r="O1752" s="14">
        <f>IFERROR(L1752/J1752,0)</f>
        <v>0.58351648351648344</v>
      </c>
      <c r="P1752" s="14">
        <f>IFERROR(L1752/G1752,0)</f>
        <v>0.33187500000000114</v>
      </c>
    </row>
    <row r="1753" spans="1:19" x14ac:dyDescent="0.3">
      <c r="A1753" s="9" t="s">
        <v>3742</v>
      </c>
      <c r="B1753" s="9" t="s">
        <v>26</v>
      </c>
      <c r="C1753" s="9" t="s">
        <v>26</v>
      </c>
      <c r="D1753" s="52">
        <v>46208</v>
      </c>
      <c r="E1753" s="48">
        <v>0.68611111111111101</v>
      </c>
      <c r="F1753" s="48">
        <v>0.69930555555555562</v>
      </c>
      <c r="G1753" s="43">
        <f>(F1753-E1753)*1440</f>
        <v>19.000000000000252</v>
      </c>
      <c r="H1753" s="9" t="s">
        <v>3330</v>
      </c>
      <c r="I1753" s="9" t="s">
        <v>1120</v>
      </c>
      <c r="J1753" s="44">
        <v>12.7</v>
      </c>
      <c r="K1753" s="60">
        <v>9.18</v>
      </c>
      <c r="L1753" s="56">
        <v>8.61</v>
      </c>
      <c r="M1753" s="14">
        <f>K1753-L1753</f>
        <v>0.57000000000000028</v>
      </c>
      <c r="N1753" s="15">
        <f>IFERROR(M1753/K1753,0)</f>
        <v>6.2091503267973892E-2</v>
      </c>
      <c r="O1753" s="14">
        <f>IFERROR(L1753/J1753,0)</f>
        <v>0.67795275590551185</v>
      </c>
      <c r="P1753" s="14">
        <f>IFERROR(L1753/G1753,0)</f>
        <v>0.45315789473683604</v>
      </c>
      <c r="R1753" s="57">
        <v>1.66</v>
      </c>
    </row>
    <row r="1754" spans="1:19" x14ac:dyDescent="0.3">
      <c r="A1754" s="9" t="s">
        <v>3743</v>
      </c>
      <c r="B1754" s="9" t="s">
        <v>26</v>
      </c>
      <c r="C1754" s="9" t="s">
        <v>26</v>
      </c>
      <c r="D1754" s="52">
        <v>46208</v>
      </c>
      <c r="E1754" s="48">
        <v>0.70277777777777783</v>
      </c>
      <c r="F1754" s="48">
        <v>0.71527777777777779</v>
      </c>
      <c r="G1754" s="43">
        <f>(F1754-E1754)*1440</f>
        <v>17.999999999999936</v>
      </c>
      <c r="H1754" s="9" t="s">
        <v>1120</v>
      </c>
      <c r="I1754" s="9" t="s">
        <v>663</v>
      </c>
      <c r="J1754" s="44">
        <v>6</v>
      </c>
      <c r="K1754" s="60">
        <v>13.08</v>
      </c>
      <c r="L1754" s="56">
        <v>10.31</v>
      </c>
      <c r="M1754" s="14">
        <f>K1754-L1754</f>
        <v>2.7699999999999996</v>
      </c>
      <c r="N1754" s="15">
        <f>IFERROR(M1754/K1754,0)</f>
        <v>0.21177370030581036</v>
      </c>
      <c r="O1754" s="14">
        <f>IFERROR(L1754/J1754,0)</f>
        <v>1.7183333333333335</v>
      </c>
      <c r="P1754" s="14">
        <f>IFERROR(L1754/G1754,0)</f>
        <v>0.57277777777777983</v>
      </c>
      <c r="S1754" s="61">
        <v>2</v>
      </c>
    </row>
    <row r="1755" spans="1:19" x14ac:dyDescent="0.3">
      <c r="A1755" s="9" t="s">
        <v>3744</v>
      </c>
      <c r="B1755" s="9" t="s">
        <v>26</v>
      </c>
      <c r="C1755" s="9" t="s">
        <v>26</v>
      </c>
      <c r="D1755" s="52">
        <v>46208</v>
      </c>
      <c r="E1755" s="48">
        <v>0.71736111111111101</v>
      </c>
      <c r="F1755" s="48">
        <v>0.7270833333333333</v>
      </c>
      <c r="G1755" s="43">
        <f>(F1755-E1755)*1440</f>
        <v>14.00000000000011</v>
      </c>
      <c r="H1755" s="9" t="s">
        <v>663</v>
      </c>
      <c r="I1755" s="9" t="s">
        <v>732</v>
      </c>
      <c r="J1755" s="44">
        <v>7.7</v>
      </c>
      <c r="K1755" s="60">
        <v>6.86</v>
      </c>
      <c r="L1755" s="56">
        <v>6.43</v>
      </c>
      <c r="M1755" s="14">
        <f>K1755-L1755</f>
        <v>0.4300000000000006</v>
      </c>
      <c r="N1755" s="15">
        <f>IFERROR(M1755/K1755,0)</f>
        <v>6.2682215743440323E-2</v>
      </c>
      <c r="O1755" s="14">
        <f>IFERROR(L1755/J1755,0)</f>
        <v>0.83506493506493495</v>
      </c>
      <c r="P1755" s="14">
        <f>IFERROR(L1755/G1755,0)</f>
        <v>0.45928571428571063</v>
      </c>
    </row>
    <row r="1756" spans="1:19" x14ac:dyDescent="0.3">
      <c r="A1756" s="9" t="s">
        <v>3745</v>
      </c>
      <c r="B1756" s="9" t="s">
        <v>26</v>
      </c>
      <c r="C1756" s="9" t="s">
        <v>27</v>
      </c>
      <c r="D1756" s="52">
        <v>46208</v>
      </c>
      <c r="E1756" s="48">
        <v>0.72986111111111107</v>
      </c>
      <c r="F1756" s="48">
        <v>0.73333333333333339</v>
      </c>
      <c r="G1756" s="43">
        <f>(F1756-E1756)*1440</f>
        <v>5.0000000000001421</v>
      </c>
      <c r="H1756" s="9" t="s">
        <v>607</v>
      </c>
      <c r="I1756" s="9" t="s">
        <v>656</v>
      </c>
      <c r="J1756" s="44">
        <v>1.7</v>
      </c>
      <c r="K1756" s="60">
        <v>5.39</v>
      </c>
      <c r="L1756" s="56">
        <v>4.04</v>
      </c>
      <c r="M1756" s="14">
        <f>K1756-L1756</f>
        <v>1.3499999999999996</v>
      </c>
      <c r="N1756" s="15">
        <f>IFERROR(M1756/K1756,0)</f>
        <v>0.25046382189239325</v>
      </c>
      <c r="O1756" s="14">
        <f>IFERROR(L1756/J1756,0)</f>
        <v>2.3764705882352941</v>
      </c>
      <c r="P1756" s="14">
        <f>IFERROR(L1756/G1756,0)</f>
        <v>0.80799999999997707</v>
      </c>
      <c r="R1756" s="57">
        <v>1.54</v>
      </c>
    </row>
    <row r="1757" spans="1:19" x14ac:dyDescent="0.3">
      <c r="A1757" s="9" t="s">
        <v>3746</v>
      </c>
      <c r="B1757" s="9" t="s">
        <v>26</v>
      </c>
      <c r="C1757" s="9" t="s">
        <v>27</v>
      </c>
      <c r="D1757" s="52">
        <v>46208</v>
      </c>
      <c r="E1757" s="48">
        <v>0.75347222222222221</v>
      </c>
      <c r="F1757" s="48">
        <v>0.76458333333333339</v>
      </c>
      <c r="G1757" s="43">
        <f>(F1757-E1757)*1440</f>
        <v>16.000000000000103</v>
      </c>
      <c r="H1757" s="9" t="s">
        <v>2792</v>
      </c>
      <c r="I1757" s="9" t="s">
        <v>225</v>
      </c>
      <c r="J1757" s="44">
        <v>11.6</v>
      </c>
      <c r="K1757" s="60">
        <v>8.42</v>
      </c>
      <c r="L1757" s="56">
        <v>6.31</v>
      </c>
      <c r="M1757" s="14">
        <f>K1757-L1757</f>
        <v>2.1100000000000003</v>
      </c>
      <c r="N1757" s="15">
        <f>IFERROR(M1757/K1757,0)</f>
        <v>0.25059382422802856</v>
      </c>
      <c r="O1757" s="14">
        <f>IFERROR(L1757/J1757,0)</f>
        <v>0.54396551724137931</v>
      </c>
      <c r="P1757" s="14">
        <f>IFERROR(L1757/G1757,0)</f>
        <v>0.39437499999999742</v>
      </c>
    </row>
    <row r="1758" spans="1:19" x14ac:dyDescent="0.3">
      <c r="A1758" s="9" t="s">
        <v>3747</v>
      </c>
      <c r="B1758" s="9" t="s">
        <v>26</v>
      </c>
      <c r="C1758" s="9" t="s">
        <v>27</v>
      </c>
      <c r="D1758" s="52">
        <v>46208</v>
      </c>
      <c r="E1758" s="48">
        <v>0.82847222222222217</v>
      </c>
      <c r="F1758" s="48">
        <v>0.84861111111111109</v>
      </c>
      <c r="G1758" s="43">
        <f>(F1758-E1758)*1440</f>
        <v>29.000000000000057</v>
      </c>
      <c r="H1758" s="9" t="s">
        <v>4222</v>
      </c>
      <c r="I1758" s="9" t="s">
        <v>530</v>
      </c>
      <c r="J1758" s="44">
        <v>17.5</v>
      </c>
      <c r="K1758" s="60">
        <v>11.38</v>
      </c>
      <c r="L1758" s="56">
        <v>8.5299999999999994</v>
      </c>
      <c r="M1758" s="14">
        <f>K1758-L1758</f>
        <v>2.8500000000000014</v>
      </c>
      <c r="N1758" s="15">
        <f>IFERROR(M1758/K1758,0)</f>
        <v>0.25043936731107214</v>
      </c>
      <c r="O1758" s="14">
        <f>IFERROR(L1758/J1758,0)</f>
        <v>0.48742857142857138</v>
      </c>
      <c r="P1758" s="14">
        <f>IFERROR(L1758/G1758,0)</f>
        <v>0.29413793103448216</v>
      </c>
    </row>
    <row r="1759" spans="1:19" x14ac:dyDescent="0.3">
      <c r="A1759" s="9" t="s">
        <v>3748</v>
      </c>
      <c r="B1759" s="9" t="s">
        <v>26</v>
      </c>
      <c r="C1759" s="9" t="s">
        <v>27</v>
      </c>
      <c r="D1759" s="52">
        <v>46208</v>
      </c>
      <c r="E1759" s="48">
        <v>0.85069444444444453</v>
      </c>
      <c r="F1759" s="48">
        <v>0.86458333333333337</v>
      </c>
      <c r="G1759" s="43">
        <f>(F1759-E1759)*1440</f>
        <v>19.999999999999929</v>
      </c>
      <c r="H1759" s="9" t="s">
        <v>604</v>
      </c>
      <c r="I1759" s="9" t="s">
        <v>4223</v>
      </c>
      <c r="J1759" s="44">
        <v>19.100000000000001</v>
      </c>
      <c r="K1759" s="60">
        <v>16.079999999999998</v>
      </c>
      <c r="L1759" s="56">
        <v>12.06</v>
      </c>
      <c r="M1759" s="14">
        <f>K1759-L1759</f>
        <v>4.0199999999999978</v>
      </c>
      <c r="N1759" s="15">
        <f>IFERROR(M1759/K1759,0)</f>
        <v>0.24999999999999989</v>
      </c>
      <c r="O1759" s="14">
        <f>IFERROR(L1759/J1759,0)</f>
        <v>0.63141361256544504</v>
      </c>
      <c r="P1759" s="14">
        <f>IFERROR(L1759/G1759,0)</f>
        <v>0.6030000000000022</v>
      </c>
    </row>
    <row r="1760" spans="1:19" x14ac:dyDescent="0.3">
      <c r="A1760" s="9" t="s">
        <v>3749</v>
      </c>
      <c r="B1760" s="9" t="s">
        <v>18</v>
      </c>
      <c r="C1760" s="9" t="s">
        <v>184</v>
      </c>
      <c r="D1760" s="52">
        <v>46208</v>
      </c>
      <c r="E1760" s="48">
        <v>0.57916666666666672</v>
      </c>
      <c r="F1760" s="48">
        <v>0.58750000000000002</v>
      </c>
      <c r="G1760" s="43">
        <f>(F1760-E1760)*1440</f>
        <v>11.999999999999957</v>
      </c>
      <c r="H1760" s="9" t="s">
        <v>4224</v>
      </c>
      <c r="I1760" s="9" t="s">
        <v>2796</v>
      </c>
      <c r="J1760" s="44">
        <v>5.18</v>
      </c>
      <c r="K1760" s="60">
        <v>8.9499999999999993</v>
      </c>
      <c r="L1760" s="56">
        <v>6.4</v>
      </c>
      <c r="M1760" s="14">
        <f>K1760-L1760</f>
        <v>2.5499999999999989</v>
      </c>
      <c r="N1760" s="15">
        <f>IFERROR(M1760/K1760,0)</f>
        <v>0.28491620111731836</v>
      </c>
      <c r="O1760" s="14">
        <f>IFERROR(L1760/J1760,0)</f>
        <v>1.2355212355212357</v>
      </c>
      <c r="P1760" s="14">
        <f>IFERROR(L1760/G1760,0)</f>
        <v>0.53333333333333521</v>
      </c>
    </row>
    <row r="1761" spans="1:18" x14ac:dyDescent="0.3">
      <c r="A1761" s="9" t="s">
        <v>3750</v>
      </c>
      <c r="B1761" s="9" t="s">
        <v>18</v>
      </c>
      <c r="C1761" s="9" t="s">
        <v>184</v>
      </c>
      <c r="D1761" s="52">
        <v>46208</v>
      </c>
      <c r="E1761" s="48">
        <v>0.59027777777777779</v>
      </c>
      <c r="F1761" s="48">
        <v>0.59375</v>
      </c>
      <c r="G1761" s="43">
        <f>(F1761-E1761)*1440</f>
        <v>4.9999999999999822</v>
      </c>
      <c r="H1761" s="9" t="s">
        <v>1223</v>
      </c>
      <c r="I1761" s="9" t="s">
        <v>214</v>
      </c>
      <c r="J1761" s="44">
        <v>2.82</v>
      </c>
      <c r="K1761" s="60">
        <v>6.1</v>
      </c>
      <c r="L1761" s="56">
        <v>4.71</v>
      </c>
      <c r="M1761" s="14">
        <f>K1761-L1761</f>
        <v>1.3899999999999997</v>
      </c>
      <c r="N1761" s="15">
        <f>IFERROR(M1761/K1761,0)</f>
        <v>0.22786885245901636</v>
      </c>
      <c r="O1761" s="14">
        <f>IFERROR(L1761/J1761,0)</f>
        <v>1.6702127659574468</v>
      </c>
      <c r="P1761" s="14">
        <f>IFERROR(L1761/G1761,0)</f>
        <v>0.94200000000000339</v>
      </c>
    </row>
    <row r="1762" spans="1:18" x14ac:dyDescent="0.3">
      <c r="A1762" s="9" t="s">
        <v>3751</v>
      </c>
      <c r="B1762" s="9" t="s">
        <v>18</v>
      </c>
      <c r="C1762" s="9" t="s">
        <v>196</v>
      </c>
      <c r="D1762" s="52">
        <v>46208</v>
      </c>
      <c r="E1762" s="48">
        <v>0.61597222222222225</v>
      </c>
      <c r="F1762" s="48">
        <v>0.62152777777777779</v>
      </c>
      <c r="G1762" s="43">
        <f>(F1762-E1762)*1440</f>
        <v>7.9999999999999716</v>
      </c>
      <c r="H1762" s="9" t="s">
        <v>584</v>
      </c>
      <c r="I1762" s="9" t="s">
        <v>4225</v>
      </c>
      <c r="J1762" s="44">
        <v>4.28</v>
      </c>
      <c r="K1762" s="60">
        <v>6.99</v>
      </c>
      <c r="L1762" s="56">
        <v>5.68</v>
      </c>
      <c r="M1762" s="14">
        <f>K1762-L1762</f>
        <v>1.3100000000000005</v>
      </c>
      <c r="N1762" s="15">
        <f>IFERROR(M1762/K1762,0)</f>
        <v>0.18741058655221751</v>
      </c>
      <c r="O1762" s="14">
        <f>IFERROR(L1762/J1762,0)</f>
        <v>1.3271028037383177</v>
      </c>
      <c r="P1762" s="14">
        <f>IFERROR(L1762/G1762,0)</f>
        <v>0.71000000000000252</v>
      </c>
    </row>
    <row r="1763" spans="1:18" x14ac:dyDescent="0.3">
      <c r="A1763" s="9" t="s">
        <v>3752</v>
      </c>
      <c r="B1763" s="9" t="s">
        <v>18</v>
      </c>
      <c r="C1763" s="9" t="s">
        <v>184</v>
      </c>
      <c r="D1763" s="52">
        <v>46208</v>
      </c>
      <c r="E1763" s="48">
        <v>0.62361111111111112</v>
      </c>
      <c r="F1763" s="48">
        <v>0.63680555555555551</v>
      </c>
      <c r="G1763" s="43">
        <f>(F1763-E1763)*1440</f>
        <v>18.999999999999932</v>
      </c>
      <c r="H1763" s="9" t="s">
        <v>1370</v>
      </c>
      <c r="I1763" s="9" t="s">
        <v>4226</v>
      </c>
      <c r="J1763" s="44">
        <v>17.13</v>
      </c>
      <c r="K1763" s="60">
        <v>9.9499999999999993</v>
      </c>
      <c r="L1763" s="56">
        <v>6.9</v>
      </c>
      <c r="M1763" s="14">
        <f>K1763-L1763</f>
        <v>3.0499999999999989</v>
      </c>
      <c r="N1763" s="15">
        <f>IFERROR(M1763/K1763,0)</f>
        <v>0.30653266331658285</v>
      </c>
      <c r="O1763" s="14">
        <f>IFERROR(L1763/J1763,0)</f>
        <v>0.40280210157618218</v>
      </c>
      <c r="P1763" s="14">
        <f>IFERROR(L1763/G1763,0)</f>
        <v>0.3631578947368434</v>
      </c>
    </row>
    <row r="1764" spans="1:18" x14ac:dyDescent="0.3">
      <c r="A1764" s="9" t="s">
        <v>3753</v>
      </c>
      <c r="B1764" s="9" t="s">
        <v>18</v>
      </c>
      <c r="C1764" s="9" t="s">
        <v>184</v>
      </c>
      <c r="D1764" s="52">
        <v>46208</v>
      </c>
      <c r="E1764" s="48">
        <v>0.66249999999999998</v>
      </c>
      <c r="F1764" s="48">
        <v>0.66875000000000007</v>
      </c>
      <c r="G1764" s="43">
        <f>(F1764-E1764)*1440</f>
        <v>9.0000000000001279</v>
      </c>
      <c r="H1764" s="9" t="s">
        <v>243</v>
      </c>
      <c r="I1764" s="9" t="s">
        <v>2828</v>
      </c>
      <c r="J1764" s="44">
        <v>4.9000000000000004</v>
      </c>
      <c r="K1764" s="60">
        <v>5.94</v>
      </c>
      <c r="L1764" s="56">
        <v>4.54</v>
      </c>
      <c r="M1764" s="14">
        <f>K1764-L1764</f>
        <v>1.4000000000000004</v>
      </c>
      <c r="N1764" s="15">
        <f>IFERROR(M1764/K1764,0)</f>
        <v>0.23569023569023573</v>
      </c>
      <c r="O1764" s="14">
        <f>IFERROR(L1764/J1764,0)</f>
        <v>0.92653061224489786</v>
      </c>
      <c r="P1764" s="14">
        <f>IFERROR(L1764/G1764,0)</f>
        <v>0.50444444444443726</v>
      </c>
    </row>
    <row r="1765" spans="1:18" x14ac:dyDescent="0.3">
      <c r="A1765" s="9" t="s">
        <v>3754</v>
      </c>
      <c r="B1765" s="9" t="s">
        <v>18</v>
      </c>
      <c r="C1765" s="9" t="s">
        <v>184</v>
      </c>
      <c r="D1765" s="52">
        <v>46208</v>
      </c>
      <c r="E1765" s="48">
        <v>0.7368055555555556</v>
      </c>
      <c r="F1765" s="48">
        <v>0.74305555555555547</v>
      </c>
      <c r="G1765" s="43">
        <f>(F1765-E1765)*1440</f>
        <v>8.9999999999998082</v>
      </c>
      <c r="H1765" s="9" t="s">
        <v>2039</v>
      </c>
      <c r="I1765" s="9" t="s">
        <v>4227</v>
      </c>
      <c r="J1765" s="44">
        <v>3.82</v>
      </c>
      <c r="K1765" s="60">
        <v>6.96</v>
      </c>
      <c r="L1765" s="56">
        <v>5.86</v>
      </c>
      <c r="M1765" s="14">
        <f>K1765-L1765</f>
        <v>1.0999999999999996</v>
      </c>
      <c r="N1765" s="15">
        <f>IFERROR(M1765/K1765,0)</f>
        <v>0.1580459770114942</v>
      </c>
      <c r="O1765" s="14">
        <f>IFERROR(L1765/J1765,0)</f>
        <v>1.5340314136125657</v>
      </c>
      <c r="P1765" s="14">
        <f>IFERROR(L1765/G1765,0)</f>
        <v>0.65111111111112507</v>
      </c>
    </row>
    <row r="1766" spans="1:18" x14ac:dyDescent="0.3">
      <c r="A1766" s="9" t="s">
        <v>3755</v>
      </c>
      <c r="B1766" s="9" t="s">
        <v>18</v>
      </c>
      <c r="C1766" s="9" t="s">
        <v>184</v>
      </c>
      <c r="D1766" s="52">
        <v>46208</v>
      </c>
      <c r="E1766" s="48">
        <v>0.7944444444444444</v>
      </c>
      <c r="F1766" s="48">
        <v>0.79999999999999993</v>
      </c>
      <c r="G1766" s="43">
        <f>(F1766-E1766)*1440</f>
        <v>7.9999999999999716</v>
      </c>
      <c r="H1766" s="9" t="s">
        <v>4096</v>
      </c>
      <c r="I1766" s="9" t="s">
        <v>2855</v>
      </c>
      <c r="J1766" s="44">
        <v>3.54</v>
      </c>
      <c r="K1766" s="60">
        <v>6.08</v>
      </c>
      <c r="L1766" s="56">
        <v>4.3899999999999997</v>
      </c>
      <c r="M1766" s="14">
        <f>K1766-L1766</f>
        <v>1.6900000000000004</v>
      </c>
      <c r="N1766" s="15">
        <f>IFERROR(M1766/K1766,0)</f>
        <v>0.27796052631578955</v>
      </c>
      <c r="O1766" s="14">
        <f>IFERROR(L1766/J1766,0)</f>
        <v>1.2401129943502824</v>
      </c>
      <c r="P1766" s="14">
        <f>IFERROR(L1766/G1766,0)</f>
        <v>0.54875000000000196</v>
      </c>
    </row>
    <row r="1767" spans="1:18" x14ac:dyDescent="0.3">
      <c r="A1767" s="9" t="s">
        <v>3756</v>
      </c>
      <c r="B1767" s="9" t="s">
        <v>18</v>
      </c>
      <c r="C1767" s="9" t="s">
        <v>196</v>
      </c>
      <c r="D1767" s="52">
        <v>46208</v>
      </c>
      <c r="E1767" s="48">
        <v>0.80555555555555547</v>
      </c>
      <c r="F1767" s="48">
        <v>0.81388888888888899</v>
      </c>
      <c r="G1767" s="43">
        <f>(F1767-E1767)*1440</f>
        <v>12.000000000000277</v>
      </c>
      <c r="H1767" s="9" t="s">
        <v>4030</v>
      </c>
      <c r="I1767" s="9" t="s">
        <v>1354</v>
      </c>
      <c r="J1767" s="44">
        <v>8.34</v>
      </c>
      <c r="K1767" s="60">
        <v>7.98</v>
      </c>
      <c r="L1767" s="56">
        <v>6.2</v>
      </c>
      <c r="M1767" s="14">
        <f>K1767-L1767</f>
        <v>1.7800000000000002</v>
      </c>
      <c r="N1767" s="15">
        <f>IFERROR(M1767/K1767,0)</f>
        <v>0.2230576441102757</v>
      </c>
      <c r="O1767" s="14">
        <f>IFERROR(L1767/J1767,0)</f>
        <v>0.74340527577937654</v>
      </c>
      <c r="P1767" s="14">
        <f>IFERROR(L1767/G1767,0)</f>
        <v>0.51666666666665473</v>
      </c>
    </row>
    <row r="1768" spans="1:18" x14ac:dyDescent="0.3">
      <c r="A1768" s="9" t="s">
        <v>3757</v>
      </c>
      <c r="B1768" s="9" t="s">
        <v>18</v>
      </c>
      <c r="C1768" s="9" t="s">
        <v>196</v>
      </c>
      <c r="D1768" s="52">
        <v>46209</v>
      </c>
      <c r="E1768" s="48">
        <v>0.82291666666666663</v>
      </c>
      <c r="F1768" s="48">
        <v>0.82916666666666661</v>
      </c>
      <c r="G1768" s="43">
        <f>(F1768-E1768)*1440</f>
        <v>8.999999999999968</v>
      </c>
      <c r="H1768" s="9" t="s">
        <v>4228</v>
      </c>
      <c r="I1768" s="9" t="s">
        <v>4229</v>
      </c>
      <c r="J1768" s="44">
        <v>5.39</v>
      </c>
      <c r="K1768" s="60">
        <v>10.98</v>
      </c>
      <c r="L1768" s="56">
        <v>8.35</v>
      </c>
      <c r="M1768" s="14">
        <f>K1768-L1768</f>
        <v>2.6300000000000008</v>
      </c>
      <c r="N1768" s="15">
        <f>IFERROR(M1768/K1768,0)</f>
        <v>0.23952641165755925</v>
      </c>
      <c r="O1768" s="14">
        <f>IFERROR(L1768/J1768,0)</f>
        <v>1.549165120593692</v>
      </c>
      <c r="P1768" s="14">
        <f>IFERROR(L1768/G1768,0)</f>
        <v>0.92777777777778103</v>
      </c>
    </row>
    <row r="1769" spans="1:18" x14ac:dyDescent="0.3">
      <c r="A1769" s="9" t="s">
        <v>3758</v>
      </c>
      <c r="B1769" s="9" t="s">
        <v>18</v>
      </c>
      <c r="C1769" s="9" t="s">
        <v>184</v>
      </c>
      <c r="D1769" s="52">
        <v>46209</v>
      </c>
      <c r="E1769" s="48">
        <v>0.83680555555555547</v>
      </c>
      <c r="F1769" s="48">
        <v>0.84097222222222223</v>
      </c>
      <c r="G1769" s="43">
        <f>(F1769-E1769)*1440</f>
        <v>6.0000000000001386</v>
      </c>
      <c r="H1769" s="9" t="s">
        <v>2198</v>
      </c>
      <c r="I1769" s="9" t="s">
        <v>214</v>
      </c>
      <c r="J1769" s="44">
        <v>2.6</v>
      </c>
      <c r="K1769" s="60">
        <v>6.95</v>
      </c>
      <c r="L1769" s="56">
        <v>5.86</v>
      </c>
      <c r="M1769" s="14">
        <f>K1769-L1769</f>
        <v>1.0899999999999999</v>
      </c>
      <c r="N1769" s="15">
        <f>IFERROR(M1769/K1769,0)</f>
        <v>0.15683453237410069</v>
      </c>
      <c r="O1769" s="14">
        <f>IFERROR(L1769/J1769,0)</f>
        <v>2.2538461538461538</v>
      </c>
      <c r="P1769" s="14">
        <f>IFERROR(L1769/G1769,0)</f>
        <v>0.97666666666664415</v>
      </c>
    </row>
    <row r="1770" spans="1:18" x14ac:dyDescent="0.3">
      <c r="A1770" s="9" t="s">
        <v>3759</v>
      </c>
      <c r="B1770" s="9" t="s">
        <v>18</v>
      </c>
      <c r="C1770" s="9" t="s">
        <v>184</v>
      </c>
      <c r="D1770" s="52">
        <v>46209</v>
      </c>
      <c r="E1770" s="48">
        <v>0.84097222222222223</v>
      </c>
      <c r="F1770" s="48">
        <v>0.84375</v>
      </c>
      <c r="G1770" s="43">
        <f>(F1770-E1770)*1440</f>
        <v>3.9999999999999858</v>
      </c>
      <c r="H1770" s="9" t="s">
        <v>214</v>
      </c>
      <c r="I1770" s="9" t="s">
        <v>4230</v>
      </c>
      <c r="J1770" s="44">
        <v>2.2599999999999998</v>
      </c>
      <c r="K1770" s="60">
        <v>6.93</v>
      </c>
      <c r="L1770" s="56">
        <v>5.86</v>
      </c>
      <c r="M1770" s="14">
        <f>K1770-L1770</f>
        <v>1.0699999999999994</v>
      </c>
      <c r="N1770" s="15">
        <f>IFERROR(M1770/K1770,0)</f>
        <v>0.15440115440115432</v>
      </c>
      <c r="O1770" s="14">
        <f>IFERROR(L1770/J1770,0)</f>
        <v>2.5929203539823011</v>
      </c>
      <c r="P1770" s="14">
        <f>IFERROR(L1770/G1770,0)</f>
        <v>1.4650000000000052</v>
      </c>
    </row>
    <row r="1771" spans="1:18" x14ac:dyDescent="0.3">
      <c r="A1771" s="9" t="s">
        <v>3760</v>
      </c>
      <c r="B1771" s="9" t="s">
        <v>26</v>
      </c>
      <c r="C1771" s="9" t="s">
        <v>26</v>
      </c>
      <c r="D1771" s="52">
        <v>46209</v>
      </c>
      <c r="E1771" s="48">
        <v>0.55486111111111114</v>
      </c>
      <c r="F1771" s="48">
        <v>0.56944444444444442</v>
      </c>
      <c r="G1771" s="43">
        <f>(F1771-E1771)*1440</f>
        <v>20.999999999999925</v>
      </c>
      <c r="H1771" s="9" t="s">
        <v>2509</v>
      </c>
      <c r="I1771" s="9" t="s">
        <v>4231</v>
      </c>
      <c r="J1771" s="44">
        <v>16.2</v>
      </c>
      <c r="K1771" s="60">
        <v>8.36</v>
      </c>
      <c r="L1771" s="56">
        <v>8.9499999999999993</v>
      </c>
      <c r="M1771" s="14">
        <f>K1771-L1771</f>
        <v>-0.58999999999999986</v>
      </c>
      <c r="N1771" s="15">
        <f>IFERROR(M1771/K1771,0)</f>
        <v>-7.0574162679425831E-2</v>
      </c>
      <c r="O1771" s="14">
        <f>IFERROR(L1771/J1771,0)</f>
        <v>0.55246913580246915</v>
      </c>
      <c r="P1771" s="14">
        <f>IFERROR(L1771/G1771,0)</f>
        <v>0.42619047619047767</v>
      </c>
    </row>
    <row r="1772" spans="1:18" x14ac:dyDescent="0.3">
      <c r="A1772" s="9" t="s">
        <v>3761</v>
      </c>
      <c r="B1772" s="9" t="s">
        <v>26</v>
      </c>
      <c r="C1772" s="9" t="s">
        <v>26</v>
      </c>
      <c r="D1772" s="52">
        <v>46209</v>
      </c>
      <c r="E1772" s="48">
        <v>0.57222222222222219</v>
      </c>
      <c r="F1772" s="48">
        <v>0.58124999999999993</v>
      </c>
      <c r="G1772" s="43">
        <f>(F1772-E1772)*1440</f>
        <v>12.999999999999954</v>
      </c>
      <c r="H1772" s="9" t="s">
        <v>4232</v>
      </c>
      <c r="I1772" s="9" t="s">
        <v>4233</v>
      </c>
      <c r="J1772" s="44">
        <v>11.6</v>
      </c>
      <c r="K1772" s="60">
        <v>9.82</v>
      </c>
      <c r="L1772" s="56">
        <v>7.36</v>
      </c>
      <c r="M1772" s="14">
        <f>K1772-L1772</f>
        <v>2.46</v>
      </c>
      <c r="N1772" s="15">
        <f>IFERROR(M1772/K1772,0)</f>
        <v>0.25050916496945008</v>
      </c>
      <c r="O1772" s="14">
        <f>IFERROR(L1772/J1772,0)</f>
        <v>0.6344827586206897</v>
      </c>
      <c r="P1772" s="14">
        <f>IFERROR(L1772/G1772,0)</f>
        <v>0.56615384615384823</v>
      </c>
    </row>
    <row r="1773" spans="1:18" x14ac:dyDescent="0.3">
      <c r="A1773" s="9" t="s">
        <v>3762</v>
      </c>
      <c r="B1773" s="9" t="s">
        <v>26</v>
      </c>
      <c r="C1773" s="9" t="s">
        <v>26</v>
      </c>
      <c r="D1773" s="52">
        <v>46209</v>
      </c>
      <c r="E1773" s="48">
        <v>0.5854166666666667</v>
      </c>
      <c r="F1773" s="48">
        <v>0.60138888888888886</v>
      </c>
      <c r="G1773" s="43">
        <f>(F1773-E1773)*1440</f>
        <v>22.999999999999918</v>
      </c>
      <c r="H1773" s="9" t="s">
        <v>604</v>
      </c>
      <c r="I1773" s="9" t="s">
        <v>1287</v>
      </c>
      <c r="J1773" s="44">
        <v>7.9</v>
      </c>
      <c r="K1773" s="60">
        <v>11.73</v>
      </c>
      <c r="L1773" s="56">
        <v>9.26</v>
      </c>
      <c r="M1773" s="14">
        <f>K1773-L1773</f>
        <v>2.4700000000000006</v>
      </c>
      <c r="N1773" s="15">
        <f>IFERROR(M1773/K1773,0)</f>
        <v>0.21057118499573746</v>
      </c>
      <c r="O1773" s="14">
        <f>IFERROR(L1773/J1773,0)</f>
        <v>1.1721518987341772</v>
      </c>
      <c r="P1773" s="14">
        <f>IFERROR(L1773/G1773,0)</f>
        <v>0.40260869565217533</v>
      </c>
    </row>
    <row r="1774" spans="1:18" x14ac:dyDescent="0.3">
      <c r="A1774" s="9" t="s">
        <v>3763</v>
      </c>
      <c r="B1774" s="9" t="s">
        <v>26</v>
      </c>
      <c r="C1774" s="9" t="s">
        <v>26</v>
      </c>
      <c r="D1774" s="52">
        <v>46209</v>
      </c>
      <c r="E1774" s="48">
        <v>0.60486111111111118</v>
      </c>
      <c r="F1774" s="48">
        <v>0.61249999999999993</v>
      </c>
      <c r="G1774" s="43">
        <f>(F1774-E1774)*1440</f>
        <v>10.999999999999801</v>
      </c>
      <c r="H1774" s="9" t="s">
        <v>4234</v>
      </c>
      <c r="I1774" s="9" t="s">
        <v>843</v>
      </c>
      <c r="J1774" s="44">
        <v>5.6</v>
      </c>
      <c r="K1774" s="60">
        <v>3.84</v>
      </c>
      <c r="L1774" s="56">
        <v>4.53</v>
      </c>
      <c r="M1774" s="14">
        <f>K1774-L1774</f>
        <v>-0.69000000000000039</v>
      </c>
      <c r="N1774" s="15">
        <f>IFERROR(M1774/K1774,0)</f>
        <v>-0.17968750000000011</v>
      </c>
      <c r="O1774" s="14">
        <f>IFERROR(L1774/J1774,0)</f>
        <v>0.80892857142857155</v>
      </c>
      <c r="P1774" s="14">
        <f>IFERROR(L1774/G1774,0)</f>
        <v>0.4118181818181893</v>
      </c>
    </row>
    <row r="1775" spans="1:18" x14ac:dyDescent="0.3">
      <c r="A1775" s="9" t="s">
        <v>3764</v>
      </c>
      <c r="B1775" s="9" t="s">
        <v>26</v>
      </c>
      <c r="C1775" s="9" t="s">
        <v>27</v>
      </c>
      <c r="D1775" s="52">
        <v>46209</v>
      </c>
      <c r="E1775" s="48">
        <v>0.61527777777777781</v>
      </c>
      <c r="F1775" s="48">
        <v>0.62361111111111112</v>
      </c>
      <c r="G1775" s="43">
        <f>(F1775-E1775)*1440</f>
        <v>11.999999999999957</v>
      </c>
      <c r="H1775" s="9" t="s">
        <v>619</v>
      </c>
      <c r="I1775" s="9" t="s">
        <v>2866</v>
      </c>
      <c r="J1775" s="44">
        <v>2.8</v>
      </c>
      <c r="K1775" s="60">
        <v>7.35</v>
      </c>
      <c r="L1775" s="56">
        <v>5.51</v>
      </c>
      <c r="M1775" s="14">
        <f>K1775-L1775</f>
        <v>1.8399999999999999</v>
      </c>
      <c r="N1775" s="15">
        <f>IFERROR(M1775/K1775,0)</f>
        <v>0.25034013605442174</v>
      </c>
      <c r="O1775" s="14">
        <f>IFERROR(L1775/J1775,0)</f>
        <v>1.967857142857143</v>
      </c>
      <c r="P1775" s="14">
        <f>IFERROR(L1775/G1775,0)</f>
        <v>0.45916666666666828</v>
      </c>
    </row>
    <row r="1776" spans="1:18" x14ac:dyDescent="0.3">
      <c r="A1776" s="9" t="s">
        <v>3765</v>
      </c>
      <c r="B1776" s="9" t="s">
        <v>26</v>
      </c>
      <c r="C1776" s="9" t="s">
        <v>27</v>
      </c>
      <c r="D1776" s="52">
        <v>46209</v>
      </c>
      <c r="E1776" s="48">
        <v>0.62708333333333333</v>
      </c>
      <c r="F1776" s="48">
        <v>0.63263888888888886</v>
      </c>
      <c r="G1776" s="43">
        <f>(F1776-E1776)*1440</f>
        <v>7.9999999999999716</v>
      </c>
      <c r="H1776" s="9" t="s">
        <v>4235</v>
      </c>
      <c r="I1776" s="9" t="s">
        <v>4236</v>
      </c>
      <c r="J1776" s="44">
        <v>2.9</v>
      </c>
      <c r="K1776" s="60">
        <v>5.78</v>
      </c>
      <c r="L1776" s="56">
        <v>4.33</v>
      </c>
      <c r="M1776" s="14">
        <f>K1776-L1776</f>
        <v>1.4500000000000002</v>
      </c>
      <c r="N1776" s="15">
        <f>IFERROR(M1776/K1776,0)</f>
        <v>0.2508650519031142</v>
      </c>
      <c r="O1776" s="14">
        <f>IFERROR(L1776/J1776,0)</f>
        <v>1.4931034482758621</v>
      </c>
      <c r="P1776" s="14">
        <f>IFERROR(L1776/G1776,0)</f>
        <v>0.5412500000000019</v>
      </c>
      <c r="R1776" s="57">
        <v>1.93</v>
      </c>
    </row>
    <row r="1777" spans="1:19" x14ac:dyDescent="0.3">
      <c r="A1777" s="9" t="s">
        <v>3766</v>
      </c>
      <c r="B1777" s="9" t="s">
        <v>26</v>
      </c>
      <c r="C1777" s="9" t="s">
        <v>26</v>
      </c>
      <c r="D1777" s="52">
        <v>46209</v>
      </c>
      <c r="E1777" s="48">
        <v>0.63402777777777775</v>
      </c>
      <c r="F1777" s="48">
        <v>0.64166666666666672</v>
      </c>
      <c r="G1777" s="43">
        <f>(F1777-E1777)*1440</f>
        <v>11.000000000000121</v>
      </c>
      <c r="H1777" s="9" t="s">
        <v>4237</v>
      </c>
      <c r="I1777" s="9" t="s">
        <v>698</v>
      </c>
      <c r="J1777" s="44">
        <v>5.4</v>
      </c>
      <c r="K1777" s="60">
        <v>6.64</v>
      </c>
      <c r="L1777" s="56">
        <v>4.9800000000000004</v>
      </c>
      <c r="M1777" s="14">
        <f>K1777-L1777</f>
        <v>1.6599999999999993</v>
      </c>
      <c r="N1777" s="15">
        <f>IFERROR(M1777/K1777,0)</f>
        <v>0.24999999999999989</v>
      </c>
      <c r="O1777" s="14">
        <f>IFERROR(L1777/J1777,0)</f>
        <v>0.92222222222222228</v>
      </c>
      <c r="P1777" s="14">
        <f>IFERROR(L1777/G1777,0)</f>
        <v>0.45272727272726782</v>
      </c>
    </row>
    <row r="1778" spans="1:19" x14ac:dyDescent="0.3">
      <c r="A1778" s="9" t="s">
        <v>3767</v>
      </c>
      <c r="B1778" s="9" t="s">
        <v>26</v>
      </c>
      <c r="C1778" s="9" t="s">
        <v>27</v>
      </c>
      <c r="D1778" s="52">
        <v>46209</v>
      </c>
      <c r="E1778" s="48">
        <v>0.64513888888888882</v>
      </c>
      <c r="F1778" s="48">
        <v>0.65972222222222221</v>
      </c>
      <c r="G1778" s="43">
        <f>(F1778-E1778)*1440</f>
        <v>21.000000000000085</v>
      </c>
      <c r="H1778" s="9" t="s">
        <v>4238</v>
      </c>
      <c r="I1778" s="9" t="s">
        <v>4239</v>
      </c>
      <c r="J1778" s="44">
        <v>12.7</v>
      </c>
      <c r="K1778" s="60">
        <v>13.14</v>
      </c>
      <c r="L1778" s="56">
        <v>9.85</v>
      </c>
      <c r="M1778" s="14">
        <f>K1778-L1778</f>
        <v>3.2900000000000009</v>
      </c>
      <c r="N1778" s="15">
        <f>IFERROR(M1778/K1778,0)</f>
        <v>0.25038051750380524</v>
      </c>
      <c r="O1778" s="14">
        <f>IFERROR(L1778/J1778,0)</f>
        <v>0.77559055118110243</v>
      </c>
      <c r="P1778" s="14">
        <f>IFERROR(L1778/G1778,0)</f>
        <v>0.4690476190476171</v>
      </c>
      <c r="R1778" s="57">
        <v>3.03</v>
      </c>
    </row>
    <row r="1779" spans="1:19" x14ac:dyDescent="0.3">
      <c r="A1779" s="9" t="s">
        <v>3768</v>
      </c>
      <c r="B1779" s="9" t="s">
        <v>26</v>
      </c>
      <c r="C1779" s="9" t="s">
        <v>26</v>
      </c>
      <c r="D1779" s="52">
        <v>46209</v>
      </c>
      <c r="E1779" s="48">
        <v>0.68125000000000002</v>
      </c>
      <c r="F1779" s="48">
        <v>0.68819444444444444</v>
      </c>
      <c r="G1779" s="43">
        <f>(F1779-E1779)*1440</f>
        <v>9.9999999999999645</v>
      </c>
      <c r="H1779" s="9" t="s">
        <v>4240</v>
      </c>
      <c r="I1779" s="9" t="s">
        <v>4241</v>
      </c>
      <c r="J1779" s="44">
        <v>4</v>
      </c>
      <c r="K1779" s="60">
        <v>4.18</v>
      </c>
      <c r="L1779" s="56">
        <v>4.3</v>
      </c>
      <c r="M1779" s="14">
        <f>K1779-L1779</f>
        <v>-0.12000000000000011</v>
      </c>
      <c r="N1779" s="15">
        <f>IFERROR(M1779/K1779,0)</f>
        <v>-2.8708133971291894E-2</v>
      </c>
      <c r="O1779" s="14">
        <f>IFERROR(L1779/J1779,0)</f>
        <v>1.075</v>
      </c>
      <c r="P1779" s="14">
        <f>IFERROR(L1779/G1779,0)</f>
        <v>0.43000000000000149</v>
      </c>
    </row>
    <row r="1780" spans="1:19" x14ac:dyDescent="0.3">
      <c r="A1780" s="9" t="s">
        <v>3769</v>
      </c>
      <c r="B1780" s="9" t="s">
        <v>26</v>
      </c>
      <c r="C1780" s="9" t="s">
        <v>26</v>
      </c>
      <c r="D1780" s="52">
        <v>46209</v>
      </c>
      <c r="E1780" s="48">
        <v>0.70000000000000007</v>
      </c>
      <c r="F1780" s="48">
        <v>0.70624999999999993</v>
      </c>
      <c r="G1780" s="43">
        <f>(F1780-E1780)*1440</f>
        <v>8.9999999999998082</v>
      </c>
      <c r="H1780" s="9" t="s">
        <v>4242</v>
      </c>
      <c r="I1780" s="9" t="s">
        <v>2862</v>
      </c>
      <c r="J1780" s="44">
        <v>8.1999999999999993</v>
      </c>
      <c r="K1780" s="60">
        <v>7.78</v>
      </c>
      <c r="L1780" s="56">
        <v>5.93</v>
      </c>
      <c r="M1780" s="14">
        <f>K1780-L1780</f>
        <v>1.8500000000000005</v>
      </c>
      <c r="N1780" s="15">
        <f>IFERROR(M1780/K1780,0)</f>
        <v>0.23778920308483298</v>
      </c>
      <c r="O1780" s="14">
        <f>IFERROR(L1780/J1780,0)</f>
        <v>0.72317073170731705</v>
      </c>
      <c r="P1780" s="14">
        <f>IFERROR(L1780/G1780,0)</f>
        <v>0.65888888888890296</v>
      </c>
    </row>
    <row r="1781" spans="1:19" x14ac:dyDescent="0.3">
      <c r="A1781" s="9" t="s">
        <v>3770</v>
      </c>
      <c r="B1781" s="9" t="s">
        <v>26</v>
      </c>
      <c r="C1781" s="9" t="s">
        <v>26</v>
      </c>
      <c r="D1781" s="52">
        <v>46209</v>
      </c>
      <c r="E1781" s="48">
        <v>0.70972222222222225</v>
      </c>
      <c r="F1781" s="48">
        <v>0.71319444444444446</v>
      </c>
      <c r="G1781" s="43">
        <f>(F1781-E1781)*1440</f>
        <v>4.9999999999999822</v>
      </c>
      <c r="H1781" s="9" t="s">
        <v>4243</v>
      </c>
      <c r="I1781" s="9" t="s">
        <v>593</v>
      </c>
      <c r="J1781" s="44">
        <v>2.2999999999999998</v>
      </c>
      <c r="K1781" s="60">
        <v>6.9</v>
      </c>
      <c r="L1781" s="56">
        <v>5.44</v>
      </c>
      <c r="M1781" s="14">
        <f>K1781-L1781</f>
        <v>1.46</v>
      </c>
      <c r="N1781" s="15">
        <f>IFERROR(M1781/K1781,0)</f>
        <v>0.21159420289855072</v>
      </c>
      <c r="O1781" s="14">
        <f>IFERROR(L1781/J1781,0)</f>
        <v>2.3652173913043484</v>
      </c>
      <c r="P1781" s="14">
        <f>IFERROR(L1781/G1781,0)</f>
        <v>1.0880000000000039</v>
      </c>
    </row>
    <row r="1782" spans="1:19" x14ac:dyDescent="0.3">
      <c r="A1782" s="9" t="s">
        <v>3771</v>
      </c>
      <c r="B1782" s="9" t="s">
        <v>26</v>
      </c>
      <c r="C1782" s="9" t="s">
        <v>27</v>
      </c>
      <c r="D1782" s="52">
        <v>46209</v>
      </c>
      <c r="E1782" s="48">
        <v>0.71458333333333324</v>
      </c>
      <c r="F1782" s="48">
        <v>0.72013888888888899</v>
      </c>
      <c r="G1782" s="43">
        <f>(F1782-E1782)*1440</f>
        <v>8.0000000000002913</v>
      </c>
      <c r="H1782" s="9" t="s">
        <v>2785</v>
      </c>
      <c r="I1782" s="9" t="s">
        <v>554</v>
      </c>
      <c r="J1782" s="44">
        <v>2.7</v>
      </c>
      <c r="K1782" s="60">
        <v>6.55</v>
      </c>
      <c r="L1782" s="56">
        <v>5.4</v>
      </c>
      <c r="M1782" s="14">
        <f>K1782-L1782</f>
        <v>1.1499999999999995</v>
      </c>
      <c r="N1782" s="15">
        <f>IFERROR(M1782/K1782,0)</f>
        <v>0.1755725190839694</v>
      </c>
      <c r="O1782" s="14">
        <f>IFERROR(L1782/J1782,0)</f>
        <v>2</v>
      </c>
      <c r="P1782" s="14">
        <f>IFERROR(L1782/G1782,0)</f>
        <v>0.67499999999997551</v>
      </c>
      <c r="R1782" s="57">
        <v>2.7</v>
      </c>
    </row>
    <row r="1783" spans="1:19" x14ac:dyDescent="0.3">
      <c r="A1783" s="9" t="s">
        <v>3772</v>
      </c>
      <c r="B1783" s="9" t="s">
        <v>26</v>
      </c>
      <c r="C1783" s="9" t="s">
        <v>26</v>
      </c>
      <c r="D1783" s="52">
        <v>46209</v>
      </c>
      <c r="E1783" s="48">
        <v>0.72152777777777777</v>
      </c>
      <c r="F1783" s="48">
        <v>0.72986111111111107</v>
      </c>
      <c r="G1783" s="43">
        <f>(F1783-E1783)*1440</f>
        <v>11.999999999999957</v>
      </c>
      <c r="H1783" s="9" t="s">
        <v>554</v>
      </c>
      <c r="I1783" s="9" t="s">
        <v>1163</v>
      </c>
      <c r="J1783" s="44">
        <v>4.7</v>
      </c>
      <c r="K1783" s="60">
        <v>8.49</v>
      </c>
      <c r="L1783" s="56">
        <v>6.37</v>
      </c>
      <c r="M1783" s="14">
        <f>K1783-L1783</f>
        <v>2.12</v>
      </c>
      <c r="N1783" s="15">
        <f>IFERROR(M1783/K1783,0)</f>
        <v>0.24970553592461719</v>
      </c>
      <c r="O1783" s="14">
        <f>IFERROR(L1783/J1783,0)</f>
        <v>1.3553191489361702</v>
      </c>
      <c r="P1783" s="14">
        <f>IFERROR(L1783/G1783,0)</f>
        <v>0.53083333333333527</v>
      </c>
    </row>
    <row r="1784" spans="1:19" x14ac:dyDescent="0.3">
      <c r="A1784" s="9" t="s">
        <v>3773</v>
      </c>
      <c r="B1784" s="9" t="s">
        <v>26</v>
      </c>
      <c r="C1784" s="9" t="s">
        <v>26</v>
      </c>
      <c r="D1784" s="52">
        <v>46209</v>
      </c>
      <c r="E1784" s="48">
        <v>0.73402777777777783</v>
      </c>
      <c r="F1784" s="48">
        <v>0.75763888888888886</v>
      </c>
      <c r="G1784" s="43">
        <f>(F1784-E1784)*1440</f>
        <v>33.999999999999879</v>
      </c>
      <c r="H1784" s="9" t="s">
        <v>4244</v>
      </c>
      <c r="I1784" s="9" t="s">
        <v>1120</v>
      </c>
      <c r="J1784" s="44">
        <v>11.8</v>
      </c>
      <c r="K1784" s="60">
        <v>16</v>
      </c>
      <c r="L1784" s="56">
        <v>12</v>
      </c>
      <c r="M1784" s="14">
        <f>K1784-L1784</f>
        <v>4</v>
      </c>
      <c r="N1784" s="15">
        <f>IFERROR(M1784/K1784,0)</f>
        <v>0.25</v>
      </c>
      <c r="O1784" s="14">
        <f>IFERROR(L1784/J1784,0)</f>
        <v>1.0169491525423728</v>
      </c>
      <c r="P1784" s="14">
        <f>IFERROR(L1784/G1784,0)</f>
        <v>0.35294117647058948</v>
      </c>
    </row>
    <row r="1785" spans="1:19" x14ac:dyDescent="0.3">
      <c r="A1785" s="9" t="s">
        <v>3774</v>
      </c>
      <c r="B1785" s="9" t="s">
        <v>26</v>
      </c>
      <c r="C1785" s="9" t="s">
        <v>26</v>
      </c>
      <c r="D1785" s="52">
        <v>46209</v>
      </c>
      <c r="E1785" s="48">
        <v>0.76527777777777783</v>
      </c>
      <c r="F1785" s="48">
        <v>0.77638888888888891</v>
      </c>
      <c r="G1785" s="43">
        <f>(F1785-E1785)*1440</f>
        <v>15.999999999999943</v>
      </c>
      <c r="H1785" s="9" t="s">
        <v>902</v>
      </c>
      <c r="I1785" s="9" t="s">
        <v>4245</v>
      </c>
      <c r="J1785" s="44">
        <v>5.2</v>
      </c>
      <c r="K1785" s="60">
        <v>9.01</v>
      </c>
      <c r="L1785" s="56">
        <v>7.95</v>
      </c>
      <c r="M1785" s="14">
        <f>K1785-L1785</f>
        <v>1.0599999999999996</v>
      </c>
      <c r="N1785" s="15">
        <f>IFERROR(M1785/K1785,0)</f>
        <v>0.11764705882352937</v>
      </c>
      <c r="O1785" s="14">
        <f>IFERROR(L1785/J1785,0)</f>
        <v>1.5288461538461537</v>
      </c>
      <c r="P1785" s="14">
        <f>IFERROR(L1785/G1785,0)</f>
        <v>0.49687500000000179</v>
      </c>
      <c r="R1785" s="57">
        <v>2.4</v>
      </c>
      <c r="S1785" s="61">
        <v>1</v>
      </c>
    </row>
    <row r="1786" spans="1:19" x14ac:dyDescent="0.3">
      <c r="A1786" s="9" t="s">
        <v>3775</v>
      </c>
      <c r="B1786" s="9" t="s">
        <v>26</v>
      </c>
      <c r="C1786" s="9" t="s">
        <v>26</v>
      </c>
      <c r="D1786" s="52">
        <v>46209</v>
      </c>
      <c r="E1786" s="48">
        <v>0.78055555555555556</v>
      </c>
      <c r="F1786" s="48">
        <v>0.78263888888888899</v>
      </c>
      <c r="G1786" s="43">
        <f>(F1786-E1786)*1440</f>
        <v>3.0000000000001492</v>
      </c>
      <c r="H1786" s="9" t="s">
        <v>4246</v>
      </c>
      <c r="I1786" s="9" t="s">
        <v>226</v>
      </c>
      <c r="J1786" s="44">
        <v>1</v>
      </c>
      <c r="K1786" s="60">
        <v>6.55</v>
      </c>
      <c r="L1786" s="56">
        <v>5.4</v>
      </c>
      <c r="M1786" s="14">
        <f>K1786-L1786</f>
        <v>1.1499999999999995</v>
      </c>
      <c r="N1786" s="15">
        <f>IFERROR(M1786/K1786,0)</f>
        <v>0.1755725190839694</v>
      </c>
      <c r="O1786" s="14">
        <f>IFERROR(L1786/J1786,0)</f>
        <v>5.4</v>
      </c>
      <c r="P1786" s="14">
        <f>IFERROR(L1786/G1786,0)</f>
        <v>1.7999999999999106</v>
      </c>
      <c r="R1786" s="57">
        <v>2.7</v>
      </c>
    </row>
    <row r="1787" spans="1:19" x14ac:dyDescent="0.3">
      <c r="A1787" s="9" t="s">
        <v>3776</v>
      </c>
      <c r="B1787" s="9" t="s">
        <v>26</v>
      </c>
      <c r="C1787" s="9" t="s">
        <v>26</v>
      </c>
      <c r="D1787" s="52">
        <v>46209</v>
      </c>
      <c r="E1787" s="48">
        <v>0.81736111111111109</v>
      </c>
      <c r="F1787" s="48">
        <v>0.82291666666666663</v>
      </c>
      <c r="G1787" s="43">
        <f>(F1787-E1787)*1440</f>
        <v>7.9999999999999716</v>
      </c>
      <c r="H1787" s="9" t="s">
        <v>878</v>
      </c>
      <c r="I1787" s="9" t="s">
        <v>4247</v>
      </c>
      <c r="J1787" s="44">
        <v>2.4</v>
      </c>
      <c r="K1787" s="60">
        <v>6.16</v>
      </c>
      <c r="L1787" s="56">
        <v>6.6</v>
      </c>
      <c r="M1787" s="14">
        <f>K1787-L1787</f>
        <v>-0.4399999999999995</v>
      </c>
      <c r="N1787" s="15">
        <f>IFERROR(M1787/K1787,0)</f>
        <v>-7.1428571428571341E-2</v>
      </c>
      <c r="O1787" s="14">
        <f>IFERROR(L1787/J1787,0)</f>
        <v>2.75</v>
      </c>
      <c r="P1787" s="14">
        <f>IFERROR(L1787/G1787,0)</f>
        <v>0.82500000000000284</v>
      </c>
      <c r="R1787" s="57">
        <v>4.4000000000000004</v>
      </c>
    </row>
    <row r="1788" spans="1:19" x14ac:dyDescent="0.3">
      <c r="A1788" s="9" t="s">
        <v>3777</v>
      </c>
      <c r="B1788" s="9" t="s">
        <v>26</v>
      </c>
      <c r="C1788" s="9" t="s">
        <v>27</v>
      </c>
      <c r="D1788" s="52">
        <v>46209</v>
      </c>
      <c r="E1788" s="48">
        <v>0.85138888888888886</v>
      </c>
      <c r="F1788" s="48">
        <v>0.85972222222222217</v>
      </c>
      <c r="G1788" s="43">
        <f>(F1788-E1788)*1440</f>
        <v>11.999999999999957</v>
      </c>
      <c r="H1788" s="9" t="s">
        <v>214</v>
      </c>
      <c r="I1788" s="9" t="s">
        <v>584</v>
      </c>
      <c r="J1788" s="44">
        <v>8.9</v>
      </c>
      <c r="K1788" s="60">
        <v>8.9</v>
      </c>
      <c r="L1788" s="56">
        <v>7.34</v>
      </c>
      <c r="M1788" s="14">
        <f>K1788-L1788</f>
        <v>1.5600000000000005</v>
      </c>
      <c r="N1788" s="15">
        <f>IFERROR(M1788/K1788,0)</f>
        <v>0.17528089887640455</v>
      </c>
      <c r="O1788" s="14">
        <f>IFERROR(L1788/J1788,0)</f>
        <v>0.82471910112359548</v>
      </c>
      <c r="P1788" s="14">
        <f>IFERROR(L1788/G1788,0)</f>
        <v>0.6116666666666688</v>
      </c>
    </row>
    <row r="1789" spans="1:19" x14ac:dyDescent="0.3">
      <c r="A1789" s="9" t="s">
        <v>3778</v>
      </c>
      <c r="B1789" s="9" t="s">
        <v>26</v>
      </c>
      <c r="C1789" s="9" t="s">
        <v>27</v>
      </c>
      <c r="D1789" s="52">
        <v>46209</v>
      </c>
      <c r="E1789" s="48">
        <v>0.86249999999999993</v>
      </c>
      <c r="F1789" s="48">
        <v>0.87430555555555556</v>
      </c>
      <c r="G1789" s="43">
        <f>(F1789-E1789)*1440</f>
        <v>17.000000000000099</v>
      </c>
      <c r="H1789" s="9" t="s">
        <v>2248</v>
      </c>
      <c r="I1789" s="9" t="s">
        <v>4248</v>
      </c>
      <c r="J1789" s="44">
        <v>19.100000000000001</v>
      </c>
      <c r="K1789" s="60">
        <v>8.8800000000000008</v>
      </c>
      <c r="L1789" s="56">
        <v>6.66</v>
      </c>
      <c r="M1789" s="14">
        <f>K1789-L1789</f>
        <v>2.2200000000000006</v>
      </c>
      <c r="N1789" s="15">
        <f>IFERROR(M1789/K1789,0)</f>
        <v>0.25000000000000006</v>
      </c>
      <c r="O1789" s="14">
        <f>IFERROR(L1789/J1789,0)</f>
        <v>0.34869109947643978</v>
      </c>
      <c r="P1789" s="14">
        <f>IFERROR(L1789/G1789,0)</f>
        <v>0.39176470588235068</v>
      </c>
    </row>
    <row r="1790" spans="1:19" x14ac:dyDescent="0.3">
      <c r="A1790" s="9" t="s">
        <v>3779</v>
      </c>
      <c r="B1790" s="9" t="s">
        <v>26</v>
      </c>
      <c r="C1790" s="9" t="s">
        <v>26</v>
      </c>
      <c r="D1790" s="52">
        <v>46210</v>
      </c>
      <c r="E1790" s="48">
        <v>0.60138888888888886</v>
      </c>
      <c r="F1790" s="48">
        <v>0.61041666666666672</v>
      </c>
      <c r="G1790" s="43">
        <f>(F1790-E1790)*1440</f>
        <v>13.000000000000114</v>
      </c>
      <c r="H1790" s="9" t="s">
        <v>2646</v>
      </c>
      <c r="I1790" s="9" t="s">
        <v>4249</v>
      </c>
      <c r="J1790" s="44">
        <v>8.6999999999999993</v>
      </c>
      <c r="K1790" s="60">
        <v>6.7</v>
      </c>
      <c r="L1790" s="56">
        <v>6.28</v>
      </c>
      <c r="M1790" s="14">
        <f>K1790-L1790</f>
        <v>0.41999999999999993</v>
      </c>
      <c r="N1790" s="15">
        <f>IFERROR(M1790/K1790,0)</f>
        <v>6.2686567164179086E-2</v>
      </c>
      <c r="O1790" s="14">
        <f>IFERROR(L1790/J1790,0)</f>
        <v>0.72183908045977019</v>
      </c>
      <c r="P1790" s="14">
        <f>IFERROR(L1790/G1790,0)</f>
        <v>0.48307692307691885</v>
      </c>
    </row>
    <row r="1791" spans="1:19" x14ac:dyDescent="0.3">
      <c r="A1791" s="9" t="s">
        <v>3780</v>
      </c>
      <c r="B1791" s="9" t="s">
        <v>26</v>
      </c>
      <c r="C1791" s="9" t="s">
        <v>26</v>
      </c>
      <c r="D1791" s="52">
        <v>46210</v>
      </c>
      <c r="E1791" s="48">
        <v>0.61597222222222225</v>
      </c>
      <c r="F1791" s="48">
        <v>0.62291666666666667</v>
      </c>
      <c r="G1791" s="43">
        <f>(F1791-E1791)*1440</f>
        <v>9.9999999999999645</v>
      </c>
      <c r="H1791" s="9" t="s">
        <v>4250</v>
      </c>
      <c r="I1791" s="9" t="s">
        <v>214</v>
      </c>
      <c r="J1791" s="44">
        <v>5.3</v>
      </c>
      <c r="K1791" s="60">
        <v>3.72</v>
      </c>
      <c r="L1791" s="56">
        <v>4.26</v>
      </c>
      <c r="M1791" s="14">
        <f>K1791-L1791</f>
        <v>-0.53999999999999959</v>
      </c>
      <c r="N1791" s="15">
        <f>IFERROR(M1791/K1791,0)</f>
        <v>-0.14516129032258052</v>
      </c>
      <c r="O1791" s="14">
        <f>IFERROR(L1791/J1791,0)</f>
        <v>0.80377358490566031</v>
      </c>
      <c r="P1791" s="14">
        <f>IFERROR(L1791/G1791,0)</f>
        <v>0.42600000000000149</v>
      </c>
    </row>
    <row r="1792" spans="1:19" x14ac:dyDescent="0.3">
      <c r="A1792" s="9" t="s">
        <v>3781</v>
      </c>
      <c r="B1792" s="9" t="s">
        <v>26</v>
      </c>
      <c r="C1792" s="9" t="s">
        <v>26</v>
      </c>
      <c r="D1792" s="52">
        <v>46210</v>
      </c>
      <c r="E1792" s="48">
        <v>0.66111111111111109</v>
      </c>
      <c r="F1792" s="48">
        <v>0.67083333333333339</v>
      </c>
      <c r="G1792" s="43">
        <f>(F1792-E1792)*1440</f>
        <v>14.00000000000011</v>
      </c>
      <c r="H1792" s="9" t="s">
        <v>4251</v>
      </c>
      <c r="I1792" s="9" t="s">
        <v>775</v>
      </c>
      <c r="J1792" s="44">
        <v>5</v>
      </c>
      <c r="K1792" s="60">
        <v>6.41</v>
      </c>
      <c r="L1792" s="56">
        <v>6.04</v>
      </c>
      <c r="M1792" s="14">
        <f>K1792-L1792</f>
        <v>0.37000000000000011</v>
      </c>
      <c r="N1792" s="15">
        <f>IFERROR(M1792/K1792,0)</f>
        <v>5.772230889235571E-2</v>
      </c>
      <c r="O1792" s="14">
        <f>IFERROR(L1792/J1792,0)</f>
        <v>1.208</v>
      </c>
      <c r="P1792" s="14">
        <f>IFERROR(L1792/G1792,0)</f>
        <v>0.43142857142856805</v>
      </c>
      <c r="R1792" s="57">
        <v>0.77</v>
      </c>
    </row>
    <row r="1793" spans="1:19" x14ac:dyDescent="0.3">
      <c r="A1793" s="9" t="s">
        <v>3782</v>
      </c>
      <c r="B1793" s="9" t="s">
        <v>26</v>
      </c>
      <c r="C1793" s="9" t="s">
        <v>27</v>
      </c>
      <c r="D1793" s="52">
        <v>46210</v>
      </c>
      <c r="E1793" s="48">
        <v>0.67569444444444438</v>
      </c>
      <c r="F1793" s="48">
        <v>0.68611111111111101</v>
      </c>
      <c r="G1793" s="43">
        <f>(F1793-E1793)*1440</f>
        <v>14.999999999999947</v>
      </c>
      <c r="H1793" s="9" t="s">
        <v>885</v>
      </c>
      <c r="I1793" s="9" t="s">
        <v>4252</v>
      </c>
      <c r="J1793" s="44">
        <v>6</v>
      </c>
      <c r="K1793" s="60">
        <v>8.67</v>
      </c>
      <c r="L1793" s="56">
        <v>6.75</v>
      </c>
      <c r="M1793" s="14">
        <f>K1793-L1793</f>
        <v>1.92</v>
      </c>
      <c r="N1793" s="15">
        <f>IFERROR(M1793/K1793,0)</f>
        <v>0.22145328719723184</v>
      </c>
      <c r="O1793" s="14">
        <f>IFERROR(L1793/J1793,0)</f>
        <v>1.125</v>
      </c>
      <c r="P1793" s="14">
        <f>IFERROR(L1793/G1793,0)</f>
        <v>0.45000000000000162</v>
      </c>
      <c r="S1793" s="61">
        <v>1</v>
      </c>
    </row>
    <row r="1794" spans="1:19" x14ac:dyDescent="0.3">
      <c r="A1794" s="9" t="s">
        <v>3783</v>
      </c>
      <c r="B1794" s="9" t="s">
        <v>26</v>
      </c>
      <c r="C1794" s="9" t="s">
        <v>27</v>
      </c>
      <c r="D1794" s="52">
        <v>46210</v>
      </c>
      <c r="E1794" s="48">
        <v>0.68680555555555556</v>
      </c>
      <c r="F1794" s="48">
        <v>0.69305555555555554</v>
      </c>
      <c r="G1794" s="43">
        <f>(F1794-E1794)*1440</f>
        <v>8.999999999999968</v>
      </c>
      <c r="H1794" s="9" t="s">
        <v>4253</v>
      </c>
      <c r="I1794" s="9" t="s">
        <v>1752</v>
      </c>
      <c r="J1794" s="44">
        <v>1.6</v>
      </c>
      <c r="K1794" s="60">
        <v>4.62</v>
      </c>
      <c r="L1794" s="56">
        <v>3.81</v>
      </c>
      <c r="M1794" s="14">
        <f>K1794-L1794</f>
        <v>0.81</v>
      </c>
      <c r="N1794" s="15">
        <f>IFERROR(M1794/K1794,0)</f>
        <v>0.17532467532467533</v>
      </c>
      <c r="O1794" s="14">
        <f>IFERROR(L1794/J1794,0)</f>
        <v>2.3812500000000001</v>
      </c>
      <c r="P1794" s="14">
        <f>IFERROR(L1794/G1794,0)</f>
        <v>0.42333333333333484</v>
      </c>
      <c r="R1794" s="57">
        <v>0.77</v>
      </c>
    </row>
    <row r="1795" spans="1:19" x14ac:dyDescent="0.3">
      <c r="A1795" s="9" t="s">
        <v>3784</v>
      </c>
      <c r="B1795" s="9" t="s">
        <v>26</v>
      </c>
      <c r="C1795" s="9" t="s">
        <v>27</v>
      </c>
      <c r="D1795" s="52">
        <v>46210</v>
      </c>
      <c r="E1795" s="48">
        <v>0.69513888888888886</v>
      </c>
      <c r="F1795" s="48">
        <v>0.69861111111111107</v>
      </c>
      <c r="G1795" s="43">
        <f>(F1795-E1795)*1440</f>
        <v>4.9999999999999822</v>
      </c>
      <c r="H1795" s="9" t="s">
        <v>4254</v>
      </c>
      <c r="I1795" s="9" t="s">
        <v>4255</v>
      </c>
      <c r="J1795" s="44">
        <v>1.1000000000000001</v>
      </c>
      <c r="K1795" s="60">
        <v>4.62</v>
      </c>
      <c r="L1795" s="56">
        <v>3.81</v>
      </c>
      <c r="M1795" s="14">
        <f>K1795-L1795</f>
        <v>0.81</v>
      </c>
      <c r="N1795" s="15">
        <f>IFERROR(M1795/K1795,0)</f>
        <v>0.17532467532467533</v>
      </c>
      <c r="O1795" s="14">
        <f>IFERROR(L1795/J1795,0)</f>
        <v>3.4636363636363634</v>
      </c>
      <c r="P1795" s="14">
        <f>IFERROR(L1795/G1795,0)</f>
        <v>0.76200000000000268</v>
      </c>
      <c r="R1795" s="57">
        <v>0.77</v>
      </c>
    </row>
    <row r="1796" spans="1:19" x14ac:dyDescent="0.3">
      <c r="A1796" s="9" t="s">
        <v>3785</v>
      </c>
      <c r="B1796" s="9" t="s">
        <v>26</v>
      </c>
      <c r="C1796" s="9" t="s">
        <v>27</v>
      </c>
      <c r="D1796" s="52">
        <v>46210</v>
      </c>
      <c r="E1796" s="48">
        <v>0.7104166666666667</v>
      </c>
      <c r="F1796" s="48">
        <v>0.73263888888888884</v>
      </c>
      <c r="G1796" s="43">
        <f>(F1796-E1796)*1440</f>
        <v>31.999999999999886</v>
      </c>
      <c r="H1796" s="9" t="s">
        <v>4255</v>
      </c>
      <c r="I1796" s="9" t="s">
        <v>1933</v>
      </c>
      <c r="J1796" s="44">
        <v>8.1</v>
      </c>
      <c r="K1796" s="60">
        <v>9.66</v>
      </c>
      <c r="L1796" s="56">
        <v>7.24</v>
      </c>
      <c r="M1796" s="14">
        <f>K1796-L1796</f>
        <v>2.42</v>
      </c>
      <c r="N1796" s="15">
        <f>IFERROR(M1796/K1796,0)</f>
        <v>0.25051759834368531</v>
      </c>
      <c r="O1796" s="14">
        <f>IFERROR(L1796/J1796,0)</f>
        <v>0.89382716049382727</v>
      </c>
      <c r="P1796" s="14">
        <f>IFERROR(L1796/G1796,0)</f>
        <v>0.22625000000000081</v>
      </c>
      <c r="R1796" s="57">
        <v>1.61</v>
      </c>
    </row>
    <row r="1797" spans="1:19" x14ac:dyDescent="0.3">
      <c r="A1797" s="9" t="s">
        <v>3786</v>
      </c>
      <c r="B1797" s="9" t="s">
        <v>26</v>
      </c>
      <c r="C1797" s="9" t="s">
        <v>26</v>
      </c>
      <c r="D1797" s="52">
        <v>46210</v>
      </c>
      <c r="E1797" s="48">
        <v>0.73402777777777783</v>
      </c>
      <c r="F1797" s="48">
        <v>0.74097222222222225</v>
      </c>
      <c r="G1797" s="43">
        <f>(F1797-E1797)*1440</f>
        <v>9.9999999999999645</v>
      </c>
      <c r="H1797" s="9" t="s">
        <v>4256</v>
      </c>
      <c r="I1797" s="9" t="s">
        <v>1242</v>
      </c>
      <c r="J1797" s="44">
        <v>4.2</v>
      </c>
      <c r="K1797" s="60">
        <v>8.51</v>
      </c>
      <c r="L1797" s="56">
        <v>6.38</v>
      </c>
      <c r="M1797" s="14">
        <f>K1797-L1797</f>
        <v>2.13</v>
      </c>
      <c r="N1797" s="15">
        <f>IFERROR(M1797/K1797,0)</f>
        <v>0.25029377203290248</v>
      </c>
      <c r="O1797" s="14">
        <f>IFERROR(L1797/J1797,0)</f>
        <v>1.519047619047619</v>
      </c>
      <c r="P1797" s="14">
        <f>IFERROR(L1797/G1797,0)</f>
        <v>0.63800000000000223</v>
      </c>
      <c r="R1797" s="57">
        <v>3.51</v>
      </c>
    </row>
    <row r="1798" spans="1:19" x14ac:dyDescent="0.3">
      <c r="A1798" s="9" t="s">
        <v>3787</v>
      </c>
      <c r="B1798" s="9" t="s">
        <v>26</v>
      </c>
      <c r="C1798" s="9" t="s">
        <v>27</v>
      </c>
      <c r="D1798" s="52">
        <v>46210</v>
      </c>
      <c r="E1798" s="48">
        <v>0.80069444444444438</v>
      </c>
      <c r="F1798" s="48">
        <v>0.81458333333333333</v>
      </c>
      <c r="G1798" s="43">
        <f>(F1798-E1798)*1440</f>
        <v>20.000000000000089</v>
      </c>
      <c r="H1798" s="9" t="s">
        <v>214</v>
      </c>
      <c r="I1798" s="9" t="s">
        <v>1120</v>
      </c>
      <c r="J1798" s="44">
        <v>6</v>
      </c>
      <c r="K1798" s="60">
        <v>6</v>
      </c>
      <c r="L1798" s="56">
        <v>4.5</v>
      </c>
      <c r="M1798" s="14">
        <f>K1798-L1798</f>
        <v>1.5</v>
      </c>
      <c r="N1798" s="15">
        <f>IFERROR(M1798/K1798,0)</f>
        <v>0.25</v>
      </c>
      <c r="O1798" s="14">
        <f>IFERROR(L1798/J1798,0)</f>
        <v>0.75</v>
      </c>
      <c r="P1798" s="14">
        <f>IFERROR(L1798/G1798,0)</f>
        <v>0.22499999999999901</v>
      </c>
    </row>
    <row r="1799" spans="1:19" x14ac:dyDescent="0.3">
      <c r="A1799" s="9" t="s">
        <v>3788</v>
      </c>
      <c r="B1799" s="9" t="s">
        <v>26</v>
      </c>
      <c r="C1799" s="9" t="s">
        <v>27</v>
      </c>
      <c r="D1799" s="52">
        <v>46210</v>
      </c>
      <c r="E1799" s="48">
        <v>0.81736111111111109</v>
      </c>
      <c r="F1799" s="48">
        <v>0.82430555555555562</v>
      </c>
      <c r="G1799" s="43">
        <f>(F1799-E1799)*1440</f>
        <v>10.000000000000124</v>
      </c>
      <c r="H1799" s="9" t="s">
        <v>564</v>
      </c>
      <c r="I1799" s="9" t="s">
        <v>4257</v>
      </c>
      <c r="J1799" s="44">
        <v>4.5999999999999996</v>
      </c>
      <c r="K1799" s="60">
        <v>5.99</v>
      </c>
      <c r="L1799" s="56">
        <v>4.49</v>
      </c>
      <c r="M1799" s="14">
        <f>K1799-L1799</f>
        <v>1.5</v>
      </c>
      <c r="N1799" s="15">
        <f>IFERROR(M1799/K1799,0)</f>
        <v>0.25041736227045075</v>
      </c>
      <c r="O1799" s="14">
        <f>IFERROR(L1799/J1799,0)</f>
        <v>0.97608695652173927</v>
      </c>
      <c r="P1799" s="14">
        <f>IFERROR(L1799/G1799,0)</f>
        <v>0.44899999999999446</v>
      </c>
      <c r="R1799" s="57">
        <v>1</v>
      </c>
    </row>
    <row r="1800" spans="1:19" x14ac:dyDescent="0.3">
      <c r="A1800" s="9" t="s">
        <v>3789</v>
      </c>
      <c r="B1800" s="9" t="s">
        <v>26</v>
      </c>
      <c r="C1800" s="9" t="s">
        <v>26</v>
      </c>
      <c r="D1800" s="52">
        <v>46210</v>
      </c>
      <c r="E1800" s="48">
        <v>0.82777777777777783</v>
      </c>
      <c r="F1800" s="48">
        <v>0.8305555555555556</v>
      </c>
      <c r="G1800" s="43">
        <f>(F1800-E1800)*1440</f>
        <v>3.9999999999999858</v>
      </c>
      <c r="H1800" s="9" t="s">
        <v>4258</v>
      </c>
      <c r="I1800" s="9" t="s">
        <v>4259</v>
      </c>
      <c r="J1800" s="44">
        <v>1.8</v>
      </c>
      <c r="K1800" s="60">
        <v>4.12</v>
      </c>
      <c r="L1800" s="56">
        <v>3.86</v>
      </c>
      <c r="M1800" s="14">
        <f>K1800-L1800</f>
        <v>0.26000000000000023</v>
      </c>
      <c r="N1800" s="15">
        <f>IFERROR(M1800/K1800,0)</f>
        <v>6.310679611650491E-2</v>
      </c>
      <c r="O1800" s="14">
        <f>IFERROR(L1800/J1800,0)</f>
        <v>2.1444444444444444</v>
      </c>
      <c r="P1800" s="14">
        <f>IFERROR(L1800/G1800,0)</f>
        <v>0.96500000000000341</v>
      </c>
      <c r="R1800" s="57">
        <v>0.75</v>
      </c>
    </row>
    <row r="1801" spans="1:19" x14ac:dyDescent="0.3">
      <c r="A1801" s="9" t="s">
        <v>3790</v>
      </c>
      <c r="B1801" s="9" t="s">
        <v>26</v>
      </c>
      <c r="C1801" s="9" t="s">
        <v>27</v>
      </c>
      <c r="D1801" s="52">
        <v>46210</v>
      </c>
      <c r="E1801" s="48">
        <v>0.83472222222222225</v>
      </c>
      <c r="F1801" s="48">
        <v>0.84027777777777779</v>
      </c>
      <c r="G1801" s="43">
        <f>(F1801-E1801)*1440</f>
        <v>7.9999999999999716</v>
      </c>
      <c r="H1801" s="9" t="s">
        <v>604</v>
      </c>
      <c r="I1801" s="9" t="s">
        <v>4260</v>
      </c>
      <c r="J1801" s="44">
        <v>1.8</v>
      </c>
      <c r="K1801" s="60">
        <v>4.51</v>
      </c>
      <c r="L1801" s="56">
        <v>3.72</v>
      </c>
      <c r="M1801" s="14">
        <f>K1801-L1801</f>
        <v>0.78999999999999959</v>
      </c>
      <c r="N1801" s="15">
        <f>IFERROR(M1801/K1801,0)</f>
        <v>0.17516629711751655</v>
      </c>
      <c r="O1801" s="14">
        <f>IFERROR(L1801/J1801,0)</f>
        <v>2.0666666666666669</v>
      </c>
      <c r="P1801" s="14">
        <f>IFERROR(L1801/G1801,0)</f>
        <v>0.46500000000000169</v>
      </c>
      <c r="R1801" s="57">
        <v>0.67</v>
      </c>
    </row>
    <row r="1802" spans="1:19" x14ac:dyDescent="0.3">
      <c r="A1802" s="9" t="s">
        <v>3791</v>
      </c>
      <c r="B1802" s="9" t="s">
        <v>26</v>
      </c>
      <c r="C1802" s="9" t="s">
        <v>27</v>
      </c>
      <c r="D1802" s="52">
        <v>46210</v>
      </c>
      <c r="E1802" s="48">
        <v>0.84305555555555556</v>
      </c>
      <c r="F1802" s="48">
        <v>0.84722222222222221</v>
      </c>
      <c r="G1802" s="43">
        <f>(F1802-E1802)*1440</f>
        <v>5.9999999999999787</v>
      </c>
      <c r="H1802" s="9" t="s">
        <v>604</v>
      </c>
      <c r="I1802" s="9" t="s">
        <v>4261</v>
      </c>
      <c r="J1802" s="44">
        <v>1.4</v>
      </c>
      <c r="K1802" s="60">
        <v>5.01</v>
      </c>
      <c r="L1802" s="56">
        <v>3.76</v>
      </c>
      <c r="M1802" s="14">
        <f>K1802-L1802</f>
        <v>1.25</v>
      </c>
      <c r="N1802" s="15">
        <f>IFERROR(M1802/K1802,0)</f>
        <v>0.24950099800399203</v>
      </c>
      <c r="O1802" s="14">
        <f>IFERROR(L1802/J1802,0)</f>
        <v>2.6857142857142859</v>
      </c>
      <c r="P1802" s="14">
        <f>IFERROR(L1802/G1802,0)</f>
        <v>0.62666666666666881</v>
      </c>
      <c r="R1802" s="57">
        <v>1.1599999999999999</v>
      </c>
    </row>
    <row r="1803" spans="1:19" x14ac:dyDescent="0.3">
      <c r="A1803" s="9" t="s">
        <v>3792</v>
      </c>
      <c r="B1803" s="9" t="s">
        <v>26</v>
      </c>
      <c r="C1803" s="9" t="s">
        <v>26</v>
      </c>
      <c r="D1803" s="52">
        <v>46210</v>
      </c>
      <c r="E1803" s="48">
        <v>0.85069444444444453</v>
      </c>
      <c r="F1803" s="48">
        <v>0.8569444444444444</v>
      </c>
      <c r="G1803" s="43">
        <f>(F1803-E1803)*1440</f>
        <v>8.9999999999998082</v>
      </c>
      <c r="H1803" s="9" t="s">
        <v>796</v>
      </c>
      <c r="I1803" s="9" t="s">
        <v>3400</v>
      </c>
      <c r="J1803" s="44">
        <v>5</v>
      </c>
      <c r="K1803" s="60">
        <v>4.5599999999999996</v>
      </c>
      <c r="L1803" s="56">
        <v>3.88</v>
      </c>
      <c r="M1803" s="14">
        <f>K1803-L1803</f>
        <v>0.67999999999999972</v>
      </c>
      <c r="N1803" s="15">
        <f>IFERROR(M1803/K1803,0)</f>
        <v>0.14912280701754382</v>
      </c>
      <c r="O1803" s="14">
        <f>IFERROR(L1803/J1803,0)</f>
        <v>0.77600000000000002</v>
      </c>
      <c r="P1803" s="14">
        <f>IFERROR(L1803/G1803,0)</f>
        <v>0.43111111111112027</v>
      </c>
    </row>
    <row r="1804" spans="1:19" x14ac:dyDescent="0.3">
      <c r="A1804" s="9" t="s">
        <v>3793</v>
      </c>
      <c r="B1804" s="9" t="s">
        <v>26</v>
      </c>
      <c r="C1804" s="9" t="s">
        <v>26</v>
      </c>
      <c r="D1804" s="52">
        <v>46210</v>
      </c>
      <c r="E1804" s="48">
        <v>0.88611111111111107</v>
      </c>
      <c r="F1804" s="48">
        <v>0.90555555555555556</v>
      </c>
      <c r="G1804" s="43">
        <f>(F1804-E1804)*1440</f>
        <v>28.00000000000006</v>
      </c>
      <c r="H1804" s="9" t="s">
        <v>604</v>
      </c>
      <c r="I1804" s="9" t="s">
        <v>626</v>
      </c>
      <c r="J1804" s="44">
        <v>13.4</v>
      </c>
      <c r="K1804" s="60">
        <v>6.88</v>
      </c>
      <c r="L1804" s="56">
        <v>8.19</v>
      </c>
      <c r="M1804" s="14">
        <f>K1804-L1804</f>
        <v>-1.3099999999999996</v>
      </c>
      <c r="N1804" s="15">
        <f>IFERROR(M1804/K1804,0)</f>
        <v>-0.190406976744186</v>
      </c>
      <c r="O1804" s="14">
        <f>IFERROR(L1804/J1804,0)</f>
        <v>0.61119402985074622</v>
      </c>
      <c r="P1804" s="14">
        <f>IFERROR(L1804/G1804,0)</f>
        <v>0.29249999999999937</v>
      </c>
    </row>
    <row r="1805" spans="1:19" x14ac:dyDescent="0.3">
      <c r="A1805" s="9" t="s">
        <v>3794</v>
      </c>
      <c r="B1805" s="9" t="s">
        <v>26</v>
      </c>
      <c r="C1805" s="9" t="s">
        <v>26</v>
      </c>
      <c r="D1805" s="52">
        <v>46210</v>
      </c>
      <c r="E1805" s="48">
        <v>0.90694444444444444</v>
      </c>
      <c r="F1805" s="48">
        <v>0.91319444444444453</v>
      </c>
      <c r="G1805" s="43">
        <f>(F1805-E1805)*1440</f>
        <v>9.0000000000001279</v>
      </c>
      <c r="H1805" s="9" t="s">
        <v>2552</v>
      </c>
      <c r="I1805" s="9" t="s">
        <v>4262</v>
      </c>
      <c r="J1805" s="44">
        <v>2.9</v>
      </c>
      <c r="K1805" s="60">
        <v>3.87</v>
      </c>
      <c r="L1805" s="56">
        <v>3.3</v>
      </c>
      <c r="M1805" s="14">
        <f>K1805-L1805</f>
        <v>0.57000000000000028</v>
      </c>
      <c r="N1805" s="15">
        <f>IFERROR(M1805/K1805,0)</f>
        <v>0.14728682170542642</v>
      </c>
      <c r="O1805" s="14">
        <f>IFERROR(L1805/J1805,0)</f>
        <v>1.1379310344827587</v>
      </c>
      <c r="P1805" s="14">
        <f>IFERROR(L1805/G1805,0)</f>
        <v>0.36666666666666142</v>
      </c>
    </row>
    <row r="1806" spans="1:19" x14ac:dyDescent="0.3">
      <c r="A1806" s="9" t="s">
        <v>3795</v>
      </c>
      <c r="B1806" s="9" t="s">
        <v>18</v>
      </c>
      <c r="C1806" s="9" t="s">
        <v>184</v>
      </c>
      <c r="D1806" s="52">
        <v>46210</v>
      </c>
      <c r="E1806" s="48">
        <v>0.5541666666666667</v>
      </c>
      <c r="F1806" s="48">
        <v>0.57638888888888895</v>
      </c>
      <c r="G1806" s="43">
        <f>(F1806-E1806)*1440</f>
        <v>32.000000000000043</v>
      </c>
      <c r="H1806" s="9" t="s">
        <v>4263</v>
      </c>
      <c r="I1806" s="9" t="s">
        <v>4264</v>
      </c>
      <c r="J1806" s="44">
        <v>36.450000000000003</v>
      </c>
      <c r="K1806" s="60">
        <v>18.93</v>
      </c>
      <c r="L1806" s="56">
        <v>14.48</v>
      </c>
      <c r="M1806" s="14">
        <f>K1806-L1806</f>
        <v>4.4499999999999993</v>
      </c>
      <c r="N1806" s="15">
        <f>IFERROR(M1806/K1806,0)</f>
        <v>0.2350765979926043</v>
      </c>
      <c r="O1806" s="14">
        <f>IFERROR(L1806/J1806,0)</f>
        <v>0.39725651577503429</v>
      </c>
      <c r="P1806" s="14">
        <f>IFERROR(L1806/G1806,0)</f>
        <v>0.4524999999999994</v>
      </c>
    </row>
    <row r="1807" spans="1:19" x14ac:dyDescent="0.3">
      <c r="A1807" s="9" t="s">
        <v>3796</v>
      </c>
      <c r="B1807" s="9" t="s">
        <v>18</v>
      </c>
      <c r="C1807" s="9" t="s">
        <v>230</v>
      </c>
      <c r="D1807" s="52">
        <v>46210</v>
      </c>
      <c r="E1807" s="48">
        <v>0.57916666666666672</v>
      </c>
      <c r="F1807" s="48">
        <v>0.58263888888888882</v>
      </c>
      <c r="G1807" s="43">
        <f>(F1807-E1807)*1440</f>
        <v>4.9999999999998224</v>
      </c>
      <c r="H1807" s="9" t="s">
        <v>4264</v>
      </c>
      <c r="I1807" s="9" t="s">
        <v>4265</v>
      </c>
      <c r="J1807" s="44">
        <v>3.42</v>
      </c>
      <c r="K1807" s="60">
        <v>4.9000000000000004</v>
      </c>
      <c r="L1807" s="56">
        <v>4.41</v>
      </c>
      <c r="M1807" s="14">
        <f>K1807-L1807</f>
        <v>0.49000000000000021</v>
      </c>
      <c r="N1807" s="15">
        <f>IFERROR(M1807/K1807,0)</f>
        <v>0.10000000000000003</v>
      </c>
      <c r="O1807" s="14">
        <f>IFERROR(L1807/J1807,0)</f>
        <v>1.2894736842105263</v>
      </c>
      <c r="P1807" s="14">
        <f>IFERROR(L1807/G1807,0)</f>
        <v>0.88200000000003131</v>
      </c>
    </row>
    <row r="1808" spans="1:19" x14ac:dyDescent="0.3">
      <c r="A1808" s="9" t="s">
        <v>3797</v>
      </c>
      <c r="B1808" s="9" t="s">
        <v>18</v>
      </c>
      <c r="C1808" s="9" t="s">
        <v>196</v>
      </c>
      <c r="D1808" s="52">
        <v>46210</v>
      </c>
      <c r="E1808" s="48">
        <v>0.58611111111111114</v>
      </c>
      <c r="F1808" s="48">
        <v>0.59166666666666667</v>
      </c>
      <c r="G1808" s="43">
        <f>(F1808-E1808)*1440</f>
        <v>7.9999999999999716</v>
      </c>
      <c r="H1808" s="9" t="s">
        <v>4266</v>
      </c>
      <c r="I1808" s="9" t="s">
        <v>4267</v>
      </c>
      <c r="J1808" s="44">
        <v>6.45</v>
      </c>
      <c r="K1808" s="60">
        <v>9.98</v>
      </c>
      <c r="L1808" s="56">
        <v>7.09</v>
      </c>
      <c r="M1808" s="14">
        <f>K1808-L1808</f>
        <v>2.8900000000000006</v>
      </c>
      <c r="N1808" s="15">
        <f>IFERROR(M1808/K1808,0)</f>
        <v>0.28957915831663333</v>
      </c>
      <c r="O1808" s="14">
        <f>IFERROR(L1808/J1808,0)</f>
        <v>1.0992248062015504</v>
      </c>
      <c r="P1808" s="14">
        <f>IFERROR(L1808/G1808,0)</f>
        <v>0.88625000000000309</v>
      </c>
    </row>
    <row r="1809" spans="1:18" x14ac:dyDescent="0.3">
      <c r="A1809" s="9" t="s">
        <v>3798</v>
      </c>
      <c r="B1809" s="9" t="s">
        <v>18</v>
      </c>
      <c r="C1809" s="9" t="s">
        <v>184</v>
      </c>
      <c r="D1809" s="52">
        <v>46210</v>
      </c>
      <c r="E1809" s="48">
        <v>0.62569444444444444</v>
      </c>
      <c r="F1809" s="48">
        <v>0.63402777777777775</v>
      </c>
      <c r="G1809" s="43">
        <f>(F1809-E1809)*1440</f>
        <v>11.999999999999957</v>
      </c>
      <c r="H1809" s="9" t="s">
        <v>1749</v>
      </c>
      <c r="I1809" s="9" t="s">
        <v>2170</v>
      </c>
      <c r="J1809" s="44">
        <v>10.220000000000001</v>
      </c>
      <c r="K1809" s="60">
        <v>6.96</v>
      </c>
      <c r="L1809" s="56">
        <v>4.5199999999999996</v>
      </c>
      <c r="M1809" s="14">
        <f>K1809-L1809</f>
        <v>2.4400000000000004</v>
      </c>
      <c r="N1809" s="15">
        <f>IFERROR(M1809/K1809,0)</f>
        <v>0.35057471264367823</v>
      </c>
      <c r="O1809" s="14">
        <f>IFERROR(L1809/J1809,0)</f>
        <v>0.44227005870841479</v>
      </c>
      <c r="P1809" s="14">
        <f>IFERROR(L1809/G1809,0)</f>
        <v>0.37666666666666798</v>
      </c>
    </row>
    <row r="1810" spans="1:18" x14ac:dyDescent="0.3">
      <c r="A1810" s="9" t="s">
        <v>3799</v>
      </c>
      <c r="B1810" s="9" t="s">
        <v>18</v>
      </c>
      <c r="C1810" s="9" t="s">
        <v>184</v>
      </c>
      <c r="D1810" s="52">
        <v>46210</v>
      </c>
      <c r="E1810" s="48">
        <v>0.74236111111111114</v>
      </c>
      <c r="F1810" s="48">
        <v>0.75277777777777777</v>
      </c>
      <c r="G1810" s="43">
        <f>(F1810-E1810)*1440</f>
        <v>14.999999999999947</v>
      </c>
      <c r="H1810" s="9" t="s">
        <v>4268</v>
      </c>
      <c r="I1810" s="9" t="s">
        <v>1240</v>
      </c>
      <c r="J1810" s="44">
        <v>8.56</v>
      </c>
      <c r="K1810" s="60">
        <v>8.9600000000000009</v>
      </c>
      <c r="L1810" s="56">
        <v>6.96</v>
      </c>
      <c r="M1810" s="14">
        <f>K1810-L1810</f>
        <v>2.0000000000000009</v>
      </c>
      <c r="N1810" s="15">
        <f>IFERROR(M1810/K1810,0)</f>
        <v>0.22321428571428578</v>
      </c>
      <c r="O1810" s="14">
        <f>IFERROR(L1810/J1810,0)</f>
        <v>0.81308411214953269</v>
      </c>
      <c r="P1810" s="14">
        <f>IFERROR(L1810/G1810,0)</f>
        <v>0.46400000000000163</v>
      </c>
    </row>
    <row r="1811" spans="1:18" x14ac:dyDescent="0.3">
      <c r="A1811" s="9" t="s">
        <v>3800</v>
      </c>
      <c r="B1811" s="9" t="s">
        <v>18</v>
      </c>
      <c r="C1811" s="9" t="s">
        <v>184</v>
      </c>
      <c r="D1811" s="52">
        <v>46210</v>
      </c>
      <c r="E1811" s="48">
        <v>0.75486111111111109</v>
      </c>
      <c r="F1811" s="48">
        <v>0.7631944444444444</v>
      </c>
      <c r="G1811" s="43">
        <f>(F1811-E1811)*1440</f>
        <v>11.999999999999957</v>
      </c>
      <c r="H1811" s="9" t="s">
        <v>2147</v>
      </c>
      <c r="I1811" s="9" t="s">
        <v>214</v>
      </c>
      <c r="J1811" s="44">
        <v>4.25</v>
      </c>
      <c r="K1811" s="60">
        <v>9.94</v>
      </c>
      <c r="L1811" s="56">
        <v>6.7</v>
      </c>
      <c r="M1811" s="14">
        <f>K1811-L1811</f>
        <v>3.2399999999999993</v>
      </c>
      <c r="N1811" s="15">
        <f>IFERROR(M1811/K1811,0)</f>
        <v>0.3259557344064386</v>
      </c>
      <c r="O1811" s="14">
        <f>IFERROR(L1811/J1811,0)</f>
        <v>1.5764705882352941</v>
      </c>
      <c r="P1811" s="14">
        <f>IFERROR(L1811/G1811,0)</f>
        <v>0.55833333333333535</v>
      </c>
    </row>
    <row r="1812" spans="1:18" x14ac:dyDescent="0.3">
      <c r="A1812" s="9" t="s">
        <v>3801</v>
      </c>
      <c r="B1812" s="9" t="s">
        <v>18</v>
      </c>
      <c r="C1812" s="9" t="s">
        <v>196</v>
      </c>
      <c r="D1812" s="52">
        <v>46211</v>
      </c>
      <c r="E1812" s="48">
        <v>0.54097222222222219</v>
      </c>
      <c r="F1812" s="48">
        <v>0.5493055555555556</v>
      </c>
      <c r="G1812" s="43">
        <f>(F1812-E1812)*1440</f>
        <v>12.000000000000117</v>
      </c>
      <c r="H1812" s="9" t="s">
        <v>4187</v>
      </c>
      <c r="I1812" s="9" t="s">
        <v>2655</v>
      </c>
      <c r="J1812" s="44">
        <v>6.56</v>
      </c>
      <c r="K1812" s="60">
        <v>5</v>
      </c>
      <c r="L1812" s="56">
        <v>4.8499999999999996</v>
      </c>
      <c r="M1812" s="14">
        <f>K1812-L1812</f>
        <v>0.15000000000000036</v>
      </c>
      <c r="N1812" s="15">
        <f>IFERROR(M1812/K1812,0)</f>
        <v>3.0000000000000072E-2</v>
      </c>
      <c r="O1812" s="14">
        <f>IFERROR(L1812/J1812,0)</f>
        <v>0.73932926829268286</v>
      </c>
      <c r="P1812" s="14">
        <f>IFERROR(L1812/G1812,0)</f>
        <v>0.40416666666666268</v>
      </c>
    </row>
    <row r="1813" spans="1:18" x14ac:dyDescent="0.3">
      <c r="A1813" s="9" t="s">
        <v>3802</v>
      </c>
      <c r="B1813" s="9" t="s">
        <v>18</v>
      </c>
      <c r="C1813" s="9" t="s">
        <v>184</v>
      </c>
      <c r="D1813" s="52">
        <v>46211</v>
      </c>
      <c r="E1813" s="48">
        <v>0.64930555555555558</v>
      </c>
      <c r="F1813" s="48">
        <v>0.65833333333333333</v>
      </c>
      <c r="G1813" s="43">
        <f>(F1813-E1813)*1440</f>
        <v>12.999999999999954</v>
      </c>
      <c r="H1813" s="9" t="s">
        <v>2197</v>
      </c>
      <c r="I1813" s="9" t="s">
        <v>3305</v>
      </c>
      <c r="J1813" s="44">
        <v>8.6999999999999993</v>
      </c>
      <c r="K1813" s="60">
        <v>7.93</v>
      </c>
      <c r="L1813" s="56">
        <v>5.2</v>
      </c>
      <c r="M1813" s="14">
        <f>K1813-L1813</f>
        <v>2.7299999999999995</v>
      </c>
      <c r="N1813" s="15">
        <f>IFERROR(M1813/K1813,0)</f>
        <v>0.34426229508196715</v>
      </c>
      <c r="O1813" s="14">
        <f>IFERROR(L1813/J1813,0)</f>
        <v>0.5977011494252874</v>
      </c>
      <c r="P1813" s="14">
        <f>IFERROR(L1813/G1813,0)</f>
        <v>0.40000000000000141</v>
      </c>
    </row>
    <row r="1814" spans="1:18" x14ac:dyDescent="0.3">
      <c r="A1814" s="9" t="s">
        <v>3803</v>
      </c>
      <c r="B1814" s="9" t="s">
        <v>18</v>
      </c>
      <c r="C1814" s="9" t="s">
        <v>184</v>
      </c>
      <c r="D1814" s="52">
        <v>46211</v>
      </c>
      <c r="E1814" s="48">
        <v>0.77708333333333324</v>
      </c>
      <c r="F1814" s="48">
        <v>0.78611111111111109</v>
      </c>
      <c r="G1814" s="43">
        <f>(F1814-E1814)*1440</f>
        <v>13.000000000000114</v>
      </c>
      <c r="H1814" s="9" t="s">
        <v>1950</v>
      </c>
      <c r="I1814" s="9" t="s">
        <v>214</v>
      </c>
      <c r="J1814" s="44">
        <v>8.8699999999999992</v>
      </c>
      <c r="K1814" s="60">
        <v>10.59</v>
      </c>
      <c r="L1814" s="56">
        <v>6.9</v>
      </c>
      <c r="M1814" s="14">
        <f>K1814-L1814</f>
        <v>3.6899999999999995</v>
      </c>
      <c r="N1814" s="15">
        <f>IFERROR(M1814/K1814,0)</f>
        <v>0.348441926345609</v>
      </c>
      <c r="O1814" s="14">
        <f>IFERROR(L1814/J1814,0)</f>
        <v>0.77790304396843302</v>
      </c>
      <c r="P1814" s="14">
        <f>IFERROR(L1814/G1814,0)</f>
        <v>0.53076923076922611</v>
      </c>
    </row>
    <row r="1815" spans="1:18" x14ac:dyDescent="0.3">
      <c r="A1815" s="9" t="s">
        <v>3804</v>
      </c>
      <c r="B1815" s="9" t="s">
        <v>18</v>
      </c>
      <c r="C1815" s="9" t="s">
        <v>184</v>
      </c>
      <c r="D1815" s="52">
        <v>46211</v>
      </c>
      <c r="E1815" s="48">
        <v>0.84305555555555556</v>
      </c>
      <c r="F1815" s="48">
        <v>0.86041666666666661</v>
      </c>
      <c r="G1815" s="43">
        <f>(F1815-E1815)*1440</f>
        <v>24.999999999999911</v>
      </c>
      <c r="H1815" s="9" t="s">
        <v>729</v>
      </c>
      <c r="I1815" s="9" t="s">
        <v>1120</v>
      </c>
      <c r="J1815" s="44">
        <v>13.09</v>
      </c>
      <c r="K1815" s="60">
        <v>9.94</v>
      </c>
      <c r="L1815" s="56">
        <v>7.05</v>
      </c>
      <c r="M1815" s="14">
        <f>K1815-L1815</f>
        <v>2.8899999999999997</v>
      </c>
      <c r="N1815" s="15">
        <f>IFERROR(M1815/K1815,0)</f>
        <v>0.29074446680080479</v>
      </c>
      <c r="O1815" s="14">
        <f>IFERROR(L1815/J1815,0)</f>
        <v>0.53857906799083266</v>
      </c>
      <c r="P1815" s="14">
        <f>IFERROR(L1815/G1815,0)</f>
        <v>0.28200000000000097</v>
      </c>
    </row>
    <row r="1816" spans="1:18" x14ac:dyDescent="0.3">
      <c r="A1816" s="9" t="s">
        <v>3805</v>
      </c>
      <c r="B1816" s="9" t="s">
        <v>26</v>
      </c>
      <c r="C1816" s="9" t="s">
        <v>27</v>
      </c>
      <c r="D1816" s="52">
        <v>46211</v>
      </c>
      <c r="E1816" s="48">
        <v>0.55555555555555558</v>
      </c>
      <c r="F1816" s="48">
        <v>0.57291666666666663</v>
      </c>
      <c r="G1816" s="43">
        <f>(F1816-E1816)*1440</f>
        <v>24.999999999999911</v>
      </c>
      <c r="H1816" s="9" t="s">
        <v>4269</v>
      </c>
      <c r="I1816" s="9" t="s">
        <v>4270</v>
      </c>
      <c r="J1816" s="44">
        <v>21.2</v>
      </c>
      <c r="K1816" s="60">
        <v>15.37</v>
      </c>
      <c r="L1816" s="56">
        <v>11.53</v>
      </c>
      <c r="M1816" s="14">
        <f>K1816-L1816</f>
        <v>3.84</v>
      </c>
      <c r="N1816" s="15">
        <f>IFERROR(M1816/K1816,0)</f>
        <v>0.2498373454782043</v>
      </c>
      <c r="O1816" s="14">
        <f>IFERROR(L1816/J1816,0)</f>
        <v>0.5438679245283019</v>
      </c>
      <c r="P1816" s="14">
        <f>IFERROR(L1816/G1816,0)</f>
        <v>0.46120000000000161</v>
      </c>
    </row>
    <row r="1817" spans="1:18" x14ac:dyDescent="0.3">
      <c r="A1817" s="9" t="s">
        <v>3806</v>
      </c>
      <c r="B1817" s="9" t="s">
        <v>26</v>
      </c>
      <c r="C1817" s="9" t="s">
        <v>26</v>
      </c>
      <c r="D1817" s="52">
        <v>46211</v>
      </c>
      <c r="E1817" s="48">
        <v>0.5756944444444444</v>
      </c>
      <c r="F1817" s="48">
        <v>0.59027777777777779</v>
      </c>
      <c r="G1817" s="43">
        <f>(F1817-E1817)*1440</f>
        <v>21.000000000000085</v>
      </c>
      <c r="H1817" s="9" t="s">
        <v>4271</v>
      </c>
      <c r="I1817" s="9" t="s">
        <v>2925</v>
      </c>
      <c r="J1817" s="44">
        <v>15.1</v>
      </c>
      <c r="K1817" s="60">
        <v>7.54</v>
      </c>
      <c r="L1817" s="56">
        <v>8.6999999999999993</v>
      </c>
      <c r="M1817" s="14">
        <f>K1817-L1817</f>
        <v>-1.1599999999999993</v>
      </c>
      <c r="N1817" s="15">
        <f>IFERROR(M1817/K1817,0)</f>
        <v>-0.15384615384615374</v>
      </c>
      <c r="O1817" s="14">
        <f>IFERROR(L1817/J1817,0)</f>
        <v>0.57615894039735094</v>
      </c>
      <c r="P1817" s="14">
        <f>IFERROR(L1817/G1817,0)</f>
        <v>0.41428571428571259</v>
      </c>
    </row>
    <row r="1818" spans="1:18" x14ac:dyDescent="0.3">
      <c r="A1818" s="9" t="s">
        <v>3807</v>
      </c>
      <c r="B1818" s="9" t="s">
        <v>26</v>
      </c>
      <c r="C1818" s="9" t="s">
        <v>27</v>
      </c>
      <c r="D1818" s="52">
        <v>46211</v>
      </c>
      <c r="E1818" s="48">
        <v>0.59375</v>
      </c>
      <c r="F1818" s="48">
        <v>0.60069444444444442</v>
      </c>
      <c r="G1818" s="43">
        <f>(F1818-E1818)*1440</f>
        <v>9.9999999999999645</v>
      </c>
      <c r="H1818" s="9" t="s">
        <v>2152</v>
      </c>
      <c r="I1818" s="9" t="s">
        <v>2799</v>
      </c>
      <c r="J1818" s="44">
        <v>4.3</v>
      </c>
      <c r="K1818" s="60">
        <v>5.68</v>
      </c>
      <c r="L1818" s="56">
        <v>4.7300000000000004</v>
      </c>
      <c r="M1818" s="14">
        <f>K1818-L1818</f>
        <v>0.94999999999999929</v>
      </c>
      <c r="N1818" s="15">
        <f>IFERROR(M1818/K1818,0)</f>
        <v>0.16725352112676045</v>
      </c>
      <c r="O1818" s="14">
        <f>IFERROR(L1818/J1818,0)</f>
        <v>1.1000000000000001</v>
      </c>
      <c r="P1818" s="14">
        <f>IFERROR(L1818/G1818,0)</f>
        <v>0.4730000000000017</v>
      </c>
    </row>
    <row r="1819" spans="1:18" x14ac:dyDescent="0.3">
      <c r="A1819" s="9" t="s">
        <v>3808</v>
      </c>
      <c r="B1819" s="9" t="s">
        <v>26</v>
      </c>
      <c r="C1819" s="9" t="s">
        <v>26</v>
      </c>
      <c r="D1819" s="52">
        <v>46211</v>
      </c>
      <c r="E1819" s="48">
        <v>0.60416666666666663</v>
      </c>
      <c r="F1819" s="48">
        <v>0.60902777777777783</v>
      </c>
      <c r="G1819" s="43">
        <f>(F1819-E1819)*1440</f>
        <v>7.000000000000135</v>
      </c>
      <c r="H1819" s="9" t="s">
        <v>3330</v>
      </c>
      <c r="I1819" s="9" t="s">
        <v>4272</v>
      </c>
      <c r="J1819" s="44">
        <v>1.6</v>
      </c>
      <c r="K1819" s="60">
        <v>4.58</v>
      </c>
      <c r="L1819" s="56">
        <v>4.29</v>
      </c>
      <c r="M1819" s="14">
        <f>K1819-L1819</f>
        <v>0.29000000000000004</v>
      </c>
      <c r="N1819" s="15">
        <f>IFERROR(M1819/K1819,0)</f>
        <v>6.3318777292576428E-2</v>
      </c>
      <c r="O1819" s="14">
        <f>IFERROR(L1819/J1819,0)</f>
        <v>2.6812499999999999</v>
      </c>
      <c r="P1819" s="14">
        <f>IFERROR(L1819/G1819,0)</f>
        <v>0.612857142857131</v>
      </c>
    </row>
    <row r="1820" spans="1:18" x14ac:dyDescent="0.3">
      <c r="A1820" s="9" t="s">
        <v>3809</v>
      </c>
      <c r="B1820" s="9" t="s">
        <v>26</v>
      </c>
      <c r="C1820" s="9" t="s">
        <v>26</v>
      </c>
      <c r="D1820" s="52">
        <v>46211</v>
      </c>
      <c r="E1820" s="48">
        <v>0.6118055555555556</v>
      </c>
      <c r="F1820" s="48">
        <v>0.61875000000000002</v>
      </c>
      <c r="G1820" s="43">
        <f>(F1820-E1820)*1440</f>
        <v>9.9999999999999645</v>
      </c>
      <c r="H1820" s="9" t="s">
        <v>4273</v>
      </c>
      <c r="I1820" s="9" t="s">
        <v>4274</v>
      </c>
      <c r="J1820" s="44">
        <v>5.8</v>
      </c>
      <c r="K1820" s="60">
        <v>6.41</v>
      </c>
      <c r="L1820" s="56">
        <v>6.86</v>
      </c>
      <c r="M1820" s="14">
        <f>K1820-L1820</f>
        <v>-0.45000000000000018</v>
      </c>
      <c r="N1820" s="15">
        <f>IFERROR(M1820/K1820,0)</f>
        <v>-7.0202808112324516E-2</v>
      </c>
      <c r="O1820" s="14">
        <f>IFERROR(L1820/J1820,0)</f>
        <v>1.1827586206896552</v>
      </c>
      <c r="P1820" s="14">
        <f>IFERROR(L1820/G1820,0)</f>
        <v>0.6860000000000025</v>
      </c>
      <c r="R1820" s="57">
        <v>3.28</v>
      </c>
    </row>
    <row r="1821" spans="1:18" x14ac:dyDescent="0.3">
      <c r="A1821" s="9" t="s">
        <v>3810</v>
      </c>
      <c r="B1821" s="9" t="s">
        <v>26</v>
      </c>
      <c r="C1821" s="9" t="s">
        <v>26</v>
      </c>
      <c r="D1821" s="52">
        <v>46211</v>
      </c>
      <c r="E1821" s="48">
        <v>0.62291666666666667</v>
      </c>
      <c r="F1821" s="48">
        <v>0.62777777777777777</v>
      </c>
      <c r="G1821" s="43">
        <f>(F1821-E1821)*1440</f>
        <v>6.9999999999999751</v>
      </c>
      <c r="H1821" s="9" t="s">
        <v>2165</v>
      </c>
      <c r="I1821" s="9" t="s">
        <v>185</v>
      </c>
      <c r="J1821" s="44">
        <v>1.4</v>
      </c>
      <c r="K1821" s="60">
        <v>3.96</v>
      </c>
      <c r="L1821" s="56">
        <v>4.08</v>
      </c>
      <c r="M1821" s="14">
        <f>K1821-L1821</f>
        <v>-0.12000000000000011</v>
      </c>
      <c r="N1821" s="15">
        <f>IFERROR(M1821/K1821,0)</f>
        <v>-3.0303030303030332E-2</v>
      </c>
      <c r="O1821" s="14">
        <f>IFERROR(L1821/J1821,0)</f>
        <v>2.9142857142857146</v>
      </c>
      <c r="P1821" s="14">
        <f>IFERROR(L1821/G1821,0)</f>
        <v>0.58285714285714496</v>
      </c>
    </row>
    <row r="1822" spans="1:18" x14ac:dyDescent="0.3">
      <c r="A1822" s="9" t="s">
        <v>3811</v>
      </c>
      <c r="B1822" s="9" t="s">
        <v>26</v>
      </c>
      <c r="C1822" s="9" t="s">
        <v>26</v>
      </c>
      <c r="D1822" s="52">
        <v>46211</v>
      </c>
      <c r="E1822" s="48">
        <v>0.63194444444444442</v>
      </c>
      <c r="F1822" s="48">
        <v>0.64374999999999993</v>
      </c>
      <c r="G1822" s="43">
        <f>(F1822-E1822)*1440</f>
        <v>16.99999999999994</v>
      </c>
      <c r="H1822" s="9" t="s">
        <v>4275</v>
      </c>
      <c r="I1822" s="9" t="s">
        <v>3371</v>
      </c>
      <c r="J1822" s="44">
        <v>8.6999999999999993</v>
      </c>
      <c r="K1822" s="60">
        <v>9.43</v>
      </c>
      <c r="L1822" s="56">
        <v>7.07</v>
      </c>
      <c r="M1822" s="14">
        <f>K1822-L1822</f>
        <v>2.3599999999999994</v>
      </c>
      <c r="N1822" s="15">
        <f>IFERROR(M1822/K1822,0)</f>
        <v>0.2502651113467656</v>
      </c>
      <c r="O1822" s="14">
        <f>IFERROR(L1822/J1822,0)</f>
        <v>0.81264367816091965</v>
      </c>
      <c r="P1822" s="14">
        <f>IFERROR(L1822/G1822,0)</f>
        <v>0.41588235294117798</v>
      </c>
    </row>
    <row r="1823" spans="1:18" x14ac:dyDescent="0.3">
      <c r="A1823" s="9" t="s">
        <v>3812</v>
      </c>
      <c r="B1823" s="9" t="s">
        <v>26</v>
      </c>
      <c r="C1823" s="9" t="s">
        <v>26</v>
      </c>
      <c r="D1823" s="52">
        <v>46211</v>
      </c>
      <c r="E1823" s="48">
        <v>0.67847222222222225</v>
      </c>
      <c r="F1823" s="48">
        <v>0.69374999999999998</v>
      </c>
      <c r="G1823" s="43">
        <f>(F1823-E1823)*1440</f>
        <v>21.999999999999922</v>
      </c>
      <c r="H1823" s="9" t="s">
        <v>1332</v>
      </c>
      <c r="I1823" s="9" t="s">
        <v>4276</v>
      </c>
      <c r="J1823" s="44">
        <v>12.2</v>
      </c>
      <c r="K1823" s="60">
        <v>11.85</v>
      </c>
      <c r="L1823" s="56">
        <v>8.89</v>
      </c>
      <c r="M1823" s="14">
        <f>K1823-L1823</f>
        <v>2.9599999999999991</v>
      </c>
      <c r="N1823" s="15">
        <f>IFERROR(M1823/K1823,0)</f>
        <v>0.2497890295358649</v>
      </c>
      <c r="O1823" s="14">
        <f>IFERROR(L1823/J1823,0)</f>
        <v>0.72868852459016398</v>
      </c>
      <c r="P1823" s="14">
        <f>IFERROR(L1823/G1823,0)</f>
        <v>0.40409090909091055</v>
      </c>
    </row>
    <row r="1824" spans="1:18" x14ac:dyDescent="0.3">
      <c r="A1824" s="9" t="s">
        <v>3813</v>
      </c>
      <c r="B1824" s="9" t="s">
        <v>26</v>
      </c>
      <c r="C1824" s="9" t="s">
        <v>26</v>
      </c>
      <c r="D1824" s="52">
        <v>46211</v>
      </c>
      <c r="E1824" s="48">
        <v>0.69374999999999998</v>
      </c>
      <c r="F1824" s="48">
        <v>0.70347222222222217</v>
      </c>
      <c r="G1824" s="43">
        <f>(F1824-E1824)*1440</f>
        <v>13.99999999999995</v>
      </c>
      <c r="H1824" s="9" t="s">
        <v>4277</v>
      </c>
      <c r="I1824" s="9" t="s">
        <v>4278</v>
      </c>
      <c r="J1824" s="44">
        <v>9.8000000000000007</v>
      </c>
      <c r="K1824" s="60">
        <v>7.52</v>
      </c>
      <c r="L1824" s="56">
        <v>6.6</v>
      </c>
      <c r="M1824" s="14">
        <f>K1824-L1824</f>
        <v>0.91999999999999993</v>
      </c>
      <c r="N1824" s="15">
        <f>IFERROR(M1824/K1824,0)</f>
        <v>0.12234042553191489</v>
      </c>
      <c r="O1824" s="14">
        <f>IFERROR(L1824/J1824,0)</f>
        <v>0.6734693877551019</v>
      </c>
      <c r="P1824" s="14">
        <f>IFERROR(L1824/G1824,0)</f>
        <v>0.47142857142857308</v>
      </c>
    </row>
    <row r="1825" spans="1:18" x14ac:dyDescent="0.3">
      <c r="A1825" s="9" t="s">
        <v>3814</v>
      </c>
      <c r="B1825" s="9" t="s">
        <v>26</v>
      </c>
      <c r="C1825" s="9" t="s">
        <v>27</v>
      </c>
      <c r="D1825" s="52">
        <v>46211</v>
      </c>
      <c r="E1825" s="48">
        <v>0.70624999999999993</v>
      </c>
      <c r="F1825" s="48">
        <v>0.72152777777777777</v>
      </c>
      <c r="G1825" s="43">
        <f>(F1825-E1825)*1440</f>
        <v>22.000000000000082</v>
      </c>
      <c r="H1825" s="9" t="s">
        <v>2004</v>
      </c>
      <c r="I1825" s="9" t="s">
        <v>214</v>
      </c>
      <c r="J1825" s="44">
        <v>16.3</v>
      </c>
      <c r="K1825" s="60">
        <v>12.73</v>
      </c>
      <c r="L1825" s="56">
        <v>9.65</v>
      </c>
      <c r="M1825" s="14">
        <f>K1825-L1825</f>
        <v>3.08</v>
      </c>
      <c r="N1825" s="15">
        <f>IFERROR(M1825/K1825,0)</f>
        <v>0.24194815396700706</v>
      </c>
      <c r="O1825" s="14">
        <f>IFERROR(L1825/J1825,0)</f>
        <v>0.59202453987730064</v>
      </c>
      <c r="P1825" s="14">
        <f>IFERROR(L1825/G1825,0)</f>
        <v>0.43863636363636205</v>
      </c>
    </row>
    <row r="1826" spans="1:18" x14ac:dyDescent="0.3">
      <c r="A1826" s="9" t="s">
        <v>3815</v>
      </c>
      <c r="B1826" s="9" t="s">
        <v>26</v>
      </c>
      <c r="C1826" s="9" t="s">
        <v>26</v>
      </c>
      <c r="D1826" s="52">
        <v>46211</v>
      </c>
      <c r="E1826" s="48">
        <v>0.73333333333333339</v>
      </c>
      <c r="F1826" s="48">
        <v>0.73749999999999993</v>
      </c>
      <c r="G1826" s="43">
        <f>(F1826-E1826)*1440</f>
        <v>5.9999999999998188</v>
      </c>
      <c r="H1826" s="9" t="s">
        <v>1953</v>
      </c>
      <c r="I1826" s="9" t="s">
        <v>4279</v>
      </c>
      <c r="J1826" s="44">
        <v>2</v>
      </c>
      <c r="K1826" s="60">
        <v>4.93</v>
      </c>
      <c r="L1826" s="56">
        <v>4.62</v>
      </c>
      <c r="M1826" s="14">
        <f>K1826-L1826</f>
        <v>0.30999999999999961</v>
      </c>
      <c r="N1826" s="15">
        <f>IFERROR(M1826/K1826,0)</f>
        <v>6.2880324543610477E-2</v>
      </c>
      <c r="O1826" s="14">
        <f>IFERROR(L1826/J1826,0)</f>
        <v>2.31</v>
      </c>
      <c r="P1826" s="14">
        <f>IFERROR(L1826/G1826,0)</f>
        <v>0.77000000000002322</v>
      </c>
    </row>
    <row r="1827" spans="1:18" x14ac:dyDescent="0.3">
      <c r="A1827" s="9" t="s">
        <v>3816</v>
      </c>
      <c r="B1827" s="9" t="s">
        <v>26</v>
      </c>
      <c r="C1827" s="9" t="s">
        <v>26</v>
      </c>
      <c r="D1827" s="52">
        <v>46211</v>
      </c>
      <c r="E1827" s="48">
        <v>0.73958333333333337</v>
      </c>
      <c r="F1827" s="48">
        <v>0.74861111111111101</v>
      </c>
      <c r="G1827" s="43">
        <f>(F1827-E1827)*1440</f>
        <v>12.999999999999794</v>
      </c>
      <c r="H1827" s="9" t="s">
        <v>4122</v>
      </c>
      <c r="I1827" s="9" t="s">
        <v>4280</v>
      </c>
      <c r="J1827" s="44">
        <v>7.6</v>
      </c>
      <c r="K1827" s="60">
        <v>10.199999999999999</v>
      </c>
      <c r="L1827" s="56">
        <v>7.65</v>
      </c>
      <c r="M1827" s="14">
        <f>K1827-L1827</f>
        <v>2.5499999999999989</v>
      </c>
      <c r="N1827" s="15">
        <f>IFERROR(M1827/K1827,0)</f>
        <v>0.24999999999999992</v>
      </c>
      <c r="O1827" s="14">
        <f>IFERROR(L1827/J1827,0)</f>
        <v>1.0065789473684212</v>
      </c>
      <c r="P1827" s="14">
        <f>IFERROR(L1827/G1827,0)</f>
        <v>0.58846153846154781</v>
      </c>
    </row>
    <row r="1828" spans="1:18" x14ac:dyDescent="0.3">
      <c r="A1828" s="9" t="s">
        <v>3817</v>
      </c>
      <c r="B1828" s="9" t="s">
        <v>26</v>
      </c>
      <c r="C1828" s="9" t="s">
        <v>27</v>
      </c>
      <c r="D1828" s="52">
        <v>46211</v>
      </c>
      <c r="E1828" s="48">
        <v>0.80486111111111114</v>
      </c>
      <c r="F1828" s="48">
        <v>0.81944444444444453</v>
      </c>
      <c r="G1828" s="43">
        <f>(F1828-E1828)*1440</f>
        <v>21.000000000000085</v>
      </c>
      <c r="H1828" s="9" t="s">
        <v>214</v>
      </c>
      <c r="I1828" s="9" t="s">
        <v>2867</v>
      </c>
      <c r="J1828" s="44">
        <v>8.8000000000000007</v>
      </c>
      <c r="K1828" s="60">
        <v>9.65</v>
      </c>
      <c r="L1828" s="56">
        <v>7.24</v>
      </c>
      <c r="M1828" s="14">
        <f>K1828-L1828</f>
        <v>2.41</v>
      </c>
      <c r="N1828" s="15">
        <f>IFERROR(M1828/K1828,0)</f>
        <v>0.24974093264248706</v>
      </c>
      <c r="O1828" s="14">
        <f>IFERROR(L1828/J1828,0)</f>
        <v>0.82272727272727264</v>
      </c>
      <c r="P1828" s="14">
        <f>IFERROR(L1828/G1828,0)</f>
        <v>0.34476190476190338</v>
      </c>
      <c r="R1828" s="57">
        <v>2.2200000000000002</v>
      </c>
    </row>
    <row r="1829" spans="1:18" x14ac:dyDescent="0.3">
      <c r="A1829" s="9" t="s">
        <v>3818</v>
      </c>
      <c r="B1829" s="9" t="s">
        <v>26</v>
      </c>
      <c r="C1829" s="9" t="s">
        <v>26</v>
      </c>
      <c r="D1829" s="52">
        <v>46211</v>
      </c>
      <c r="E1829" s="48">
        <v>0.8208333333333333</v>
      </c>
      <c r="F1829" s="48">
        <v>0.82361111111111107</v>
      </c>
      <c r="G1829" s="43">
        <f>(F1829-E1829)*1440</f>
        <v>3.9999999999999858</v>
      </c>
      <c r="H1829" s="9" t="s">
        <v>4281</v>
      </c>
      <c r="I1829" s="9" t="s">
        <v>3343</v>
      </c>
      <c r="J1829" s="44">
        <v>1.7</v>
      </c>
      <c r="K1829" s="60">
        <v>4.4000000000000004</v>
      </c>
      <c r="L1829" s="56">
        <v>3.63</v>
      </c>
      <c r="M1829" s="14">
        <f>K1829-L1829</f>
        <v>0.77000000000000046</v>
      </c>
      <c r="N1829" s="15">
        <f>IFERROR(M1829/K1829,0)</f>
        <v>0.1750000000000001</v>
      </c>
      <c r="O1829" s="14">
        <f>IFERROR(L1829/J1829,0)</f>
        <v>2.1352941176470588</v>
      </c>
      <c r="P1829" s="14">
        <f>IFERROR(L1829/G1829,0)</f>
        <v>0.90750000000000319</v>
      </c>
    </row>
    <row r="1830" spans="1:18" x14ac:dyDescent="0.3">
      <c r="A1830" s="9" t="s">
        <v>3819</v>
      </c>
      <c r="B1830" s="9" t="s">
        <v>26</v>
      </c>
      <c r="C1830" s="9" t="s">
        <v>26</v>
      </c>
      <c r="D1830" s="52">
        <v>46213</v>
      </c>
      <c r="E1830" s="48">
        <v>0.53055555555555556</v>
      </c>
      <c r="F1830" s="48">
        <v>0.55208333333333337</v>
      </c>
      <c r="G1830" s="43">
        <f>(F1830-E1830)*1440</f>
        <v>31.00000000000005</v>
      </c>
      <c r="H1830" s="9" t="s">
        <v>4282</v>
      </c>
      <c r="I1830" s="9" t="s">
        <v>4283</v>
      </c>
      <c r="J1830" s="44">
        <v>25</v>
      </c>
      <c r="K1830" s="60">
        <v>12.73</v>
      </c>
      <c r="L1830" s="56">
        <v>11.93</v>
      </c>
      <c r="M1830" s="14">
        <f>K1830-L1830</f>
        <v>0.80000000000000071</v>
      </c>
      <c r="N1830" s="15">
        <f>IFERROR(M1830/K1830,0)</f>
        <v>6.2843676355066824E-2</v>
      </c>
      <c r="O1830" s="14">
        <f>IFERROR(L1830/J1830,0)</f>
        <v>0.47720000000000001</v>
      </c>
      <c r="P1830" s="14">
        <f>IFERROR(L1830/G1830,0)</f>
        <v>0.38483870967741873</v>
      </c>
    </row>
    <row r="1831" spans="1:18" x14ac:dyDescent="0.3">
      <c r="A1831" s="9" t="s">
        <v>3820</v>
      </c>
      <c r="B1831" s="9" t="s">
        <v>26</v>
      </c>
      <c r="C1831" s="9" t="s">
        <v>27</v>
      </c>
      <c r="D1831" s="52">
        <v>46213</v>
      </c>
      <c r="E1831" s="48">
        <v>0.58333333333333337</v>
      </c>
      <c r="F1831" s="48">
        <v>0.59097222222222223</v>
      </c>
      <c r="G1831" s="43">
        <f>(F1831-E1831)*1440</f>
        <v>10.999999999999961</v>
      </c>
      <c r="H1831" s="9" t="s">
        <v>4284</v>
      </c>
      <c r="I1831" s="9" t="s">
        <v>252</v>
      </c>
      <c r="J1831" s="44">
        <v>10.9</v>
      </c>
      <c r="K1831" s="60">
        <v>8.81</v>
      </c>
      <c r="L1831" s="56">
        <v>6.78</v>
      </c>
      <c r="M1831" s="14">
        <f>K1831-L1831</f>
        <v>2.0300000000000002</v>
      </c>
      <c r="N1831" s="15">
        <f>IFERROR(M1831/K1831,0)</f>
        <v>0.23041997729852443</v>
      </c>
      <c r="O1831" s="14">
        <f>IFERROR(L1831/J1831,0)</f>
        <v>0.62201834862385319</v>
      </c>
      <c r="P1831" s="14">
        <f>IFERROR(L1831/G1831,0)</f>
        <v>0.61636363636363856</v>
      </c>
    </row>
    <row r="1832" spans="1:18" x14ac:dyDescent="0.3">
      <c r="A1832" s="9" t="s">
        <v>3821</v>
      </c>
      <c r="B1832" s="9" t="s">
        <v>26</v>
      </c>
      <c r="C1832" s="9" t="s">
        <v>27</v>
      </c>
      <c r="D1832" s="52">
        <v>46213</v>
      </c>
      <c r="E1832" s="48">
        <v>0.59375</v>
      </c>
      <c r="F1832" s="48">
        <v>0.60138888888888886</v>
      </c>
      <c r="G1832" s="43">
        <f>(F1832-E1832)*1440</f>
        <v>10.999999999999961</v>
      </c>
      <c r="H1832" s="9" t="s">
        <v>2033</v>
      </c>
      <c r="I1832" s="9" t="s">
        <v>4285</v>
      </c>
      <c r="J1832" s="44">
        <v>6.5</v>
      </c>
      <c r="K1832" s="60">
        <v>6.17</v>
      </c>
      <c r="L1832" s="56">
        <v>4.63</v>
      </c>
      <c r="M1832" s="14">
        <f>K1832-L1832</f>
        <v>1.54</v>
      </c>
      <c r="N1832" s="15">
        <f>IFERROR(M1832/K1832,0)</f>
        <v>0.24959481361426256</v>
      </c>
      <c r="O1832" s="14">
        <f>IFERROR(L1832/J1832,0)</f>
        <v>0.71230769230769231</v>
      </c>
      <c r="P1832" s="14">
        <f>IFERROR(L1832/G1832,0)</f>
        <v>0.4209090909090924</v>
      </c>
    </row>
    <row r="1833" spans="1:18" x14ac:dyDescent="0.3">
      <c r="A1833" s="9" t="s">
        <v>3822</v>
      </c>
      <c r="B1833" s="9" t="s">
        <v>26</v>
      </c>
      <c r="C1833" s="9" t="s">
        <v>26</v>
      </c>
      <c r="D1833" s="52">
        <v>46213</v>
      </c>
      <c r="E1833" s="48">
        <v>0.60277777777777775</v>
      </c>
      <c r="F1833" s="48">
        <v>0.60833333333333328</v>
      </c>
      <c r="G1833" s="43">
        <f>(F1833-E1833)*1440</f>
        <v>7.9999999999999716</v>
      </c>
      <c r="H1833" s="9" t="s">
        <v>2859</v>
      </c>
      <c r="I1833" s="9" t="s">
        <v>2802</v>
      </c>
      <c r="J1833" s="44">
        <v>2.5</v>
      </c>
      <c r="K1833" s="60">
        <v>4.4000000000000004</v>
      </c>
      <c r="L1833" s="56">
        <v>3.3</v>
      </c>
      <c r="M1833" s="14">
        <f>K1833-L1833</f>
        <v>1.1000000000000005</v>
      </c>
      <c r="N1833" s="15">
        <f>IFERROR(M1833/K1833,0)</f>
        <v>0.25000000000000011</v>
      </c>
      <c r="O1833" s="14">
        <f>IFERROR(L1833/J1833,0)</f>
        <v>1.3199999999999998</v>
      </c>
      <c r="P1833" s="14">
        <f>IFERROR(L1833/G1833,0)</f>
        <v>0.41250000000000142</v>
      </c>
    </row>
    <row r="1834" spans="1:18" x14ac:dyDescent="0.3">
      <c r="A1834" s="9" t="s">
        <v>3823</v>
      </c>
      <c r="B1834" s="9" t="s">
        <v>26</v>
      </c>
      <c r="C1834" s="9" t="s">
        <v>27</v>
      </c>
      <c r="D1834" s="52">
        <v>46213</v>
      </c>
      <c r="E1834" s="48">
        <v>0.6479166666666667</v>
      </c>
      <c r="F1834" s="48">
        <v>0.65416666666666667</v>
      </c>
      <c r="G1834" s="43">
        <f>(F1834-E1834)*1440</f>
        <v>8.999999999999968</v>
      </c>
      <c r="H1834" s="9" t="s">
        <v>1301</v>
      </c>
      <c r="I1834" s="9" t="s">
        <v>2891</v>
      </c>
      <c r="J1834" s="44">
        <v>4</v>
      </c>
      <c r="K1834" s="60">
        <v>7.19</v>
      </c>
      <c r="L1834" s="56">
        <v>5.39</v>
      </c>
      <c r="M1834" s="14">
        <f>K1834-L1834</f>
        <v>1.8000000000000007</v>
      </c>
      <c r="N1834" s="15">
        <f>IFERROR(M1834/K1834,0)</f>
        <v>0.25034770514603627</v>
      </c>
      <c r="O1834" s="14">
        <f>IFERROR(L1834/J1834,0)</f>
        <v>1.3474999999999999</v>
      </c>
      <c r="P1834" s="14">
        <f>IFERROR(L1834/G1834,0)</f>
        <v>0.59888888888889102</v>
      </c>
      <c r="R1834" s="57">
        <v>2.38</v>
      </c>
    </row>
    <row r="1835" spans="1:18" x14ac:dyDescent="0.3">
      <c r="A1835" s="9" t="s">
        <v>3824</v>
      </c>
      <c r="B1835" s="9" t="s">
        <v>26</v>
      </c>
      <c r="C1835" s="9" t="s">
        <v>27</v>
      </c>
      <c r="D1835" s="52">
        <v>46213</v>
      </c>
      <c r="E1835" s="48">
        <v>0.68125000000000002</v>
      </c>
      <c r="F1835" s="48">
        <v>0.69374999999999998</v>
      </c>
      <c r="G1835" s="43">
        <f>(F1835-E1835)*1440</f>
        <v>17.999999999999936</v>
      </c>
      <c r="H1835" s="9" t="s">
        <v>4286</v>
      </c>
      <c r="I1835" s="9" t="s">
        <v>214</v>
      </c>
      <c r="J1835" s="44">
        <v>6.2</v>
      </c>
      <c r="K1835" s="60">
        <v>7.43</v>
      </c>
      <c r="L1835" s="56">
        <v>5.57</v>
      </c>
      <c r="M1835" s="14">
        <f>K1835-L1835</f>
        <v>1.8599999999999994</v>
      </c>
      <c r="N1835" s="15">
        <f>IFERROR(M1835/K1835,0)</f>
        <v>0.25033647375504703</v>
      </c>
      <c r="O1835" s="14">
        <f>IFERROR(L1835/J1835,0)</f>
        <v>0.89838709677419359</v>
      </c>
      <c r="P1835" s="14">
        <f>IFERROR(L1835/G1835,0)</f>
        <v>0.30944444444444558</v>
      </c>
    </row>
    <row r="1836" spans="1:18" x14ac:dyDescent="0.3">
      <c r="A1836" s="9" t="s">
        <v>3825</v>
      </c>
      <c r="B1836" s="9" t="s">
        <v>26</v>
      </c>
      <c r="C1836" s="9" t="s">
        <v>26</v>
      </c>
      <c r="D1836" s="52">
        <v>46213</v>
      </c>
      <c r="E1836" s="48">
        <v>0.69444444444444453</v>
      </c>
      <c r="F1836" s="48">
        <v>0.70624999999999993</v>
      </c>
      <c r="G1836" s="43">
        <f>(F1836-E1836)*1440</f>
        <v>16.99999999999978</v>
      </c>
      <c r="H1836" s="9" t="s">
        <v>214</v>
      </c>
      <c r="I1836" s="9" t="s">
        <v>554</v>
      </c>
      <c r="J1836" s="44">
        <v>7.5</v>
      </c>
      <c r="K1836" s="60">
        <v>7.99</v>
      </c>
      <c r="L1836" s="56">
        <v>5.99</v>
      </c>
      <c r="M1836" s="14">
        <f>K1836-L1836</f>
        <v>2</v>
      </c>
      <c r="N1836" s="15">
        <f>IFERROR(M1836/K1836,0)</f>
        <v>0.25031289111389238</v>
      </c>
      <c r="O1836" s="14">
        <f>IFERROR(L1836/J1836,0)</f>
        <v>0.79866666666666675</v>
      </c>
      <c r="P1836" s="14">
        <f>IFERROR(L1836/G1836,0)</f>
        <v>0.35235294117647514</v>
      </c>
    </row>
    <row r="1837" spans="1:18" x14ac:dyDescent="0.3">
      <c r="A1837" s="9" t="s">
        <v>3826</v>
      </c>
      <c r="B1837" s="9" t="s">
        <v>26</v>
      </c>
      <c r="C1837" s="9" t="s">
        <v>26</v>
      </c>
      <c r="D1837" s="52">
        <v>46213</v>
      </c>
      <c r="E1837" s="48">
        <v>0.70833333333333337</v>
      </c>
      <c r="F1837" s="48">
        <v>0.71944444444444444</v>
      </c>
      <c r="G1837" s="43">
        <f>(F1837-E1837)*1440</f>
        <v>15.999999999999943</v>
      </c>
      <c r="H1837" s="9" t="s">
        <v>2927</v>
      </c>
      <c r="I1837" s="9" t="s">
        <v>2848</v>
      </c>
      <c r="J1837" s="44">
        <v>3</v>
      </c>
      <c r="K1837" s="60">
        <v>4.22</v>
      </c>
      <c r="L1837" s="56">
        <v>3.96</v>
      </c>
      <c r="M1837" s="14">
        <f>K1837-L1837</f>
        <v>0.25999999999999979</v>
      </c>
      <c r="N1837" s="15">
        <f>IFERROR(M1837/K1837,0)</f>
        <v>6.1611374407582895E-2</v>
      </c>
      <c r="O1837" s="14">
        <f>IFERROR(L1837/J1837,0)</f>
        <v>1.32</v>
      </c>
      <c r="P1837" s="14">
        <f>IFERROR(L1837/G1837,0)</f>
        <v>0.24750000000000089</v>
      </c>
    </row>
    <row r="1838" spans="1:18" x14ac:dyDescent="0.3">
      <c r="A1838" s="9" t="s">
        <v>3827</v>
      </c>
      <c r="B1838" s="9" t="s">
        <v>26</v>
      </c>
      <c r="C1838" s="9" t="s">
        <v>26</v>
      </c>
      <c r="D1838" s="52">
        <v>46213</v>
      </c>
      <c r="E1838" s="48">
        <v>0.72361111111111109</v>
      </c>
      <c r="F1838" s="48">
        <v>0.73263888888888884</v>
      </c>
      <c r="G1838" s="43">
        <f>(F1838-E1838)*1440</f>
        <v>12.999999999999954</v>
      </c>
      <c r="H1838" s="9" t="s">
        <v>2786</v>
      </c>
      <c r="I1838" s="9" t="s">
        <v>1840</v>
      </c>
      <c r="J1838" s="44">
        <v>3.2</v>
      </c>
      <c r="K1838" s="60">
        <v>6.93</v>
      </c>
      <c r="L1838" s="56">
        <v>5.2</v>
      </c>
      <c r="M1838" s="14">
        <f>K1838-L1838</f>
        <v>1.7299999999999995</v>
      </c>
      <c r="N1838" s="15">
        <f>IFERROR(M1838/K1838,0)</f>
        <v>0.24963924963924958</v>
      </c>
      <c r="O1838" s="14">
        <f>IFERROR(L1838/J1838,0)</f>
        <v>1.625</v>
      </c>
      <c r="P1838" s="14">
        <f>IFERROR(L1838/G1838,0)</f>
        <v>0.40000000000000141</v>
      </c>
      <c r="R1838" s="57">
        <v>2.31</v>
      </c>
    </row>
    <row r="1839" spans="1:18" x14ac:dyDescent="0.3">
      <c r="A1839" s="9" t="s">
        <v>3828</v>
      </c>
      <c r="B1839" s="9" t="s">
        <v>26</v>
      </c>
      <c r="C1839" s="9" t="s">
        <v>26</v>
      </c>
      <c r="D1839" s="52">
        <v>46213</v>
      </c>
      <c r="E1839" s="48">
        <v>0.77361111111111114</v>
      </c>
      <c r="F1839" s="48">
        <v>0.7895833333333333</v>
      </c>
      <c r="G1839" s="43">
        <f>(F1839-E1839)*1440</f>
        <v>22.999999999999918</v>
      </c>
      <c r="H1839" s="9" t="s">
        <v>2466</v>
      </c>
      <c r="I1839" s="9" t="s">
        <v>4287</v>
      </c>
      <c r="J1839" s="44">
        <v>7.1</v>
      </c>
      <c r="K1839" s="60">
        <v>6.61</v>
      </c>
      <c r="L1839" s="56">
        <v>7.08</v>
      </c>
      <c r="M1839" s="14">
        <f>K1839-L1839</f>
        <v>-0.46999999999999975</v>
      </c>
      <c r="N1839" s="15">
        <f>IFERROR(M1839/K1839,0)</f>
        <v>-7.1104387291981805E-2</v>
      </c>
      <c r="O1839" s="14">
        <f>IFERROR(L1839/J1839,0)</f>
        <v>0.99718309859154941</v>
      </c>
      <c r="P1839" s="14">
        <f>IFERROR(L1839/G1839,0)</f>
        <v>0.30782608695652286</v>
      </c>
    </row>
    <row r="1840" spans="1:18" x14ac:dyDescent="0.3">
      <c r="A1840" s="9" t="s">
        <v>3829</v>
      </c>
      <c r="B1840" s="9" t="s">
        <v>26</v>
      </c>
      <c r="C1840" s="9" t="s">
        <v>27</v>
      </c>
      <c r="D1840" s="52">
        <v>46213</v>
      </c>
      <c r="E1840" s="48">
        <v>0.80138888888888893</v>
      </c>
      <c r="F1840" s="48">
        <v>0.81458333333333333</v>
      </c>
      <c r="G1840" s="43">
        <f>(F1840-E1840)*1440</f>
        <v>18.999999999999932</v>
      </c>
      <c r="H1840" s="9" t="s">
        <v>1761</v>
      </c>
      <c r="I1840" s="9" t="s">
        <v>4288</v>
      </c>
      <c r="J1840" s="44">
        <v>10.6</v>
      </c>
      <c r="K1840" s="60">
        <v>9.64</v>
      </c>
      <c r="L1840" s="56">
        <v>7.23</v>
      </c>
      <c r="M1840" s="14">
        <f>K1840-L1840</f>
        <v>2.41</v>
      </c>
      <c r="N1840" s="15">
        <f>IFERROR(M1840/K1840,0)</f>
        <v>0.25</v>
      </c>
      <c r="O1840" s="14">
        <f>IFERROR(L1840/J1840,0)</f>
        <v>0.68207547169811322</v>
      </c>
      <c r="P1840" s="14">
        <f>IFERROR(L1840/G1840,0)</f>
        <v>0.38052631578947504</v>
      </c>
    </row>
    <row r="1841" spans="1:18" x14ac:dyDescent="0.3">
      <c r="A1841" s="9" t="s">
        <v>3830</v>
      </c>
      <c r="B1841" s="9" t="s">
        <v>18</v>
      </c>
      <c r="C1841" s="9" t="s">
        <v>184</v>
      </c>
      <c r="D1841" s="52">
        <v>46213</v>
      </c>
      <c r="E1841" s="48">
        <v>0.55347222222222225</v>
      </c>
      <c r="F1841" s="48">
        <v>0.56805555555555554</v>
      </c>
      <c r="G1841" s="43">
        <f>(F1841-E1841)*1440</f>
        <v>20.999999999999925</v>
      </c>
      <c r="H1841" s="9" t="s">
        <v>4289</v>
      </c>
      <c r="I1841" s="9" t="s">
        <v>4290</v>
      </c>
      <c r="J1841" s="44">
        <v>20.76</v>
      </c>
      <c r="K1841" s="60">
        <v>16.940000000000001</v>
      </c>
      <c r="L1841" s="56">
        <v>10.56</v>
      </c>
      <c r="M1841" s="14">
        <f>K1841-L1841</f>
        <v>6.3800000000000008</v>
      </c>
      <c r="N1841" s="15">
        <f>IFERROR(M1841/K1841,0)</f>
        <v>0.37662337662337664</v>
      </c>
      <c r="O1841" s="14">
        <f>IFERROR(L1841/J1841,0)</f>
        <v>0.50867052023121384</v>
      </c>
      <c r="P1841" s="14">
        <f>IFERROR(L1841/G1841,0)</f>
        <v>0.50285714285714467</v>
      </c>
    </row>
    <row r="1842" spans="1:18" x14ac:dyDescent="0.3">
      <c r="A1842" s="9" t="s">
        <v>3831</v>
      </c>
      <c r="B1842" s="9" t="s">
        <v>18</v>
      </c>
      <c r="C1842" s="9" t="s">
        <v>184</v>
      </c>
      <c r="D1842" s="52">
        <v>46213</v>
      </c>
      <c r="E1842" s="48">
        <v>0.61249999999999993</v>
      </c>
      <c r="F1842" s="48">
        <v>0.61944444444444446</v>
      </c>
      <c r="G1842" s="43">
        <f>(F1842-E1842)*1440</f>
        <v>10.000000000000124</v>
      </c>
      <c r="H1842" s="9" t="s">
        <v>794</v>
      </c>
      <c r="I1842" s="9" t="s">
        <v>582</v>
      </c>
      <c r="J1842" s="44">
        <v>3.43</v>
      </c>
      <c r="K1842" s="60">
        <v>5.94</v>
      </c>
      <c r="L1842" s="56">
        <v>4.3899999999999997</v>
      </c>
      <c r="M1842" s="14">
        <f>K1842-L1842</f>
        <v>1.5500000000000007</v>
      </c>
      <c r="N1842" s="15">
        <f>IFERROR(M1842/K1842,0)</f>
        <v>0.26094276094276103</v>
      </c>
      <c r="O1842" s="14">
        <f>IFERROR(L1842/J1842,0)</f>
        <v>1.2798833819241981</v>
      </c>
      <c r="P1842" s="14">
        <f>IFERROR(L1842/G1842,0)</f>
        <v>0.43899999999999451</v>
      </c>
    </row>
    <row r="1843" spans="1:18" x14ac:dyDescent="0.3">
      <c r="A1843" s="9" t="s">
        <v>3832</v>
      </c>
      <c r="B1843" s="9" t="s">
        <v>18</v>
      </c>
      <c r="C1843" s="9" t="s">
        <v>184</v>
      </c>
      <c r="D1843" s="52">
        <v>46213</v>
      </c>
      <c r="E1843" s="48">
        <v>0.65416666666666667</v>
      </c>
      <c r="F1843" s="48">
        <v>0.65972222222222221</v>
      </c>
      <c r="G1843" s="43">
        <f>(F1843-E1843)*1440</f>
        <v>7.9999999999999716</v>
      </c>
      <c r="H1843" s="9" t="s">
        <v>1264</v>
      </c>
      <c r="I1843" s="9" t="s">
        <v>616</v>
      </c>
      <c r="J1843" s="44">
        <v>5.09</v>
      </c>
      <c r="K1843" s="60">
        <v>7.93</v>
      </c>
      <c r="L1843" s="56">
        <v>5.64</v>
      </c>
      <c r="M1843" s="14">
        <f>K1843-L1843</f>
        <v>2.29</v>
      </c>
      <c r="N1843" s="15">
        <f>IFERROR(M1843/K1843,0)</f>
        <v>0.28877679697351832</v>
      </c>
      <c r="O1843" s="14">
        <f>IFERROR(L1843/J1843,0)</f>
        <v>1.1080550098231827</v>
      </c>
      <c r="P1843" s="14">
        <f>IFERROR(L1843/G1843,0)</f>
        <v>0.70500000000000251</v>
      </c>
    </row>
    <row r="1844" spans="1:18" x14ac:dyDescent="0.3">
      <c r="A1844" s="9" t="s">
        <v>3833</v>
      </c>
      <c r="B1844" s="9" t="s">
        <v>18</v>
      </c>
      <c r="C1844" s="9" t="s">
        <v>196</v>
      </c>
      <c r="D1844" s="52">
        <v>46213</v>
      </c>
      <c r="E1844" s="48">
        <v>0.6645833333333333</v>
      </c>
      <c r="F1844" s="48">
        <v>0.67291666666666661</v>
      </c>
      <c r="G1844" s="43">
        <f>(F1844-E1844)*1440</f>
        <v>11.999999999999957</v>
      </c>
      <c r="H1844" s="9" t="s">
        <v>1361</v>
      </c>
      <c r="I1844" s="9" t="s">
        <v>1728</v>
      </c>
      <c r="J1844" s="44">
        <v>5.69</v>
      </c>
      <c r="K1844" s="60">
        <v>11.99</v>
      </c>
      <c r="L1844" s="56">
        <v>7.8</v>
      </c>
      <c r="M1844" s="14">
        <f>K1844-L1844</f>
        <v>4.1900000000000004</v>
      </c>
      <c r="N1844" s="15">
        <f>IFERROR(M1844/K1844,0)</f>
        <v>0.34945788156797336</v>
      </c>
      <c r="O1844" s="14">
        <f>IFERROR(L1844/J1844,0)</f>
        <v>1.3708260105448153</v>
      </c>
      <c r="P1844" s="14">
        <f>IFERROR(L1844/G1844,0)</f>
        <v>0.65000000000000224</v>
      </c>
    </row>
    <row r="1845" spans="1:18" x14ac:dyDescent="0.3">
      <c r="A1845" s="9" t="s">
        <v>3834</v>
      </c>
      <c r="B1845" s="9" t="s">
        <v>18</v>
      </c>
      <c r="C1845" s="9" t="s">
        <v>184</v>
      </c>
      <c r="D1845" s="52">
        <v>46213</v>
      </c>
      <c r="E1845" s="48">
        <v>0.81388888888888899</v>
      </c>
      <c r="F1845" s="48">
        <v>0.83680555555555547</v>
      </c>
      <c r="G1845" s="43">
        <f>(F1845-E1845)*1440</f>
        <v>32.999999999999723</v>
      </c>
      <c r="H1845" s="9" t="s">
        <v>4291</v>
      </c>
      <c r="I1845" s="9" t="s">
        <v>523</v>
      </c>
      <c r="J1845" s="44">
        <v>16.87</v>
      </c>
      <c r="K1845" s="60">
        <v>11.93</v>
      </c>
      <c r="L1845" s="56">
        <v>9.9700000000000006</v>
      </c>
      <c r="M1845" s="14">
        <f>K1845-L1845</f>
        <v>1.9599999999999991</v>
      </c>
      <c r="N1845" s="15">
        <f>IFERROR(M1845/K1845,0)</f>
        <v>0.16429170159262357</v>
      </c>
      <c r="O1845" s="14">
        <f>IFERROR(L1845/J1845,0)</f>
        <v>0.59098992294013042</v>
      </c>
      <c r="P1845" s="14">
        <f>IFERROR(L1845/G1845,0)</f>
        <v>0.30212121212121468</v>
      </c>
    </row>
    <row r="1846" spans="1:18" x14ac:dyDescent="0.3">
      <c r="A1846" s="9" t="s">
        <v>3835</v>
      </c>
      <c r="B1846" s="9" t="s">
        <v>18</v>
      </c>
      <c r="C1846" s="9" t="s">
        <v>184</v>
      </c>
      <c r="D1846" s="52">
        <v>46213</v>
      </c>
      <c r="E1846" s="48">
        <v>0.84513888888888899</v>
      </c>
      <c r="F1846" s="48">
        <v>0.85</v>
      </c>
      <c r="G1846" s="43">
        <f>(F1846-E1846)*1440</f>
        <v>6.9999999999998153</v>
      </c>
      <c r="H1846" s="9" t="s">
        <v>4292</v>
      </c>
      <c r="I1846" s="9" t="s">
        <v>1120</v>
      </c>
      <c r="J1846" s="44">
        <v>3.75</v>
      </c>
      <c r="K1846" s="60">
        <v>5.95</v>
      </c>
      <c r="L1846" s="56">
        <v>4.29</v>
      </c>
      <c r="M1846" s="14">
        <f>K1846-L1846</f>
        <v>1.6600000000000001</v>
      </c>
      <c r="N1846" s="15">
        <f>IFERROR(M1846/K1846,0)</f>
        <v>0.27899159663865547</v>
      </c>
      <c r="O1846" s="14">
        <f>IFERROR(L1846/J1846,0)</f>
        <v>1.1439999999999999</v>
      </c>
      <c r="P1846" s="14">
        <f>IFERROR(L1846/G1846,0)</f>
        <v>0.61285714285715909</v>
      </c>
    </row>
    <row r="1847" spans="1:18" x14ac:dyDescent="0.3">
      <c r="A1847" s="9" t="s">
        <v>3836</v>
      </c>
      <c r="B1847" s="9" t="s">
        <v>18</v>
      </c>
      <c r="C1847" s="9" t="s">
        <v>184</v>
      </c>
      <c r="D1847" s="52">
        <v>46213</v>
      </c>
      <c r="E1847" s="48">
        <v>0.8618055555555556</v>
      </c>
      <c r="F1847" s="48">
        <v>0.87152777777777779</v>
      </c>
      <c r="G1847" s="43">
        <f>(F1847-E1847)*1440</f>
        <v>13.99999999999995</v>
      </c>
      <c r="H1847" s="9" t="s">
        <v>584</v>
      </c>
      <c r="I1847" s="9" t="s">
        <v>4293</v>
      </c>
      <c r="J1847" s="44">
        <v>10.17</v>
      </c>
      <c r="K1847" s="60">
        <v>9.94</v>
      </c>
      <c r="L1847" s="56">
        <v>6.9</v>
      </c>
      <c r="M1847" s="14">
        <f>K1847-L1847</f>
        <v>3.0399999999999991</v>
      </c>
      <c r="N1847" s="15">
        <f>IFERROR(M1847/K1847,0)</f>
        <v>0.30583501006036212</v>
      </c>
      <c r="O1847" s="14">
        <f>IFERROR(L1847/J1847,0)</f>
        <v>0.67846607669616521</v>
      </c>
      <c r="P1847" s="14">
        <f>IFERROR(L1847/G1847,0)</f>
        <v>0.49285714285714466</v>
      </c>
    </row>
    <row r="1848" spans="1:18" x14ac:dyDescent="0.3">
      <c r="A1848" s="9" t="s">
        <v>3837</v>
      </c>
      <c r="B1848" s="9" t="s">
        <v>18</v>
      </c>
      <c r="C1848" s="9" t="s">
        <v>184</v>
      </c>
      <c r="D1848" s="52">
        <v>46213</v>
      </c>
      <c r="E1848" s="48">
        <v>0.87013888888888891</v>
      </c>
      <c r="F1848" s="48">
        <v>0.87361111111111101</v>
      </c>
      <c r="G1848" s="43">
        <f>(F1848-E1848)*1440</f>
        <v>4.9999999999998224</v>
      </c>
      <c r="H1848" s="9" t="s">
        <v>4294</v>
      </c>
      <c r="I1848" s="9" t="s">
        <v>4295</v>
      </c>
      <c r="J1848" s="44">
        <v>2.5499999999999998</v>
      </c>
      <c r="K1848" s="60">
        <v>3.95</v>
      </c>
      <c r="L1848" s="56">
        <v>3</v>
      </c>
      <c r="M1848" s="14">
        <f>K1848-L1848</f>
        <v>0.95000000000000018</v>
      </c>
      <c r="N1848" s="15">
        <f>IFERROR(M1848/K1848,0)</f>
        <v>0.24050632911392408</v>
      </c>
      <c r="O1848" s="14">
        <f>IFERROR(L1848/J1848,0)</f>
        <v>1.1764705882352942</v>
      </c>
      <c r="P1848" s="14">
        <f>IFERROR(L1848/G1848,0)</f>
        <v>0.60000000000002129</v>
      </c>
    </row>
    <row r="1849" spans="1:18" x14ac:dyDescent="0.3">
      <c r="A1849" s="9" t="s">
        <v>3838</v>
      </c>
      <c r="B1849" s="9" t="s">
        <v>18</v>
      </c>
      <c r="C1849" s="9" t="s">
        <v>184</v>
      </c>
      <c r="D1849" s="52">
        <v>46214</v>
      </c>
      <c r="E1849" s="48">
        <v>0.57500000000000007</v>
      </c>
      <c r="F1849" s="48">
        <v>0.58402777777777781</v>
      </c>
      <c r="G1849" s="43">
        <f>(F1849-E1849)*1440</f>
        <v>12.999999999999954</v>
      </c>
      <c r="H1849" s="9" t="s">
        <v>584</v>
      </c>
      <c r="I1849" s="9" t="s">
        <v>4296</v>
      </c>
      <c r="J1849" s="44">
        <v>7.61</v>
      </c>
      <c r="K1849" s="60">
        <v>7.37</v>
      </c>
      <c r="L1849" s="56">
        <v>6.84</v>
      </c>
      <c r="M1849" s="14">
        <f>K1849-L1849</f>
        <v>0.53000000000000025</v>
      </c>
      <c r="N1849" s="15">
        <f>IFERROR(M1849/K1849,0)</f>
        <v>7.1913161465400305E-2</v>
      </c>
      <c r="O1849" s="14">
        <f>IFERROR(L1849/J1849,0)</f>
        <v>0.8988173455978975</v>
      </c>
      <c r="P1849" s="14">
        <f>IFERROR(L1849/G1849,0)</f>
        <v>0.52615384615384797</v>
      </c>
      <c r="R1849" s="57">
        <v>2</v>
      </c>
    </row>
    <row r="1850" spans="1:18" x14ac:dyDescent="0.3">
      <c r="A1850" s="9" t="s">
        <v>3839</v>
      </c>
      <c r="B1850" s="9" t="s">
        <v>18</v>
      </c>
      <c r="C1850" s="9" t="s">
        <v>196</v>
      </c>
      <c r="D1850" s="52">
        <v>46214</v>
      </c>
      <c r="E1850" s="48">
        <v>0.6694444444444444</v>
      </c>
      <c r="F1850" s="48">
        <v>0.67847222222222225</v>
      </c>
      <c r="G1850" s="43">
        <f>(F1850-E1850)*1440</f>
        <v>13.000000000000114</v>
      </c>
      <c r="H1850" s="9" t="s">
        <v>1117</v>
      </c>
      <c r="I1850" s="9" t="s">
        <v>1120</v>
      </c>
      <c r="J1850" s="44">
        <v>5.35</v>
      </c>
      <c r="K1850" s="60">
        <v>8.99</v>
      </c>
      <c r="L1850" s="56">
        <v>6.24</v>
      </c>
      <c r="M1850" s="14">
        <f>K1850-L1850</f>
        <v>2.75</v>
      </c>
      <c r="N1850" s="15">
        <f>IFERROR(M1850/K1850,0)</f>
        <v>0.30589543937708563</v>
      </c>
      <c r="O1850" s="14">
        <f>IFERROR(L1850/J1850,0)</f>
        <v>1.1663551401869161</v>
      </c>
      <c r="P1850" s="14">
        <f>IFERROR(L1850/G1850,0)</f>
        <v>0.47999999999999582</v>
      </c>
      <c r="R1850" s="57">
        <v>5</v>
      </c>
    </row>
    <row r="1851" spans="1:18" x14ac:dyDescent="0.3">
      <c r="A1851" s="9" t="s">
        <v>3840</v>
      </c>
      <c r="B1851" s="9" t="s">
        <v>18</v>
      </c>
      <c r="C1851" s="9" t="s">
        <v>230</v>
      </c>
      <c r="D1851" s="52">
        <v>46214</v>
      </c>
      <c r="E1851" s="48">
        <v>0.70763888888888893</v>
      </c>
      <c r="F1851" s="48">
        <v>0.71944444444444444</v>
      </c>
      <c r="G1851" s="43">
        <f>(F1851-E1851)*1440</f>
        <v>16.99999999999994</v>
      </c>
      <c r="H1851" s="9" t="s">
        <v>4297</v>
      </c>
      <c r="I1851" s="9" t="s">
        <v>4298</v>
      </c>
      <c r="J1851" s="44">
        <v>13.09</v>
      </c>
      <c r="K1851" s="60">
        <v>8.91</v>
      </c>
      <c r="L1851" s="56">
        <v>7.8</v>
      </c>
      <c r="M1851" s="14">
        <f>K1851-L1851</f>
        <v>1.1100000000000003</v>
      </c>
      <c r="N1851" s="15">
        <f>IFERROR(M1851/K1851,0)</f>
        <v>0.12457912457912461</v>
      </c>
      <c r="O1851" s="14">
        <f>IFERROR(L1851/J1851,0)</f>
        <v>0.59587471352177235</v>
      </c>
      <c r="P1851" s="14">
        <f>IFERROR(L1851/G1851,0)</f>
        <v>0.45882352941176635</v>
      </c>
    </row>
    <row r="1852" spans="1:18" x14ac:dyDescent="0.3">
      <c r="A1852" s="9" t="s">
        <v>3841</v>
      </c>
      <c r="B1852" s="9" t="s">
        <v>18</v>
      </c>
      <c r="C1852" s="9" t="s">
        <v>184</v>
      </c>
      <c r="D1852" s="52">
        <v>46214</v>
      </c>
      <c r="E1852" s="48">
        <v>0.73749999999999993</v>
      </c>
      <c r="F1852" s="48">
        <v>0.74930555555555556</v>
      </c>
      <c r="G1852" s="43">
        <f>(F1852-E1852)*1440</f>
        <v>17.000000000000099</v>
      </c>
      <c r="H1852" s="9" t="s">
        <v>4299</v>
      </c>
      <c r="I1852" s="9" t="s">
        <v>4300</v>
      </c>
      <c r="J1852" s="44">
        <v>11.7</v>
      </c>
      <c r="K1852" s="60">
        <v>10.95</v>
      </c>
      <c r="L1852" s="56">
        <v>8.33</v>
      </c>
      <c r="M1852" s="14">
        <f>K1852-L1852</f>
        <v>2.6199999999999992</v>
      </c>
      <c r="N1852" s="15">
        <f>IFERROR(M1852/K1852,0)</f>
        <v>0.23926940639269401</v>
      </c>
      <c r="O1852" s="14">
        <f>IFERROR(L1852/J1852,0)</f>
        <v>0.71196581196581199</v>
      </c>
      <c r="P1852" s="14">
        <f>IFERROR(L1852/G1852,0)</f>
        <v>0.48999999999999716</v>
      </c>
    </row>
    <row r="1853" spans="1:18" x14ac:dyDescent="0.3">
      <c r="A1853" s="9" t="s">
        <v>3842</v>
      </c>
      <c r="B1853" s="9" t="s">
        <v>18</v>
      </c>
      <c r="C1853" s="9" t="s">
        <v>184</v>
      </c>
      <c r="D1853" s="52">
        <v>46214</v>
      </c>
      <c r="E1853" s="48">
        <v>0.75347222222222221</v>
      </c>
      <c r="F1853" s="48">
        <v>0.76180555555555562</v>
      </c>
      <c r="G1853" s="43">
        <f>(F1853-E1853)*1440</f>
        <v>12.000000000000117</v>
      </c>
      <c r="H1853" s="9" t="s">
        <v>582</v>
      </c>
      <c r="I1853" s="9" t="s">
        <v>243</v>
      </c>
      <c r="J1853" s="44">
        <v>7.02</v>
      </c>
      <c r="K1853" s="60">
        <v>10.95</v>
      </c>
      <c r="L1853" s="56">
        <v>7.12</v>
      </c>
      <c r="M1853" s="14">
        <f>K1853-L1853</f>
        <v>3.8299999999999992</v>
      </c>
      <c r="N1853" s="15">
        <f>IFERROR(M1853/K1853,0)</f>
        <v>0.34977168949771686</v>
      </c>
      <c r="O1853" s="14">
        <f>IFERROR(L1853/J1853,0)</f>
        <v>1.0142450142450143</v>
      </c>
      <c r="P1853" s="14">
        <f>IFERROR(L1853/G1853,0)</f>
        <v>0.5933333333333275</v>
      </c>
    </row>
    <row r="1854" spans="1:18" x14ac:dyDescent="0.3">
      <c r="A1854" s="9" t="s">
        <v>3843</v>
      </c>
      <c r="B1854" s="9" t="s">
        <v>18</v>
      </c>
      <c r="C1854" s="9" t="s">
        <v>196</v>
      </c>
      <c r="D1854" s="52">
        <v>46214</v>
      </c>
      <c r="E1854" s="48">
        <v>0.8222222222222223</v>
      </c>
      <c r="F1854" s="48">
        <v>0.82847222222222217</v>
      </c>
      <c r="G1854" s="43">
        <f>(F1854-E1854)*1440</f>
        <v>8.9999999999998082</v>
      </c>
      <c r="H1854" s="9" t="s">
        <v>243</v>
      </c>
      <c r="I1854" s="9" t="s">
        <v>1114</v>
      </c>
      <c r="J1854" s="44">
        <v>5.73</v>
      </c>
      <c r="K1854" s="60">
        <v>5.98</v>
      </c>
      <c r="L1854" s="56">
        <v>4.8099999999999996</v>
      </c>
      <c r="M1854" s="14">
        <f>K1854-L1854</f>
        <v>1.1700000000000008</v>
      </c>
      <c r="N1854" s="15">
        <f>IFERROR(M1854/K1854,0)</f>
        <v>0.1956521739130436</v>
      </c>
      <c r="O1854" s="14">
        <f>IFERROR(L1854/J1854,0)</f>
        <v>0.83944153577661418</v>
      </c>
      <c r="P1854" s="14">
        <f>IFERROR(L1854/G1854,0)</f>
        <v>0.53444444444445582</v>
      </c>
    </row>
    <row r="1855" spans="1:18" x14ac:dyDescent="0.3">
      <c r="A1855" s="9" t="s">
        <v>3844</v>
      </c>
      <c r="B1855" s="9" t="s">
        <v>18</v>
      </c>
      <c r="C1855" s="9" t="s">
        <v>184</v>
      </c>
      <c r="D1855" s="52">
        <v>46214</v>
      </c>
      <c r="E1855" s="48">
        <v>0.82777777777777783</v>
      </c>
      <c r="F1855" s="48">
        <v>0.83750000000000002</v>
      </c>
      <c r="G1855" s="43">
        <f>(F1855-E1855)*1440</f>
        <v>13.99999999999995</v>
      </c>
      <c r="H1855" s="9" t="s">
        <v>1114</v>
      </c>
      <c r="I1855" s="9" t="s">
        <v>2470</v>
      </c>
      <c r="J1855" s="44">
        <v>8.33</v>
      </c>
      <c r="K1855" s="60">
        <v>6.95</v>
      </c>
      <c r="L1855" s="56">
        <v>4.66</v>
      </c>
      <c r="M1855" s="14">
        <f>K1855-L1855</f>
        <v>2.29</v>
      </c>
      <c r="N1855" s="15">
        <f>IFERROR(M1855/K1855,0)</f>
        <v>0.32949640287769782</v>
      </c>
      <c r="O1855" s="14">
        <f>IFERROR(L1855/J1855,0)</f>
        <v>0.55942376950780315</v>
      </c>
      <c r="P1855" s="14">
        <f>IFERROR(L1855/G1855,0)</f>
        <v>0.33285714285714407</v>
      </c>
    </row>
    <row r="1856" spans="1:18" x14ac:dyDescent="0.3">
      <c r="A1856" s="9" t="s">
        <v>3845</v>
      </c>
      <c r="B1856" s="9" t="s">
        <v>26</v>
      </c>
      <c r="C1856" s="9" t="s">
        <v>26</v>
      </c>
      <c r="D1856" s="52">
        <v>46214</v>
      </c>
      <c r="E1856" s="48">
        <v>0.55902777777777779</v>
      </c>
      <c r="F1856" s="48">
        <v>0.5708333333333333</v>
      </c>
      <c r="G1856" s="43">
        <f>(F1856-E1856)*1440</f>
        <v>16.99999999999994</v>
      </c>
      <c r="H1856" s="9" t="s">
        <v>3471</v>
      </c>
      <c r="I1856" s="9" t="s">
        <v>4301</v>
      </c>
      <c r="J1856" s="44">
        <v>18.5</v>
      </c>
      <c r="K1856" s="60">
        <v>7.49</v>
      </c>
      <c r="L1856" s="56">
        <v>9.3699999999999992</v>
      </c>
      <c r="M1856" s="14">
        <f>K1856-L1856</f>
        <v>-1.879999999999999</v>
      </c>
      <c r="N1856" s="15">
        <f>IFERROR(M1856/K1856,0)</f>
        <v>-0.25100133511348449</v>
      </c>
      <c r="O1856" s="14">
        <f>IFERROR(L1856/J1856,0)</f>
        <v>0.50648648648648642</v>
      </c>
      <c r="P1856" s="14">
        <f>IFERROR(L1856/G1856,0)</f>
        <v>0.55117647058823716</v>
      </c>
    </row>
    <row r="1857" spans="1:19" x14ac:dyDescent="0.3">
      <c r="A1857" s="9" t="s">
        <v>3846</v>
      </c>
      <c r="B1857" s="9" t="s">
        <v>26</v>
      </c>
      <c r="C1857" s="9" t="s">
        <v>27</v>
      </c>
      <c r="D1857" s="52">
        <v>46214</v>
      </c>
      <c r="E1857" s="48">
        <v>0.59583333333333333</v>
      </c>
      <c r="F1857" s="48">
        <v>0.60069444444444442</v>
      </c>
      <c r="G1857" s="43">
        <f>(F1857-E1857)*1440</f>
        <v>6.9999999999999751</v>
      </c>
      <c r="H1857" s="9" t="s">
        <v>3305</v>
      </c>
      <c r="I1857" s="9" t="s">
        <v>1117</v>
      </c>
      <c r="J1857" s="44">
        <v>3.2</v>
      </c>
      <c r="K1857" s="60">
        <v>4.62</v>
      </c>
      <c r="L1857" s="56">
        <v>3.81</v>
      </c>
      <c r="M1857" s="14">
        <f>K1857-L1857</f>
        <v>0.81</v>
      </c>
      <c r="N1857" s="15">
        <f>IFERROR(M1857/K1857,0)</f>
        <v>0.17532467532467533</v>
      </c>
      <c r="O1857" s="14">
        <f>IFERROR(L1857/J1857,0)</f>
        <v>1.190625</v>
      </c>
      <c r="P1857" s="14">
        <f>IFERROR(L1857/G1857,0)</f>
        <v>0.54428571428571626</v>
      </c>
    </row>
    <row r="1858" spans="1:19" x14ac:dyDescent="0.3">
      <c r="A1858" s="9" t="s">
        <v>3847</v>
      </c>
      <c r="B1858" s="9" t="s">
        <v>26</v>
      </c>
      <c r="C1858" s="9" t="s">
        <v>27</v>
      </c>
      <c r="D1858" s="52">
        <v>46214</v>
      </c>
      <c r="E1858" s="48">
        <v>0.6069444444444444</v>
      </c>
      <c r="F1858" s="48">
        <v>0.61527777777777781</v>
      </c>
      <c r="G1858" s="43">
        <f>(F1858-E1858)*1440</f>
        <v>12.000000000000117</v>
      </c>
      <c r="H1858" s="9" t="s">
        <v>1367</v>
      </c>
      <c r="I1858" s="9" t="s">
        <v>1120</v>
      </c>
      <c r="J1858" s="44">
        <v>6.5</v>
      </c>
      <c r="K1858" s="60">
        <v>5.7</v>
      </c>
      <c r="L1858" s="56">
        <v>4.2699999999999996</v>
      </c>
      <c r="M1858" s="14">
        <f>K1858-L1858</f>
        <v>1.4300000000000006</v>
      </c>
      <c r="N1858" s="15">
        <f>IFERROR(M1858/K1858,0)</f>
        <v>0.25087719298245625</v>
      </c>
      <c r="O1858" s="14">
        <f>IFERROR(L1858/J1858,0)</f>
        <v>0.65692307692307683</v>
      </c>
      <c r="P1858" s="14">
        <f>IFERROR(L1858/G1858,0)</f>
        <v>0.35583333333332984</v>
      </c>
    </row>
    <row r="1859" spans="1:19" x14ac:dyDescent="0.3">
      <c r="A1859" s="9" t="s">
        <v>3848</v>
      </c>
      <c r="B1859" s="9" t="s">
        <v>26</v>
      </c>
      <c r="C1859" s="9" t="s">
        <v>26</v>
      </c>
      <c r="D1859" s="52">
        <v>46214</v>
      </c>
      <c r="E1859" s="48">
        <v>0.61875000000000002</v>
      </c>
      <c r="F1859" s="48">
        <v>0.62638888888888888</v>
      </c>
      <c r="G1859" s="43">
        <f>(F1859-E1859)*1440</f>
        <v>10.999999999999961</v>
      </c>
      <c r="H1859" s="9" t="s">
        <v>2815</v>
      </c>
      <c r="I1859" s="9" t="s">
        <v>3997</v>
      </c>
      <c r="J1859" s="44">
        <v>4.8</v>
      </c>
      <c r="K1859" s="60">
        <v>4.53</v>
      </c>
      <c r="L1859" s="56">
        <v>4.3600000000000003</v>
      </c>
      <c r="M1859" s="14">
        <f>K1859-L1859</f>
        <v>0.16999999999999993</v>
      </c>
      <c r="N1859" s="15">
        <f>IFERROR(M1859/K1859,0)</f>
        <v>3.7527593818984531E-2</v>
      </c>
      <c r="O1859" s="14">
        <f>IFERROR(L1859/J1859,0)</f>
        <v>0.90833333333333344</v>
      </c>
      <c r="P1859" s="14">
        <f>IFERROR(L1859/G1859,0)</f>
        <v>0.39636363636363781</v>
      </c>
      <c r="R1859" s="57">
        <v>1.34</v>
      </c>
    </row>
    <row r="1860" spans="1:19" x14ac:dyDescent="0.3">
      <c r="A1860" s="9" t="s">
        <v>3849</v>
      </c>
      <c r="B1860" s="9" t="s">
        <v>26</v>
      </c>
      <c r="C1860" s="9" t="s">
        <v>27</v>
      </c>
      <c r="D1860" s="52">
        <v>46214</v>
      </c>
      <c r="E1860" s="48">
        <v>0.62916666666666665</v>
      </c>
      <c r="F1860" s="48">
        <v>0.63750000000000007</v>
      </c>
      <c r="G1860" s="43">
        <f>(F1860-E1860)*1440</f>
        <v>12.000000000000117</v>
      </c>
      <c r="H1860" s="9" t="s">
        <v>843</v>
      </c>
      <c r="I1860" s="9" t="s">
        <v>611</v>
      </c>
      <c r="J1860" s="44">
        <v>7.5</v>
      </c>
      <c r="K1860" s="60">
        <v>6.17</v>
      </c>
      <c r="L1860" s="56">
        <v>4.63</v>
      </c>
      <c r="M1860" s="14">
        <f>K1860-L1860</f>
        <v>1.54</v>
      </c>
      <c r="N1860" s="15">
        <f>IFERROR(M1860/K1860,0)</f>
        <v>0.24959481361426256</v>
      </c>
      <c r="O1860" s="14">
        <f>IFERROR(L1860/J1860,0)</f>
        <v>0.61733333333333329</v>
      </c>
      <c r="P1860" s="14">
        <f>IFERROR(L1860/G1860,0)</f>
        <v>0.38583333333332953</v>
      </c>
    </row>
    <row r="1861" spans="1:19" x14ac:dyDescent="0.3">
      <c r="A1861" s="9" t="s">
        <v>3850</v>
      </c>
      <c r="B1861" s="9" t="s">
        <v>26</v>
      </c>
      <c r="C1861" s="9" t="s">
        <v>26</v>
      </c>
      <c r="D1861" s="52">
        <v>46214</v>
      </c>
      <c r="E1861" s="48">
        <v>0.65972222222222221</v>
      </c>
      <c r="F1861" s="48">
        <v>0.67152777777777783</v>
      </c>
      <c r="G1861" s="43">
        <f>(F1861-E1861)*1440</f>
        <v>17.000000000000099</v>
      </c>
      <c r="H1861" s="9" t="s">
        <v>4302</v>
      </c>
      <c r="I1861" s="9" t="s">
        <v>1367</v>
      </c>
      <c r="J1861" s="44">
        <v>9.8000000000000007</v>
      </c>
      <c r="K1861" s="60">
        <v>5.2</v>
      </c>
      <c r="L1861" s="56">
        <v>6.5</v>
      </c>
      <c r="M1861" s="14">
        <f>K1861-L1861</f>
        <v>-1.2999999999999998</v>
      </c>
      <c r="N1861" s="15">
        <f>IFERROR(M1861/K1861,0)</f>
        <v>-0.24999999999999994</v>
      </c>
      <c r="O1861" s="14">
        <f>IFERROR(L1861/J1861,0)</f>
        <v>0.66326530612244894</v>
      </c>
      <c r="P1861" s="14">
        <f>IFERROR(L1861/G1861,0)</f>
        <v>0.38235294117646834</v>
      </c>
    </row>
    <row r="1862" spans="1:19" x14ac:dyDescent="0.3">
      <c r="A1862" s="9" t="s">
        <v>3851</v>
      </c>
      <c r="B1862" s="9" t="s">
        <v>26</v>
      </c>
      <c r="C1862" s="9" t="s">
        <v>27</v>
      </c>
      <c r="D1862" s="52">
        <v>46214</v>
      </c>
      <c r="E1862" s="48">
        <v>0.68958333333333333</v>
      </c>
      <c r="F1862" s="48">
        <v>0.70138888888888884</v>
      </c>
      <c r="G1862" s="43">
        <f>(F1862-E1862)*1440</f>
        <v>16.99999999999994</v>
      </c>
      <c r="H1862" s="9" t="s">
        <v>4303</v>
      </c>
      <c r="I1862" s="9" t="s">
        <v>2892</v>
      </c>
      <c r="J1862" s="44">
        <v>7.1</v>
      </c>
      <c r="K1862" s="60">
        <v>6.36</v>
      </c>
      <c r="L1862" s="56">
        <v>5.25</v>
      </c>
      <c r="M1862" s="14">
        <f>K1862-L1862</f>
        <v>1.1100000000000003</v>
      </c>
      <c r="N1862" s="15">
        <f>IFERROR(M1862/K1862,0)</f>
        <v>0.1745283018867925</v>
      </c>
      <c r="O1862" s="14">
        <f>IFERROR(L1862/J1862,0)</f>
        <v>0.73943661971830987</v>
      </c>
      <c r="P1862" s="14">
        <f>IFERROR(L1862/G1862,0)</f>
        <v>0.30882352941176583</v>
      </c>
    </row>
    <row r="1863" spans="1:19" x14ac:dyDescent="0.3">
      <c r="A1863" s="9" t="s">
        <v>3852</v>
      </c>
      <c r="B1863" s="9" t="s">
        <v>26</v>
      </c>
      <c r="C1863" s="9" t="s">
        <v>26</v>
      </c>
      <c r="D1863" s="52">
        <v>46214</v>
      </c>
      <c r="E1863" s="48">
        <v>0.70347222222222217</v>
      </c>
      <c r="F1863" s="48">
        <v>0.71388888888888891</v>
      </c>
      <c r="G1863" s="43">
        <f>(F1863-E1863)*1440</f>
        <v>15.000000000000107</v>
      </c>
      <c r="H1863" s="9" t="s">
        <v>1953</v>
      </c>
      <c r="I1863" s="9" t="s">
        <v>4304</v>
      </c>
      <c r="J1863" s="44">
        <v>6</v>
      </c>
      <c r="K1863" s="60">
        <v>9.6</v>
      </c>
      <c r="L1863" s="56">
        <v>8.27</v>
      </c>
      <c r="M1863" s="14">
        <f>K1863-L1863</f>
        <v>1.33</v>
      </c>
      <c r="N1863" s="15">
        <f>IFERROR(M1863/K1863,0)</f>
        <v>0.13854166666666667</v>
      </c>
      <c r="O1863" s="14">
        <f>IFERROR(L1863/J1863,0)</f>
        <v>1.3783333333333332</v>
      </c>
      <c r="P1863" s="14">
        <f>IFERROR(L1863/G1863,0)</f>
        <v>0.55133333333332935</v>
      </c>
      <c r="S1863" s="61">
        <v>2</v>
      </c>
    </row>
    <row r="1864" spans="1:19" x14ac:dyDescent="0.3">
      <c r="A1864" s="9" t="s">
        <v>3853</v>
      </c>
      <c r="B1864" s="9" t="s">
        <v>26</v>
      </c>
      <c r="C1864" s="9" t="s">
        <v>27</v>
      </c>
      <c r="D1864" s="52">
        <v>46214</v>
      </c>
      <c r="E1864" s="48">
        <v>0.84861111111111109</v>
      </c>
      <c r="F1864" s="48">
        <v>0.85625000000000007</v>
      </c>
      <c r="G1864" s="43">
        <f>(F1864-E1864)*1440</f>
        <v>11.000000000000121</v>
      </c>
      <c r="H1864" s="9" t="s">
        <v>4305</v>
      </c>
      <c r="I1864" s="9" t="s">
        <v>604</v>
      </c>
      <c r="J1864" s="44">
        <v>6.2</v>
      </c>
      <c r="K1864" s="60">
        <v>6.41</v>
      </c>
      <c r="L1864" s="56">
        <v>4.8099999999999996</v>
      </c>
      <c r="M1864" s="14">
        <f>K1864-L1864</f>
        <v>1.6000000000000005</v>
      </c>
      <c r="N1864" s="15">
        <f>IFERROR(M1864/K1864,0)</f>
        <v>0.24960998439937604</v>
      </c>
      <c r="O1864" s="14">
        <f>IFERROR(L1864/J1864,0)</f>
        <v>0.77580645161290318</v>
      </c>
      <c r="P1864" s="14">
        <f>IFERROR(L1864/G1864,0)</f>
        <v>0.43727272727272243</v>
      </c>
    </row>
    <row r="1865" spans="1:19" x14ac:dyDescent="0.3">
      <c r="A1865" s="9" t="s">
        <v>3854</v>
      </c>
      <c r="B1865" s="9" t="s">
        <v>26</v>
      </c>
      <c r="C1865" s="9" t="s">
        <v>26</v>
      </c>
      <c r="D1865" s="52">
        <v>46214</v>
      </c>
      <c r="E1865" s="48">
        <v>0.85902777777777783</v>
      </c>
      <c r="F1865" s="48">
        <v>0.86875000000000002</v>
      </c>
      <c r="G1865" s="43">
        <f>(F1865-E1865)*1440</f>
        <v>13.99999999999995</v>
      </c>
      <c r="H1865" s="9" t="s">
        <v>604</v>
      </c>
      <c r="I1865" s="9" t="s">
        <v>4306</v>
      </c>
      <c r="J1865" s="44">
        <v>8.1999999999999993</v>
      </c>
      <c r="K1865" s="60">
        <v>6.9</v>
      </c>
      <c r="L1865" s="56">
        <v>5.69</v>
      </c>
      <c r="M1865" s="14">
        <f>K1865-L1865</f>
        <v>1.21</v>
      </c>
      <c r="N1865" s="15">
        <f>IFERROR(M1865/K1865,0)</f>
        <v>0.17536231884057971</v>
      </c>
      <c r="O1865" s="14">
        <f>IFERROR(L1865/J1865,0)</f>
        <v>0.69390243902439031</v>
      </c>
      <c r="P1865" s="14">
        <f>IFERROR(L1865/G1865,0)</f>
        <v>0.40642857142857292</v>
      </c>
    </row>
    <row r="1866" spans="1:19" x14ac:dyDescent="0.3">
      <c r="A1866" s="9" t="s">
        <v>3855</v>
      </c>
      <c r="B1866" s="9" t="s">
        <v>26</v>
      </c>
      <c r="C1866" s="9" t="s">
        <v>27</v>
      </c>
      <c r="D1866" s="52">
        <v>46215</v>
      </c>
      <c r="E1866" s="48">
        <v>0.55694444444444446</v>
      </c>
      <c r="F1866" s="48">
        <v>0.57222222222222219</v>
      </c>
      <c r="G1866" s="43">
        <f>(F1866-E1866)*1440</f>
        <v>21.999999999999922</v>
      </c>
      <c r="H1866" s="9" t="s">
        <v>1338</v>
      </c>
      <c r="I1866" s="9" t="s">
        <v>4307</v>
      </c>
      <c r="J1866" s="44">
        <v>20.100000000000001</v>
      </c>
      <c r="K1866" s="60">
        <v>13.91</v>
      </c>
      <c r="L1866" s="56">
        <v>10.43</v>
      </c>
      <c r="M1866" s="14">
        <f>K1866-L1866</f>
        <v>3.4800000000000004</v>
      </c>
      <c r="N1866" s="15">
        <f>IFERROR(M1866/K1866,0)</f>
        <v>0.25017972681524087</v>
      </c>
      <c r="O1866" s="14">
        <f>IFERROR(L1866/J1866,0)</f>
        <v>0.51890547263681586</v>
      </c>
      <c r="P1866" s="14">
        <f>IFERROR(L1866/G1866,0)</f>
        <v>0.47409090909091078</v>
      </c>
    </row>
    <row r="1867" spans="1:19" x14ac:dyDescent="0.3">
      <c r="A1867" s="9" t="s">
        <v>3856</v>
      </c>
      <c r="B1867" s="9" t="s">
        <v>26</v>
      </c>
      <c r="C1867" s="9" t="s">
        <v>27</v>
      </c>
      <c r="D1867" s="52">
        <v>46215</v>
      </c>
      <c r="E1867" s="48">
        <v>0.58124999999999993</v>
      </c>
      <c r="F1867" s="48">
        <v>0.58888888888888891</v>
      </c>
      <c r="G1867" s="43">
        <f>(F1867-E1867)*1440</f>
        <v>11.000000000000121</v>
      </c>
      <c r="H1867" s="9" t="s">
        <v>4308</v>
      </c>
      <c r="I1867" s="9" t="s">
        <v>576</v>
      </c>
      <c r="J1867" s="44">
        <v>8.1999999999999993</v>
      </c>
      <c r="K1867" s="60">
        <v>6.6</v>
      </c>
      <c r="L1867" s="56">
        <v>4.95</v>
      </c>
      <c r="M1867" s="14">
        <f>K1867-L1867</f>
        <v>1.6499999999999995</v>
      </c>
      <c r="N1867" s="15">
        <f>IFERROR(M1867/K1867,0)</f>
        <v>0.24999999999999994</v>
      </c>
      <c r="O1867" s="14">
        <f>IFERROR(L1867/J1867,0)</f>
        <v>0.60365853658536595</v>
      </c>
      <c r="P1867" s="14">
        <f>IFERROR(L1867/G1867,0)</f>
        <v>0.44999999999999507</v>
      </c>
    </row>
    <row r="1868" spans="1:19" x14ac:dyDescent="0.3">
      <c r="A1868" s="9" t="s">
        <v>3857</v>
      </c>
      <c r="B1868" s="9" t="s">
        <v>26</v>
      </c>
      <c r="C1868" s="9" t="s">
        <v>26</v>
      </c>
      <c r="D1868" s="52">
        <v>46215</v>
      </c>
      <c r="E1868" s="48">
        <v>0.66875000000000007</v>
      </c>
      <c r="F1868" s="48">
        <v>0.67569444444444438</v>
      </c>
      <c r="G1868" s="43">
        <f>(F1868-E1868)*1440</f>
        <v>9.9999999999998046</v>
      </c>
      <c r="H1868" s="9" t="s">
        <v>4309</v>
      </c>
      <c r="I1868" s="9" t="s">
        <v>4310</v>
      </c>
      <c r="J1868" s="44">
        <v>4.3</v>
      </c>
      <c r="K1868" s="60">
        <v>3.93</v>
      </c>
      <c r="L1868" s="56">
        <v>4.05</v>
      </c>
      <c r="M1868" s="14">
        <f>K1868-L1868</f>
        <v>-0.11999999999999966</v>
      </c>
      <c r="N1868" s="15">
        <f>IFERROR(M1868/K1868,0)</f>
        <v>-3.053435114503808E-2</v>
      </c>
      <c r="O1868" s="14">
        <f>IFERROR(L1868/J1868,0)</f>
        <v>0.94186046511627908</v>
      </c>
      <c r="P1868" s="14">
        <f>IFERROR(L1868/G1868,0)</f>
        <v>0.40500000000000791</v>
      </c>
    </row>
    <row r="1869" spans="1:19" x14ac:dyDescent="0.3">
      <c r="A1869" s="9" t="s">
        <v>3858</v>
      </c>
      <c r="B1869" s="9" t="s">
        <v>26</v>
      </c>
      <c r="C1869" s="9" t="s">
        <v>26</v>
      </c>
      <c r="D1869" s="52">
        <v>46215</v>
      </c>
      <c r="E1869" s="48">
        <v>0.69236111111111109</v>
      </c>
      <c r="F1869" s="48">
        <v>0.70000000000000007</v>
      </c>
      <c r="G1869" s="43">
        <f>(F1869-E1869)*1440</f>
        <v>11.000000000000121</v>
      </c>
      <c r="H1869" s="9" t="s">
        <v>4311</v>
      </c>
      <c r="I1869" s="9" t="s">
        <v>4278</v>
      </c>
      <c r="J1869" s="44">
        <v>5.2</v>
      </c>
      <c r="K1869" s="60">
        <v>5.19</v>
      </c>
      <c r="L1869" s="56">
        <v>4.28</v>
      </c>
      <c r="M1869" s="14">
        <f>K1869-L1869</f>
        <v>0.91000000000000014</v>
      </c>
      <c r="N1869" s="15">
        <f>IFERROR(M1869/K1869,0)</f>
        <v>0.17533718689788055</v>
      </c>
      <c r="O1869" s="14">
        <f>IFERROR(L1869/J1869,0)</f>
        <v>0.82307692307692315</v>
      </c>
      <c r="P1869" s="14">
        <f>IFERROR(L1869/G1869,0)</f>
        <v>0.38909090909090482</v>
      </c>
    </row>
    <row r="1870" spans="1:19" x14ac:dyDescent="0.3">
      <c r="A1870" s="9" t="s">
        <v>3859</v>
      </c>
      <c r="B1870" s="9" t="s">
        <v>26</v>
      </c>
      <c r="C1870" s="9" t="s">
        <v>26</v>
      </c>
      <c r="D1870" s="52">
        <v>46215</v>
      </c>
      <c r="E1870" s="48">
        <v>0.7104166666666667</v>
      </c>
      <c r="F1870" s="48">
        <v>0.72291666666666676</v>
      </c>
      <c r="G1870" s="43">
        <f>(F1870-E1870)*1440</f>
        <v>18.000000000000096</v>
      </c>
      <c r="H1870" s="9" t="s">
        <v>4312</v>
      </c>
      <c r="I1870" s="9" t="s">
        <v>208</v>
      </c>
      <c r="J1870" s="44">
        <v>9.1</v>
      </c>
      <c r="K1870" s="60">
        <v>5.75</v>
      </c>
      <c r="L1870" s="56">
        <v>6.16</v>
      </c>
      <c r="M1870" s="14">
        <f>K1870-L1870</f>
        <v>-0.41000000000000014</v>
      </c>
      <c r="N1870" s="15">
        <f>IFERROR(M1870/K1870,0)</f>
        <v>-7.1304347826086981E-2</v>
      </c>
      <c r="O1870" s="14">
        <f>IFERROR(L1870/J1870,0)</f>
        <v>0.67692307692307696</v>
      </c>
      <c r="P1870" s="14">
        <f>IFERROR(L1870/G1870,0)</f>
        <v>0.34222222222222043</v>
      </c>
    </row>
    <row r="1871" spans="1:19" x14ac:dyDescent="0.3">
      <c r="A1871" s="9" t="s">
        <v>3860</v>
      </c>
      <c r="B1871" s="9" t="s">
        <v>26</v>
      </c>
      <c r="C1871" s="9" t="s">
        <v>26</v>
      </c>
      <c r="D1871" s="52">
        <v>46215</v>
      </c>
      <c r="E1871" s="48">
        <v>0.76666666666666661</v>
      </c>
      <c r="F1871" s="48">
        <v>0.77500000000000002</v>
      </c>
      <c r="G1871" s="43">
        <f>(F1871-E1871)*1440</f>
        <v>12.000000000000117</v>
      </c>
      <c r="H1871" s="9" t="s">
        <v>1756</v>
      </c>
      <c r="I1871" s="9" t="s">
        <v>4313</v>
      </c>
      <c r="J1871" s="44">
        <v>4.5</v>
      </c>
      <c r="K1871" s="60">
        <v>5.97</v>
      </c>
      <c r="L1871" s="56">
        <v>4.4800000000000004</v>
      </c>
      <c r="M1871" s="14">
        <f>K1871-L1871</f>
        <v>1.4899999999999993</v>
      </c>
      <c r="N1871" s="15">
        <f>IFERROR(M1871/K1871,0)</f>
        <v>0.24958123953098818</v>
      </c>
      <c r="O1871" s="14">
        <f>IFERROR(L1871/J1871,0)</f>
        <v>0.99555555555555564</v>
      </c>
      <c r="P1871" s="14">
        <f>IFERROR(L1871/G1871,0)</f>
        <v>0.37333333333332974</v>
      </c>
    </row>
    <row r="1872" spans="1:19" x14ac:dyDescent="0.3">
      <c r="A1872" s="9" t="s">
        <v>3861</v>
      </c>
      <c r="B1872" s="9" t="s">
        <v>26</v>
      </c>
      <c r="C1872" s="9" t="s">
        <v>27</v>
      </c>
      <c r="D1872" s="52">
        <v>46215</v>
      </c>
      <c r="E1872" s="48">
        <v>0.80902777777777779</v>
      </c>
      <c r="F1872" s="48">
        <v>0.82291666666666663</v>
      </c>
      <c r="G1872" s="43">
        <f>(F1872-E1872)*1440</f>
        <v>19.999999999999929</v>
      </c>
      <c r="H1872" s="9" t="s">
        <v>214</v>
      </c>
      <c r="I1872" s="9" t="s">
        <v>4258</v>
      </c>
      <c r="J1872" s="44">
        <v>9.9</v>
      </c>
      <c r="K1872" s="60">
        <v>8.14</v>
      </c>
      <c r="L1872" s="56">
        <v>6.1</v>
      </c>
      <c r="M1872" s="14">
        <f>K1872-L1872</f>
        <v>2.0400000000000009</v>
      </c>
      <c r="N1872" s="15">
        <f>IFERROR(M1872/K1872,0)</f>
        <v>0.25061425061425069</v>
      </c>
      <c r="O1872" s="14">
        <f>IFERROR(L1872/J1872,0)</f>
        <v>0.61616161616161613</v>
      </c>
      <c r="P1872" s="14">
        <f>IFERROR(L1872/G1872,0)</f>
        <v>0.30500000000000105</v>
      </c>
    </row>
    <row r="1873" spans="1:19" x14ac:dyDescent="0.3">
      <c r="A1873" s="9" t="s">
        <v>3862</v>
      </c>
      <c r="B1873" s="9" t="s">
        <v>26</v>
      </c>
      <c r="C1873" s="9" t="s">
        <v>27</v>
      </c>
      <c r="D1873" s="52">
        <v>46215</v>
      </c>
      <c r="E1873" s="48">
        <v>0.83958333333333324</v>
      </c>
      <c r="F1873" s="48">
        <v>0.85069444444444453</v>
      </c>
      <c r="G1873" s="43">
        <f>(F1873-E1873)*1440</f>
        <v>16.000000000000263</v>
      </c>
      <c r="H1873" s="9" t="s">
        <v>531</v>
      </c>
      <c r="I1873" s="9" t="s">
        <v>4314</v>
      </c>
      <c r="J1873" s="44">
        <v>10.9</v>
      </c>
      <c r="K1873" s="60">
        <v>7.5</v>
      </c>
      <c r="L1873" s="56">
        <v>5.62</v>
      </c>
      <c r="M1873" s="14">
        <f>K1873-L1873</f>
        <v>1.88</v>
      </c>
      <c r="N1873" s="15">
        <f>IFERROR(M1873/K1873,0)</f>
        <v>0.25066666666666665</v>
      </c>
      <c r="O1873" s="14">
        <f>IFERROR(L1873/J1873,0)</f>
        <v>0.51559633027522933</v>
      </c>
      <c r="P1873" s="14">
        <f>IFERROR(L1873/G1873,0)</f>
        <v>0.35124999999999423</v>
      </c>
    </row>
    <row r="1874" spans="1:19" x14ac:dyDescent="0.3">
      <c r="A1874" s="9" t="s">
        <v>3863</v>
      </c>
      <c r="B1874" s="9" t="s">
        <v>26</v>
      </c>
      <c r="C1874" s="9" t="s">
        <v>27</v>
      </c>
      <c r="D1874" s="52">
        <v>46215</v>
      </c>
      <c r="E1874" s="48">
        <v>0.85416666666666663</v>
      </c>
      <c r="F1874" s="48">
        <v>0.86458333333333337</v>
      </c>
      <c r="G1874" s="43">
        <f>(F1874-E1874)*1440</f>
        <v>15.000000000000107</v>
      </c>
      <c r="H1874" s="9" t="s">
        <v>4315</v>
      </c>
      <c r="I1874" s="9" t="s">
        <v>24</v>
      </c>
      <c r="J1874" s="44">
        <v>9.9</v>
      </c>
      <c r="K1874" s="60">
        <v>7.38</v>
      </c>
      <c r="L1874" s="56">
        <v>6.08</v>
      </c>
      <c r="M1874" s="14">
        <f>K1874-L1874</f>
        <v>1.2999999999999998</v>
      </c>
      <c r="N1874" s="15">
        <f>IFERROR(M1874/K1874,0)</f>
        <v>0.17615176151761516</v>
      </c>
      <c r="O1874" s="14">
        <f>IFERROR(L1874/J1874,0)</f>
        <v>0.6141414141414141</v>
      </c>
      <c r="P1874" s="14">
        <f>IFERROR(L1874/G1874,0)</f>
        <v>0.40533333333333044</v>
      </c>
    </row>
    <row r="1875" spans="1:19" x14ac:dyDescent="0.3">
      <c r="A1875" s="9" t="s">
        <v>3864</v>
      </c>
      <c r="B1875" s="9" t="s">
        <v>18</v>
      </c>
      <c r="C1875" s="9" t="s">
        <v>184</v>
      </c>
      <c r="D1875" s="52">
        <v>46215</v>
      </c>
      <c r="E1875" s="48">
        <v>0.58819444444444446</v>
      </c>
      <c r="F1875" s="48">
        <v>0.59513888888888888</v>
      </c>
      <c r="G1875" s="43">
        <f>(F1875-E1875)*1440</f>
        <v>9.9999999999999645</v>
      </c>
      <c r="H1875" s="9" t="s">
        <v>4083</v>
      </c>
      <c r="I1875" s="9" t="s">
        <v>3075</v>
      </c>
      <c r="J1875" s="44">
        <v>6.43</v>
      </c>
      <c r="K1875" s="60">
        <v>4.95</v>
      </c>
      <c r="L1875" s="56">
        <v>4.08</v>
      </c>
      <c r="M1875" s="14">
        <f>K1875-L1875</f>
        <v>0.87000000000000011</v>
      </c>
      <c r="N1875" s="15">
        <f>IFERROR(M1875/K1875,0)</f>
        <v>0.17575757575757578</v>
      </c>
      <c r="O1875" s="14">
        <f>IFERROR(L1875/J1875,0)</f>
        <v>0.63452566096423024</v>
      </c>
      <c r="P1875" s="14">
        <f>IFERROR(L1875/G1875,0)</f>
        <v>0.40800000000000147</v>
      </c>
    </row>
    <row r="1876" spans="1:19" x14ac:dyDescent="0.3">
      <c r="A1876" s="9" t="s">
        <v>3865</v>
      </c>
      <c r="B1876" s="9" t="s">
        <v>18</v>
      </c>
      <c r="C1876" s="9" t="s">
        <v>184</v>
      </c>
      <c r="D1876" s="52">
        <v>46215</v>
      </c>
      <c r="E1876" s="48">
        <v>0.59722222222222221</v>
      </c>
      <c r="F1876" s="48">
        <v>0.60347222222222219</v>
      </c>
      <c r="G1876" s="43">
        <f>(F1876-E1876)*1440</f>
        <v>8.999999999999968</v>
      </c>
      <c r="H1876" s="9" t="s">
        <v>885</v>
      </c>
      <c r="I1876" s="9" t="s">
        <v>698</v>
      </c>
      <c r="J1876" s="44">
        <v>3.4</v>
      </c>
      <c r="K1876" s="60">
        <v>4.95</v>
      </c>
      <c r="L1876" s="56">
        <v>3.38</v>
      </c>
      <c r="M1876" s="14">
        <f>K1876-L1876</f>
        <v>1.5700000000000003</v>
      </c>
      <c r="N1876" s="15">
        <f>IFERROR(M1876/K1876,0)</f>
        <v>0.31717171717171722</v>
      </c>
      <c r="O1876" s="14">
        <f>IFERROR(L1876/J1876,0)</f>
        <v>0.99411764705882355</v>
      </c>
      <c r="P1876" s="14">
        <f>IFERROR(L1876/G1876,0)</f>
        <v>0.37555555555555686</v>
      </c>
    </row>
    <row r="1877" spans="1:19" x14ac:dyDescent="0.3">
      <c r="A1877" s="9" t="s">
        <v>3866</v>
      </c>
      <c r="B1877" s="9" t="s">
        <v>18</v>
      </c>
      <c r="C1877" s="9" t="s">
        <v>196</v>
      </c>
      <c r="D1877" s="52">
        <v>46215</v>
      </c>
      <c r="E1877" s="48">
        <v>0.60833333333333328</v>
      </c>
      <c r="F1877" s="48">
        <v>0.62083333333333335</v>
      </c>
      <c r="G1877" s="43">
        <f>(F1877-E1877)*1440</f>
        <v>18.000000000000096</v>
      </c>
      <c r="H1877" s="9" t="s">
        <v>698</v>
      </c>
      <c r="I1877" s="9" t="s">
        <v>1120</v>
      </c>
      <c r="J1877" s="44">
        <v>11.69</v>
      </c>
      <c r="K1877" s="60">
        <v>12.97</v>
      </c>
      <c r="L1877" s="56">
        <v>8.43</v>
      </c>
      <c r="M1877" s="14">
        <f>K1877-L1877</f>
        <v>4.5400000000000009</v>
      </c>
      <c r="N1877" s="15">
        <f>IFERROR(M1877/K1877,0)</f>
        <v>0.35003855050115656</v>
      </c>
      <c r="O1877" s="14">
        <f>IFERROR(L1877/J1877,0)</f>
        <v>0.72112917023096668</v>
      </c>
      <c r="P1877" s="14">
        <f>IFERROR(L1877/G1877,0)</f>
        <v>0.46833333333333083</v>
      </c>
      <c r="S1877" s="61">
        <v>2</v>
      </c>
    </row>
    <row r="1878" spans="1:19" x14ac:dyDescent="0.3">
      <c r="A1878" s="9" t="s">
        <v>3867</v>
      </c>
      <c r="B1878" s="9" t="s">
        <v>18</v>
      </c>
      <c r="C1878" s="9" t="s">
        <v>184</v>
      </c>
      <c r="D1878" s="52">
        <v>46215</v>
      </c>
      <c r="E1878" s="48">
        <v>0.63124999999999998</v>
      </c>
      <c r="F1878" s="48">
        <v>0.6479166666666667</v>
      </c>
      <c r="G1878" s="43">
        <f>(F1878-E1878)*1440</f>
        <v>24.000000000000075</v>
      </c>
      <c r="H1878" s="9" t="s">
        <v>1120</v>
      </c>
      <c r="I1878" s="9" t="s">
        <v>4316</v>
      </c>
      <c r="J1878" s="44">
        <v>22.89</v>
      </c>
      <c r="K1878" s="60">
        <v>19.170000000000002</v>
      </c>
      <c r="L1878" s="56">
        <v>11.39</v>
      </c>
      <c r="M1878" s="14">
        <f>K1878-L1878</f>
        <v>7.7800000000000011</v>
      </c>
      <c r="N1878" s="15">
        <f>IFERROR(M1878/K1878,0)</f>
        <v>0.40584246218049036</v>
      </c>
      <c r="O1878" s="14">
        <f>IFERROR(L1878/J1878,0)</f>
        <v>0.49759720401922236</v>
      </c>
      <c r="P1878" s="14">
        <f>IFERROR(L1878/G1878,0)</f>
        <v>0.47458333333333186</v>
      </c>
    </row>
    <row r="1879" spans="1:19" x14ac:dyDescent="0.3">
      <c r="A1879" s="9" t="s">
        <v>3868</v>
      </c>
      <c r="B1879" s="9" t="s">
        <v>18</v>
      </c>
      <c r="C1879" s="9" t="s">
        <v>184</v>
      </c>
      <c r="D1879" s="52">
        <v>46215</v>
      </c>
      <c r="E1879" s="48">
        <v>0.72361111111111109</v>
      </c>
      <c r="F1879" s="48">
        <v>0.73611111111111116</v>
      </c>
      <c r="G1879" s="43">
        <f>(F1879-E1879)*1440</f>
        <v>18.000000000000096</v>
      </c>
      <c r="H1879" s="9" t="s">
        <v>4317</v>
      </c>
      <c r="I1879" s="9" t="s">
        <v>1120</v>
      </c>
      <c r="J1879" s="44">
        <v>13.31</v>
      </c>
      <c r="K1879" s="60">
        <v>10.93</v>
      </c>
      <c r="L1879" s="56">
        <v>7.98</v>
      </c>
      <c r="M1879" s="14">
        <f>K1879-L1879</f>
        <v>2.9499999999999993</v>
      </c>
      <c r="N1879" s="15">
        <f>IFERROR(M1879/K1879,0)</f>
        <v>0.26989935956084166</v>
      </c>
      <c r="O1879" s="14">
        <f>IFERROR(L1879/J1879,0)</f>
        <v>0.59954921111945902</v>
      </c>
      <c r="P1879" s="14">
        <f>IFERROR(L1879/G1879,0)</f>
        <v>0.44333333333333097</v>
      </c>
      <c r="S1879" s="61">
        <v>1</v>
      </c>
    </row>
    <row r="1880" spans="1:19" x14ac:dyDescent="0.3">
      <c r="A1880" s="9" t="s">
        <v>3869</v>
      </c>
      <c r="B1880" s="9" t="s">
        <v>18</v>
      </c>
      <c r="C1880" s="67" t="s">
        <v>184</v>
      </c>
      <c r="D1880" s="52">
        <v>46215</v>
      </c>
      <c r="E1880" s="48">
        <v>0.7416666666666667</v>
      </c>
      <c r="F1880" s="48">
        <v>0.75624999999999998</v>
      </c>
      <c r="G1880" s="43">
        <f>(F1880-E1880)*1440</f>
        <v>20.999999999999925</v>
      </c>
      <c r="H1880" s="9" t="s">
        <v>1120</v>
      </c>
      <c r="I1880" s="9" t="s">
        <v>4318</v>
      </c>
      <c r="J1880" s="44">
        <v>7.59</v>
      </c>
      <c r="K1880" s="60">
        <v>9</v>
      </c>
      <c r="L1880" s="56">
        <v>6.34</v>
      </c>
      <c r="M1880" s="14">
        <f>K1880-L1880</f>
        <v>2.66</v>
      </c>
      <c r="N1880" s="15">
        <f>IFERROR(M1880/K1880,0)</f>
        <v>0.29555555555555557</v>
      </c>
      <c r="O1880" s="14">
        <f>IFERROR(L1880/J1880,0)</f>
        <v>0.8353096179183136</v>
      </c>
      <c r="P1880" s="14">
        <f>IFERROR(L1880/G1880,0)</f>
        <v>0.30190476190476295</v>
      </c>
      <c r="S1880" s="61">
        <v>1</v>
      </c>
    </row>
    <row r="1881" spans="1:19" x14ac:dyDescent="0.3">
      <c r="A1881" s="9" t="s">
        <v>3870</v>
      </c>
      <c r="B1881" s="9" t="s">
        <v>18</v>
      </c>
      <c r="C1881" s="9" t="s">
        <v>184</v>
      </c>
      <c r="D1881" s="52">
        <v>46215</v>
      </c>
      <c r="E1881" s="48">
        <v>0.77569444444444446</v>
      </c>
      <c r="F1881" s="48">
        <v>0.78541666666666676</v>
      </c>
      <c r="G1881" s="43">
        <f>(F1881-E1881)*1440</f>
        <v>14.00000000000011</v>
      </c>
      <c r="H1881" s="9" t="s">
        <v>1354</v>
      </c>
      <c r="I1881" s="9" t="s">
        <v>3458</v>
      </c>
      <c r="J1881" s="44">
        <v>9.9600000000000009</v>
      </c>
      <c r="K1881" s="60">
        <v>6.94</v>
      </c>
      <c r="L1881" s="56">
        <v>4.51</v>
      </c>
      <c r="M1881" s="14">
        <f>K1881-L1881</f>
        <v>2.4300000000000006</v>
      </c>
      <c r="N1881" s="15">
        <f>IFERROR(M1881/K1881,0)</f>
        <v>0.35014409221902026</v>
      </c>
      <c r="O1881" s="14">
        <f>IFERROR(L1881/J1881,0)</f>
        <v>0.45281124497991959</v>
      </c>
      <c r="P1881" s="14">
        <f>IFERROR(L1881/G1881,0)</f>
        <v>0.32214285714285457</v>
      </c>
    </row>
    <row r="1882" spans="1:19" x14ac:dyDescent="0.3">
      <c r="A1882" s="9" t="s">
        <v>3871</v>
      </c>
      <c r="B1882" s="9" t="s">
        <v>18</v>
      </c>
      <c r="C1882" s="9" t="s">
        <v>184</v>
      </c>
      <c r="D1882" s="52">
        <v>46216</v>
      </c>
      <c r="E1882" s="48">
        <v>0.68194444444444446</v>
      </c>
      <c r="F1882" s="48">
        <v>0.69305555555555554</v>
      </c>
      <c r="G1882" s="43">
        <f>(F1882-E1882)*1440</f>
        <v>15.999999999999943</v>
      </c>
      <c r="H1882" s="9" t="s">
        <v>214</v>
      </c>
      <c r="I1882" s="9" t="s">
        <v>2038</v>
      </c>
      <c r="J1882" s="44">
        <v>9.36</v>
      </c>
      <c r="K1882" s="60">
        <v>7.95</v>
      </c>
      <c r="L1882" s="56">
        <v>5.61</v>
      </c>
      <c r="M1882" s="14">
        <f>K1882-L1882</f>
        <v>2.34</v>
      </c>
      <c r="N1882" s="15">
        <f>IFERROR(M1882/K1882,0)</f>
        <v>0.29433962264150942</v>
      </c>
      <c r="O1882" s="14">
        <f>IFERROR(L1882/J1882,0)</f>
        <v>0.59935897435897445</v>
      </c>
      <c r="P1882" s="14">
        <f>IFERROR(L1882/G1882,0)</f>
        <v>0.35062500000000124</v>
      </c>
    </row>
    <row r="1883" spans="1:19" x14ac:dyDescent="0.3">
      <c r="A1883" s="9" t="s">
        <v>3872</v>
      </c>
      <c r="B1883" s="9" t="s">
        <v>18</v>
      </c>
      <c r="C1883" s="9" t="s">
        <v>184</v>
      </c>
      <c r="D1883" s="52">
        <v>46216</v>
      </c>
      <c r="E1883" s="48">
        <v>0.7090277777777777</v>
      </c>
      <c r="F1883" s="48">
        <v>0.72222222222222221</v>
      </c>
      <c r="G1883" s="43">
        <f>(F1883-E1883)*1440</f>
        <v>19.000000000000092</v>
      </c>
      <c r="H1883" s="9" t="s">
        <v>4319</v>
      </c>
      <c r="I1883" s="9" t="s">
        <v>214</v>
      </c>
      <c r="J1883" s="44">
        <v>8.75</v>
      </c>
      <c r="K1883" s="60">
        <v>9.9600000000000009</v>
      </c>
      <c r="L1883" s="56">
        <v>6.82</v>
      </c>
      <c r="M1883" s="14">
        <f>K1883-L1883</f>
        <v>3.1400000000000006</v>
      </c>
      <c r="N1883" s="15">
        <f>IFERROR(M1883/K1883,0)</f>
        <v>0.31526104417670686</v>
      </c>
      <c r="O1883" s="14">
        <f>IFERROR(L1883/J1883,0)</f>
        <v>0.77942857142857147</v>
      </c>
      <c r="P1883" s="14">
        <f>IFERROR(L1883/G1883,0)</f>
        <v>0.35894736842105091</v>
      </c>
    </row>
    <row r="1884" spans="1:19" x14ac:dyDescent="0.3">
      <c r="A1884" s="9" t="s">
        <v>3873</v>
      </c>
      <c r="B1884" s="9" t="s">
        <v>18</v>
      </c>
      <c r="C1884" s="9" t="s">
        <v>184</v>
      </c>
      <c r="D1884" s="52">
        <v>46216</v>
      </c>
      <c r="E1884" s="48">
        <v>0.73125000000000007</v>
      </c>
      <c r="F1884" s="48">
        <v>0.7416666666666667</v>
      </c>
      <c r="G1884" s="43">
        <f>(F1884-E1884)*1440</f>
        <v>14.999999999999947</v>
      </c>
      <c r="H1884" s="9" t="s">
        <v>214</v>
      </c>
      <c r="I1884" s="9" t="s">
        <v>4040</v>
      </c>
      <c r="J1884" s="44">
        <v>3.89</v>
      </c>
      <c r="K1884" s="60">
        <v>7.95</v>
      </c>
      <c r="L1884" s="56">
        <v>6.84</v>
      </c>
      <c r="M1884" s="14">
        <f>K1884-L1884</f>
        <v>1.1100000000000003</v>
      </c>
      <c r="N1884" s="15">
        <f>IFERROR(M1884/K1884,0)</f>
        <v>0.13962264150943399</v>
      </c>
      <c r="O1884" s="14">
        <f>IFERROR(L1884/J1884,0)</f>
        <v>1.7583547557840615</v>
      </c>
      <c r="P1884" s="14">
        <f>IFERROR(L1884/G1884,0)</f>
        <v>0.45600000000000163</v>
      </c>
    </row>
    <row r="1885" spans="1:19" x14ac:dyDescent="0.3">
      <c r="A1885" s="9" t="s">
        <v>3874</v>
      </c>
      <c r="B1885" s="9" t="s">
        <v>18</v>
      </c>
      <c r="C1885" s="9" t="s">
        <v>184</v>
      </c>
      <c r="D1885" s="52">
        <v>46216</v>
      </c>
      <c r="E1885" s="48">
        <v>0.78333333333333333</v>
      </c>
      <c r="F1885" s="48">
        <v>0.79236111111111107</v>
      </c>
      <c r="G1885" s="43">
        <f>(F1885-E1885)*1440</f>
        <v>12.999999999999954</v>
      </c>
      <c r="H1885" s="9" t="s">
        <v>1251</v>
      </c>
      <c r="I1885" s="9" t="s">
        <v>4320</v>
      </c>
      <c r="J1885" s="44">
        <v>8.5299999999999994</v>
      </c>
      <c r="K1885" s="60">
        <v>7.96</v>
      </c>
      <c r="L1885" s="56">
        <v>6.51</v>
      </c>
      <c r="M1885" s="14">
        <f>K1885-L1885</f>
        <v>1.4500000000000002</v>
      </c>
      <c r="N1885" s="15">
        <f>IFERROR(M1885/K1885,0)</f>
        <v>0.18216080402010051</v>
      </c>
      <c r="O1885" s="14">
        <f>IFERROR(L1885/J1885,0)</f>
        <v>0.76318874560375149</v>
      </c>
      <c r="P1885" s="14">
        <f>IFERROR(L1885/G1885,0)</f>
        <v>0.50076923076923252</v>
      </c>
    </row>
    <row r="1886" spans="1:19" x14ac:dyDescent="0.3">
      <c r="A1886" s="9" t="s">
        <v>3875</v>
      </c>
      <c r="B1886" s="9" t="s">
        <v>18</v>
      </c>
      <c r="C1886" s="9" t="s">
        <v>184</v>
      </c>
      <c r="D1886" s="52">
        <v>46216</v>
      </c>
      <c r="E1886" s="48">
        <v>0.80069444444444438</v>
      </c>
      <c r="F1886" s="48">
        <v>0.81388888888888899</v>
      </c>
      <c r="G1886" s="43">
        <f>(F1886-E1886)*1440</f>
        <v>19.000000000000252</v>
      </c>
      <c r="H1886" s="9" t="s">
        <v>1965</v>
      </c>
      <c r="I1886" s="9" t="s">
        <v>4321</v>
      </c>
      <c r="J1886" s="44">
        <v>12.03</v>
      </c>
      <c r="K1886" s="60">
        <v>7.96</v>
      </c>
      <c r="L1886" s="56">
        <v>5.9</v>
      </c>
      <c r="M1886" s="14">
        <f>K1886-L1886</f>
        <v>2.0599999999999996</v>
      </c>
      <c r="N1886" s="15">
        <f>IFERROR(M1886/K1886,0)</f>
        <v>0.25879396984924619</v>
      </c>
      <c r="O1886" s="14">
        <f>IFERROR(L1886/J1886,0)</f>
        <v>0.49044056525353291</v>
      </c>
      <c r="P1886" s="14">
        <f>IFERROR(L1886/G1886,0)</f>
        <v>0.3105263157894696</v>
      </c>
    </row>
    <row r="1887" spans="1:19" x14ac:dyDescent="0.3">
      <c r="A1887" s="9" t="s">
        <v>3876</v>
      </c>
      <c r="B1887" s="9" t="s">
        <v>18</v>
      </c>
      <c r="C1887" s="9" t="s">
        <v>184</v>
      </c>
      <c r="D1887" s="52">
        <v>46216</v>
      </c>
      <c r="E1887" s="48">
        <v>0.8256944444444444</v>
      </c>
      <c r="F1887" s="48">
        <v>0.84444444444444444</v>
      </c>
      <c r="G1887" s="43">
        <f>(F1887-E1887)*1440</f>
        <v>27.000000000000064</v>
      </c>
      <c r="H1887" s="9" t="s">
        <v>4322</v>
      </c>
      <c r="I1887" s="9" t="s">
        <v>1804</v>
      </c>
      <c r="J1887" s="44">
        <v>11.63</v>
      </c>
      <c r="K1887" s="60">
        <v>8.9600000000000009</v>
      </c>
      <c r="L1887" s="56">
        <v>5.82</v>
      </c>
      <c r="M1887" s="14">
        <f>K1887-L1887</f>
        <v>3.1400000000000006</v>
      </c>
      <c r="N1887" s="15">
        <f>IFERROR(M1887/K1887,0)</f>
        <v>0.3504464285714286</v>
      </c>
      <c r="O1887" s="14">
        <f>IFERROR(L1887/J1887,0)</f>
        <v>0.50042992261392949</v>
      </c>
      <c r="P1887" s="14">
        <f>IFERROR(L1887/G1887,0)</f>
        <v>0.21555555555555506</v>
      </c>
    </row>
    <row r="1888" spans="1:19" x14ac:dyDescent="0.3">
      <c r="A1888" s="9" t="s">
        <v>3877</v>
      </c>
      <c r="B1888" s="9" t="s">
        <v>18</v>
      </c>
      <c r="C1888" s="9" t="s">
        <v>184</v>
      </c>
      <c r="D1888" s="52">
        <v>46216</v>
      </c>
      <c r="E1888" s="48">
        <v>0.84652777777777777</v>
      </c>
      <c r="F1888" s="48">
        <v>0.85416666666666663</v>
      </c>
      <c r="G1888" s="43">
        <f>(F1888-E1888)*1440</f>
        <v>10.999999999999961</v>
      </c>
      <c r="H1888" s="9" t="s">
        <v>4323</v>
      </c>
      <c r="I1888" s="9" t="s">
        <v>604</v>
      </c>
      <c r="J1888" s="44">
        <v>5.81</v>
      </c>
      <c r="K1888" s="60">
        <v>5.45</v>
      </c>
      <c r="L1888" s="56">
        <v>5.3</v>
      </c>
      <c r="M1888" s="14">
        <f>K1888-L1888</f>
        <v>0.15000000000000036</v>
      </c>
      <c r="N1888" s="15">
        <f>IFERROR(M1888/K1888,0)</f>
        <v>2.7522935779816578E-2</v>
      </c>
      <c r="O1888" s="14">
        <f>IFERROR(L1888/J1888,0)</f>
        <v>0.91222030981067126</v>
      </c>
      <c r="P1888" s="14">
        <f>IFERROR(L1888/G1888,0)</f>
        <v>0.48181818181818353</v>
      </c>
    </row>
    <row r="1889" spans="1:16" x14ac:dyDescent="0.3">
      <c r="A1889" s="9" t="s">
        <v>3878</v>
      </c>
      <c r="B1889" s="9" t="s">
        <v>26</v>
      </c>
      <c r="C1889" s="9" t="s">
        <v>26</v>
      </c>
      <c r="D1889" s="52">
        <v>46216</v>
      </c>
      <c r="E1889" s="48">
        <v>0.56319444444444444</v>
      </c>
      <c r="F1889" s="48">
        <v>0.57013888888888886</v>
      </c>
      <c r="G1889" s="43">
        <f>(F1889-E1889)*1440</f>
        <v>9.9999999999999645</v>
      </c>
      <c r="H1889" s="9" t="s">
        <v>4324</v>
      </c>
      <c r="I1889" s="9" t="s">
        <v>4325</v>
      </c>
      <c r="J1889" s="44">
        <v>5.9</v>
      </c>
      <c r="K1889" s="60">
        <v>3.74</v>
      </c>
      <c r="L1889" s="56">
        <v>4.5199999999999996</v>
      </c>
      <c r="M1889" s="14">
        <f>K1889-L1889</f>
        <v>-0.77999999999999936</v>
      </c>
      <c r="N1889" s="15">
        <f>IFERROR(M1889/K1889,0)</f>
        <v>-0.20855614973262013</v>
      </c>
      <c r="O1889" s="14">
        <f>IFERROR(L1889/J1889,0)</f>
        <v>0.76610169491525415</v>
      </c>
      <c r="P1889" s="14">
        <f>IFERROR(L1889/G1889,0)</f>
        <v>0.45200000000000157</v>
      </c>
    </row>
    <row r="1890" spans="1:16" x14ac:dyDescent="0.3">
      <c r="A1890" s="9" t="s">
        <v>3879</v>
      </c>
      <c r="B1890" s="9" t="s">
        <v>26</v>
      </c>
      <c r="C1890" s="9" t="s">
        <v>27</v>
      </c>
      <c r="D1890" s="52">
        <v>46216</v>
      </c>
      <c r="E1890" s="48">
        <v>0.57430555555555551</v>
      </c>
      <c r="F1890" s="48">
        <v>0.59166666666666667</v>
      </c>
      <c r="G1890" s="43">
        <f>(F1890-E1890)*1440</f>
        <v>25.000000000000071</v>
      </c>
      <c r="H1890" s="9" t="s">
        <v>4326</v>
      </c>
      <c r="I1890" s="9" t="s">
        <v>4327</v>
      </c>
      <c r="J1890" s="44">
        <v>19.3</v>
      </c>
      <c r="K1890" s="60">
        <v>11.89</v>
      </c>
      <c r="L1890" s="56">
        <v>8.92</v>
      </c>
      <c r="M1890" s="14">
        <f>K1890-L1890</f>
        <v>2.9700000000000006</v>
      </c>
      <c r="N1890" s="15">
        <f>IFERROR(M1890/K1890,0)</f>
        <v>0.24978973927670314</v>
      </c>
      <c r="O1890" s="14">
        <f>IFERROR(L1890/J1890,0)</f>
        <v>0.46217616580310877</v>
      </c>
      <c r="P1890" s="14">
        <f>IFERROR(L1890/G1890,0)</f>
        <v>0.35679999999999901</v>
      </c>
    </row>
    <row r="1891" spans="1:16" x14ac:dyDescent="0.3">
      <c r="A1891" s="9" t="s">
        <v>3880</v>
      </c>
      <c r="B1891" s="9" t="s">
        <v>26</v>
      </c>
      <c r="C1891" s="9" t="s">
        <v>27</v>
      </c>
      <c r="D1891" s="52">
        <v>46216</v>
      </c>
      <c r="E1891" s="48">
        <v>0.59305555555555556</v>
      </c>
      <c r="F1891" s="48">
        <v>0.60486111111111118</v>
      </c>
      <c r="G1891" s="43">
        <f>(F1891-E1891)*1440</f>
        <v>17.000000000000099</v>
      </c>
      <c r="H1891" s="9" t="s">
        <v>4328</v>
      </c>
      <c r="I1891" s="9" t="s">
        <v>1793</v>
      </c>
      <c r="J1891" s="44">
        <v>7.7</v>
      </c>
      <c r="K1891" s="60">
        <v>8.31</v>
      </c>
      <c r="L1891" s="56">
        <v>6.23</v>
      </c>
      <c r="M1891" s="14">
        <f>K1891-L1891</f>
        <v>2.08</v>
      </c>
      <c r="N1891" s="15">
        <f>IFERROR(M1891/K1891,0)</f>
        <v>0.25030084235860406</v>
      </c>
      <c r="O1891" s="14">
        <f>IFERROR(L1891/J1891,0)</f>
        <v>0.80909090909090908</v>
      </c>
      <c r="P1891" s="14">
        <f>IFERROR(L1891/G1891,0)</f>
        <v>0.36647058823529199</v>
      </c>
    </row>
    <row r="1892" spans="1:16" x14ac:dyDescent="0.3">
      <c r="A1892" s="9" t="s">
        <v>3881</v>
      </c>
      <c r="B1892" s="9" t="s">
        <v>26</v>
      </c>
      <c r="C1892" s="9" t="s">
        <v>27</v>
      </c>
      <c r="D1892" s="52">
        <v>46216</v>
      </c>
      <c r="E1892" s="48">
        <v>0.61249999999999993</v>
      </c>
      <c r="F1892" s="48">
        <v>0.62638888888888888</v>
      </c>
      <c r="G1892" s="43">
        <f>(F1892-E1892)*1440</f>
        <v>20.000000000000089</v>
      </c>
      <c r="H1892" s="9" t="s">
        <v>638</v>
      </c>
      <c r="I1892" s="9" t="s">
        <v>611</v>
      </c>
      <c r="J1892" s="44">
        <v>6.7</v>
      </c>
      <c r="K1892" s="60">
        <v>7.68</v>
      </c>
      <c r="L1892" s="56">
        <v>5.88</v>
      </c>
      <c r="M1892" s="14">
        <f>K1892-L1892</f>
        <v>1.7999999999999998</v>
      </c>
      <c r="N1892" s="15">
        <f>IFERROR(M1892/K1892,0)</f>
        <v>0.23437499999999997</v>
      </c>
      <c r="O1892" s="14">
        <f>IFERROR(L1892/J1892,0)</f>
        <v>0.87761194029850742</v>
      </c>
      <c r="P1892" s="14">
        <f>IFERROR(L1892/G1892,0)</f>
        <v>0.29399999999999871</v>
      </c>
    </row>
    <row r="1893" spans="1:16" x14ac:dyDescent="0.3">
      <c r="A1893" s="9" t="s">
        <v>3882</v>
      </c>
      <c r="B1893" s="9" t="s">
        <v>26</v>
      </c>
      <c r="C1893" s="9" t="s">
        <v>26</v>
      </c>
      <c r="D1893" s="52">
        <v>46216</v>
      </c>
      <c r="E1893" s="48">
        <v>0.62986111111111109</v>
      </c>
      <c r="F1893" s="48">
        <v>0.64027777777777783</v>
      </c>
      <c r="G1893" s="43">
        <f>(F1893-E1893)*1440</f>
        <v>15.000000000000107</v>
      </c>
      <c r="H1893" s="9" t="s">
        <v>1120</v>
      </c>
      <c r="I1893" s="9" t="s">
        <v>214</v>
      </c>
      <c r="J1893" s="44">
        <v>6.9</v>
      </c>
      <c r="K1893" s="60">
        <v>6.69</v>
      </c>
      <c r="L1893" s="56">
        <v>5.57</v>
      </c>
      <c r="M1893" s="14">
        <f>K1893-L1893</f>
        <v>1.1200000000000001</v>
      </c>
      <c r="N1893" s="15">
        <f>IFERROR(M1893/K1893,0)</f>
        <v>0.16741405082212257</v>
      </c>
      <c r="O1893" s="14">
        <f>IFERROR(L1893/J1893,0)</f>
        <v>0.80724637681159417</v>
      </c>
      <c r="P1893" s="14">
        <f>IFERROR(L1893/G1893,0)</f>
        <v>0.37133333333333074</v>
      </c>
    </row>
    <row r="1894" spans="1:16" x14ac:dyDescent="0.3">
      <c r="A1894" s="9" t="s">
        <v>3883</v>
      </c>
      <c r="B1894" s="9" t="s">
        <v>26</v>
      </c>
      <c r="C1894" s="9" t="s">
        <v>27</v>
      </c>
      <c r="D1894" s="52">
        <v>46216</v>
      </c>
      <c r="E1894" s="48">
        <v>0.64166666666666672</v>
      </c>
      <c r="F1894" s="48">
        <v>0.65069444444444446</v>
      </c>
      <c r="G1894" s="43">
        <f>(F1894-E1894)*1440</f>
        <v>12.999999999999954</v>
      </c>
      <c r="H1894" s="9" t="s">
        <v>214</v>
      </c>
      <c r="I1894" s="9" t="s">
        <v>4329</v>
      </c>
      <c r="J1894" s="44">
        <v>9.6999999999999993</v>
      </c>
      <c r="K1894" s="60">
        <v>6.63</v>
      </c>
      <c r="L1894" s="56">
        <v>4.97</v>
      </c>
      <c r="M1894" s="14">
        <f>K1894-L1894</f>
        <v>1.6600000000000001</v>
      </c>
      <c r="N1894" s="15">
        <f>IFERROR(M1894/K1894,0)</f>
        <v>0.25037707390648567</v>
      </c>
      <c r="O1894" s="14">
        <f>IFERROR(L1894/J1894,0)</f>
        <v>0.51237113402061862</v>
      </c>
      <c r="P1894" s="14">
        <f>IFERROR(L1894/G1894,0)</f>
        <v>0.38230769230769363</v>
      </c>
    </row>
    <row r="1895" spans="1:16" x14ac:dyDescent="0.3">
      <c r="A1895" s="9" t="s">
        <v>3884</v>
      </c>
      <c r="B1895" s="9" t="s">
        <v>26</v>
      </c>
      <c r="C1895" s="9" t="s">
        <v>27</v>
      </c>
      <c r="D1895" s="52">
        <v>46216</v>
      </c>
      <c r="E1895" s="48">
        <v>0.65416666666666667</v>
      </c>
      <c r="F1895" s="48">
        <v>0.66319444444444442</v>
      </c>
      <c r="G1895" s="43">
        <f>(F1895-E1895)*1440</f>
        <v>12.999999999999954</v>
      </c>
      <c r="H1895" s="9" t="s">
        <v>4330</v>
      </c>
      <c r="I1895" s="9" t="s">
        <v>214</v>
      </c>
      <c r="J1895" s="44">
        <v>11.1</v>
      </c>
      <c r="K1895" s="60">
        <v>8.61</v>
      </c>
      <c r="L1895" s="56">
        <v>6.46</v>
      </c>
      <c r="M1895" s="14">
        <f>K1895-L1895</f>
        <v>2.1499999999999995</v>
      </c>
      <c r="N1895" s="15">
        <f>IFERROR(M1895/K1895,0)</f>
        <v>0.24970963995354234</v>
      </c>
      <c r="O1895" s="14">
        <f>IFERROR(L1895/J1895,0)</f>
        <v>0.58198198198198203</v>
      </c>
      <c r="P1895" s="14">
        <f>IFERROR(L1895/G1895,0)</f>
        <v>0.49692307692307869</v>
      </c>
    </row>
    <row r="1896" spans="1:16" x14ac:dyDescent="0.3">
      <c r="A1896" s="9" t="s">
        <v>3885</v>
      </c>
      <c r="B1896" s="9" t="s">
        <v>26</v>
      </c>
      <c r="C1896" s="9" t="s">
        <v>26</v>
      </c>
      <c r="D1896" s="52">
        <v>46216</v>
      </c>
      <c r="E1896" s="48">
        <v>0.75347222222222221</v>
      </c>
      <c r="F1896" s="48">
        <v>0.76527777777777783</v>
      </c>
      <c r="G1896" s="43">
        <f>(F1896-E1896)*1440</f>
        <v>17.000000000000099</v>
      </c>
      <c r="H1896" s="9" t="s">
        <v>678</v>
      </c>
      <c r="I1896" s="9" t="s">
        <v>4331</v>
      </c>
      <c r="J1896" s="44">
        <v>5.6</v>
      </c>
      <c r="K1896" s="60">
        <v>5.53</v>
      </c>
      <c r="L1896" s="56">
        <v>5.18</v>
      </c>
      <c r="M1896" s="14">
        <f>K1896-L1896</f>
        <v>0.35000000000000053</v>
      </c>
      <c r="N1896" s="15">
        <f>IFERROR(M1896/K1896,0)</f>
        <v>6.3291139240506417E-2</v>
      </c>
      <c r="O1896" s="14">
        <f>IFERROR(L1896/J1896,0)</f>
        <v>0.92500000000000004</v>
      </c>
      <c r="P1896" s="14">
        <f>IFERROR(L1896/G1896,0)</f>
        <v>0.30470588235293938</v>
      </c>
    </row>
    <row r="1897" spans="1:16" x14ac:dyDescent="0.3">
      <c r="A1897" s="9" t="s">
        <v>3886</v>
      </c>
      <c r="B1897" s="9" t="s">
        <v>26</v>
      </c>
      <c r="C1897" s="9" t="s">
        <v>26</v>
      </c>
      <c r="D1897" s="52">
        <v>46216</v>
      </c>
      <c r="E1897" s="48">
        <v>0.86597222222222225</v>
      </c>
      <c r="F1897" s="48">
        <v>0.87638888888888899</v>
      </c>
      <c r="G1897" s="43">
        <f>(F1897-E1897)*1440</f>
        <v>15.000000000000107</v>
      </c>
      <c r="H1897" s="9" t="s">
        <v>837</v>
      </c>
      <c r="I1897" s="9" t="s">
        <v>637</v>
      </c>
      <c r="J1897" s="44">
        <v>17.600000000000001</v>
      </c>
      <c r="K1897" s="60">
        <v>7.97</v>
      </c>
      <c r="L1897" s="56">
        <v>8.3000000000000007</v>
      </c>
      <c r="M1897" s="14">
        <f>K1897-L1897</f>
        <v>-0.33000000000000096</v>
      </c>
      <c r="N1897" s="15">
        <f>IFERROR(M1897/K1897,0)</f>
        <v>-4.1405269761606148E-2</v>
      </c>
      <c r="O1897" s="14">
        <f>IFERROR(L1897/J1897,0)</f>
        <v>0.47159090909090912</v>
      </c>
      <c r="P1897" s="14">
        <f>IFERROR(L1897/G1897,0)</f>
        <v>0.55333333333332946</v>
      </c>
    </row>
    <row r="1898" spans="1:16" x14ac:dyDescent="0.3">
      <c r="A1898" s="9" t="s">
        <v>3887</v>
      </c>
      <c r="B1898" s="9" t="s">
        <v>26</v>
      </c>
      <c r="C1898" s="9" t="s">
        <v>27</v>
      </c>
      <c r="D1898" s="52">
        <v>46217</v>
      </c>
      <c r="E1898" s="48">
        <v>0.6069444444444444</v>
      </c>
      <c r="F1898" s="48">
        <v>0.61875000000000002</v>
      </c>
      <c r="G1898" s="43">
        <f>(F1898-E1898)*1440</f>
        <v>17.000000000000099</v>
      </c>
      <c r="H1898" s="9" t="s">
        <v>4172</v>
      </c>
      <c r="I1898" s="9" t="s">
        <v>4553</v>
      </c>
      <c r="J1898" s="44">
        <v>6.3</v>
      </c>
      <c r="K1898" s="60">
        <v>5.62</v>
      </c>
      <c r="L1898" s="56">
        <v>4.21</v>
      </c>
      <c r="M1898" s="14">
        <f>K1898-L1898</f>
        <v>1.4100000000000001</v>
      </c>
      <c r="N1898" s="15">
        <f>IFERROR(M1898/K1898,0)</f>
        <v>0.25088967971530252</v>
      </c>
      <c r="O1898" s="14">
        <f>IFERROR(L1898/J1898,0)</f>
        <v>0.66825396825396832</v>
      </c>
      <c r="P1898" s="14">
        <f>IFERROR(L1898/G1898,0)</f>
        <v>0.24764705882352797</v>
      </c>
    </row>
    <row r="1899" spans="1:16" x14ac:dyDescent="0.3">
      <c r="A1899" s="9" t="s">
        <v>3888</v>
      </c>
      <c r="B1899" s="9" t="s">
        <v>26</v>
      </c>
      <c r="C1899" s="9" t="s">
        <v>27</v>
      </c>
      <c r="D1899" s="52">
        <v>46217</v>
      </c>
      <c r="E1899" s="48">
        <v>0.62847222222222221</v>
      </c>
      <c r="F1899" s="48">
        <v>0.64236111111111105</v>
      </c>
      <c r="G1899" s="43">
        <f>(F1899-E1899)*1440</f>
        <v>19.999999999999929</v>
      </c>
      <c r="H1899" s="9" t="s">
        <v>2484</v>
      </c>
      <c r="I1899" s="9" t="s">
        <v>4554</v>
      </c>
      <c r="J1899" s="44">
        <v>8.1999999999999993</v>
      </c>
      <c r="K1899" s="60">
        <v>6.99</v>
      </c>
      <c r="L1899" s="56">
        <v>5.24</v>
      </c>
      <c r="M1899" s="14">
        <f>K1899-L1899</f>
        <v>1.75</v>
      </c>
      <c r="N1899" s="15">
        <f>IFERROR(M1899/K1899,0)</f>
        <v>0.25035765379113017</v>
      </c>
      <c r="O1899" s="14">
        <f>IFERROR(L1899/J1899,0)</f>
        <v>0.63902439024390256</v>
      </c>
      <c r="P1899" s="14">
        <f>IFERROR(L1899/G1899,0)</f>
        <v>0.26200000000000095</v>
      </c>
    </row>
    <row r="1900" spans="1:16" x14ac:dyDescent="0.3">
      <c r="A1900" s="9" t="s">
        <v>3889</v>
      </c>
      <c r="B1900" s="9" t="s">
        <v>26</v>
      </c>
      <c r="C1900" s="9" t="s">
        <v>27</v>
      </c>
      <c r="D1900" s="52">
        <v>46217</v>
      </c>
      <c r="E1900" s="48">
        <v>0.6479166666666667</v>
      </c>
      <c r="F1900" s="48">
        <v>0.65763888888888888</v>
      </c>
      <c r="G1900" s="43">
        <f>(F1900-E1900)*1440</f>
        <v>13.99999999999995</v>
      </c>
      <c r="H1900" s="9" t="s">
        <v>4555</v>
      </c>
      <c r="I1900" s="9" t="s">
        <v>1931</v>
      </c>
      <c r="J1900" s="44">
        <v>5.8</v>
      </c>
      <c r="K1900" s="60">
        <v>5.88</v>
      </c>
      <c r="L1900" s="56">
        <v>4.41</v>
      </c>
      <c r="M1900" s="14">
        <f>K1900-L1900</f>
        <v>1.4699999999999998</v>
      </c>
      <c r="N1900" s="15">
        <f>IFERROR(M1900/K1900,0)</f>
        <v>0.24999999999999997</v>
      </c>
      <c r="O1900" s="14">
        <f>IFERROR(L1900/J1900,0)</f>
        <v>0.76034482758620692</v>
      </c>
      <c r="P1900" s="14">
        <f>IFERROR(L1900/G1900,0)</f>
        <v>0.31500000000000111</v>
      </c>
    </row>
    <row r="1901" spans="1:16" x14ac:dyDescent="0.3">
      <c r="A1901" s="9" t="s">
        <v>3890</v>
      </c>
      <c r="B1901" s="9" t="s">
        <v>26</v>
      </c>
      <c r="C1901" s="9" t="s">
        <v>27</v>
      </c>
      <c r="D1901" s="52">
        <v>46217</v>
      </c>
      <c r="E1901" s="48">
        <v>0.66111111111111109</v>
      </c>
      <c r="F1901" s="48">
        <v>0.67361111111111116</v>
      </c>
      <c r="G1901" s="43">
        <f>(F1901-E1901)*1440</f>
        <v>18.000000000000096</v>
      </c>
      <c r="H1901" s="9" t="s">
        <v>4556</v>
      </c>
      <c r="I1901" s="9" t="s">
        <v>1998</v>
      </c>
      <c r="J1901" s="44">
        <v>9.8000000000000007</v>
      </c>
      <c r="K1901" s="60">
        <v>7.07</v>
      </c>
      <c r="L1901" s="56">
        <v>5.3</v>
      </c>
      <c r="M1901" s="14">
        <f>K1901-L1901</f>
        <v>1.7700000000000005</v>
      </c>
      <c r="N1901" s="15">
        <f>IFERROR(M1901/K1901,0)</f>
        <v>0.25035360678925039</v>
      </c>
      <c r="O1901" s="14">
        <f>IFERROR(L1901/J1901,0)</f>
        <v>0.54081632653061218</v>
      </c>
      <c r="P1901" s="14">
        <f>IFERROR(L1901/G1901,0)</f>
        <v>0.29444444444444284</v>
      </c>
    </row>
    <row r="1902" spans="1:16" x14ac:dyDescent="0.3">
      <c r="A1902" s="9" t="s">
        <v>3891</v>
      </c>
      <c r="B1902" s="9" t="s">
        <v>26</v>
      </c>
      <c r="C1902" s="9" t="s">
        <v>27</v>
      </c>
      <c r="D1902" s="52">
        <v>46217</v>
      </c>
      <c r="E1902" s="48">
        <v>0.6972222222222223</v>
      </c>
      <c r="F1902" s="48">
        <v>0.70972222222222225</v>
      </c>
      <c r="G1902" s="43">
        <f>(F1902-E1902)*1440</f>
        <v>17.999999999999936</v>
      </c>
      <c r="H1902" s="9" t="s">
        <v>4557</v>
      </c>
      <c r="I1902" s="9" t="s">
        <v>4558</v>
      </c>
      <c r="J1902" s="44">
        <v>8.8000000000000007</v>
      </c>
      <c r="K1902" s="60">
        <v>10.54</v>
      </c>
      <c r="L1902" s="56">
        <v>7.9</v>
      </c>
      <c r="M1902" s="14">
        <f>K1902-L1902</f>
        <v>2.6399999999999988</v>
      </c>
      <c r="N1902" s="15">
        <f>IFERROR(M1902/K1902,0)</f>
        <v>0.25047438330170768</v>
      </c>
      <c r="O1902" s="14">
        <f>IFERROR(L1902/J1902,0)</f>
        <v>0.89772727272727271</v>
      </c>
      <c r="P1902" s="14">
        <f>IFERROR(L1902/G1902,0)</f>
        <v>0.43888888888889049</v>
      </c>
    </row>
    <row r="1903" spans="1:16" x14ac:dyDescent="0.3">
      <c r="A1903" s="9" t="s">
        <v>3892</v>
      </c>
      <c r="B1903" s="9" t="s">
        <v>26</v>
      </c>
      <c r="C1903" s="9" t="s">
        <v>27</v>
      </c>
      <c r="D1903" s="52">
        <v>46217</v>
      </c>
      <c r="E1903" s="48">
        <v>0.71180555555555547</v>
      </c>
      <c r="F1903" s="48">
        <v>0.71736111111111101</v>
      </c>
      <c r="G1903" s="43">
        <f>(F1903-E1903)*1440</f>
        <v>7.9999999999999716</v>
      </c>
      <c r="H1903" s="9" t="s">
        <v>2847</v>
      </c>
      <c r="I1903" s="9" t="s">
        <v>243</v>
      </c>
      <c r="J1903" s="44">
        <v>5.2</v>
      </c>
      <c r="K1903" s="60">
        <v>6.91</v>
      </c>
      <c r="L1903" s="56">
        <v>5.18</v>
      </c>
      <c r="M1903" s="14">
        <f>K1903-L1903</f>
        <v>1.7300000000000004</v>
      </c>
      <c r="N1903" s="15">
        <f>IFERROR(M1903/K1903,0)</f>
        <v>0.25036179450072366</v>
      </c>
      <c r="O1903" s="14">
        <f>IFERROR(L1903/J1903,0)</f>
        <v>0.99615384615384606</v>
      </c>
      <c r="P1903" s="14">
        <f>IFERROR(L1903/G1903,0)</f>
        <v>0.6475000000000023</v>
      </c>
    </row>
    <row r="1904" spans="1:16" x14ac:dyDescent="0.3">
      <c r="A1904" s="9" t="s">
        <v>3893</v>
      </c>
      <c r="B1904" s="9" t="s">
        <v>26</v>
      </c>
      <c r="C1904" s="9" t="s">
        <v>27</v>
      </c>
      <c r="D1904" s="52">
        <v>46217</v>
      </c>
      <c r="E1904" s="48">
        <v>0.71736111111111101</v>
      </c>
      <c r="F1904" s="48">
        <v>0.72430555555555554</v>
      </c>
      <c r="G1904" s="43">
        <f>(F1904-E1904)*1440</f>
        <v>10.000000000000124</v>
      </c>
      <c r="H1904" s="9" t="s">
        <v>243</v>
      </c>
      <c r="I1904" s="9" t="s">
        <v>4559</v>
      </c>
      <c r="J1904" s="44">
        <v>5</v>
      </c>
      <c r="K1904" s="60">
        <v>5.34</v>
      </c>
      <c r="L1904" s="56">
        <v>4</v>
      </c>
      <c r="M1904" s="14">
        <f>K1904-L1904</f>
        <v>1.3399999999999999</v>
      </c>
      <c r="N1904" s="15">
        <f>IFERROR(M1904/K1904,0)</f>
        <v>0.25093632958801498</v>
      </c>
      <c r="O1904" s="14">
        <f>IFERROR(L1904/J1904,0)</f>
        <v>0.8</v>
      </c>
      <c r="P1904" s="14">
        <f>IFERROR(L1904/G1904,0)</f>
        <v>0.39999999999999503</v>
      </c>
    </row>
    <row r="1905" spans="1:18" x14ac:dyDescent="0.3">
      <c r="A1905" s="9" t="s">
        <v>3894</v>
      </c>
      <c r="B1905" s="9" t="s">
        <v>26</v>
      </c>
      <c r="C1905" s="9" t="s">
        <v>26</v>
      </c>
      <c r="D1905" s="52">
        <v>46217</v>
      </c>
      <c r="E1905" s="48">
        <v>0.72986111111111107</v>
      </c>
      <c r="F1905" s="48">
        <v>0.73333333333333339</v>
      </c>
      <c r="G1905" s="43">
        <f>(F1905-E1905)*1440</f>
        <v>5.0000000000001421</v>
      </c>
      <c r="H1905" s="9" t="s">
        <v>1187</v>
      </c>
      <c r="I1905" s="9" t="s">
        <v>2148</v>
      </c>
      <c r="J1905" s="44">
        <v>1</v>
      </c>
      <c r="K1905" s="60">
        <v>4.68</v>
      </c>
      <c r="L1905" s="56">
        <v>4.3899999999999997</v>
      </c>
      <c r="M1905" s="14">
        <f>K1905-L1905</f>
        <v>0.29000000000000004</v>
      </c>
      <c r="N1905" s="15">
        <f>IFERROR(M1905/K1905,0)</f>
        <v>6.1965811965811975E-2</v>
      </c>
      <c r="O1905" s="14">
        <f>IFERROR(L1905/J1905,0)</f>
        <v>4.3899999999999997</v>
      </c>
      <c r="P1905" s="14">
        <f>IFERROR(L1905/G1905,0)</f>
        <v>0.87799999999997502</v>
      </c>
      <c r="R1905" s="57">
        <v>1.01</v>
      </c>
    </row>
    <row r="1906" spans="1:18" x14ac:dyDescent="0.3">
      <c r="A1906" s="9" t="s">
        <v>3895</v>
      </c>
      <c r="B1906" s="9" t="s">
        <v>26</v>
      </c>
      <c r="C1906" s="9" t="s">
        <v>27</v>
      </c>
      <c r="D1906" s="52">
        <v>46217</v>
      </c>
      <c r="E1906" s="48">
        <v>0.73472222222222217</v>
      </c>
      <c r="F1906" s="48">
        <v>0.74791666666666667</v>
      </c>
      <c r="G1906" s="43">
        <f>(F1906-E1906)*1440</f>
        <v>19.000000000000092</v>
      </c>
      <c r="H1906" s="9" t="s">
        <v>665</v>
      </c>
      <c r="I1906" s="9" t="s">
        <v>3298</v>
      </c>
      <c r="J1906" s="44">
        <v>7.4</v>
      </c>
      <c r="K1906" s="60">
        <v>7.99</v>
      </c>
      <c r="L1906" s="56">
        <v>5.99</v>
      </c>
      <c r="M1906" s="14">
        <f>K1906-L1906</f>
        <v>2</v>
      </c>
      <c r="N1906" s="15">
        <f>IFERROR(M1906/K1906,0)</f>
        <v>0.25031289111389238</v>
      </c>
      <c r="O1906" s="14">
        <f>IFERROR(L1906/J1906,0)</f>
        <v>0.80945945945945941</v>
      </c>
      <c r="P1906" s="14">
        <f>IFERROR(L1906/G1906,0)</f>
        <v>0.3152631578947353</v>
      </c>
      <c r="R1906" s="57">
        <v>0.73</v>
      </c>
    </row>
    <row r="1907" spans="1:18" x14ac:dyDescent="0.3">
      <c r="A1907" s="9" t="s">
        <v>3896</v>
      </c>
      <c r="B1907" s="9" t="s">
        <v>26</v>
      </c>
      <c r="C1907" s="9" t="s">
        <v>27</v>
      </c>
      <c r="D1907" s="52">
        <v>46217</v>
      </c>
      <c r="E1907" s="48">
        <v>0.75624999999999998</v>
      </c>
      <c r="F1907" s="48">
        <v>0.76597222222222217</v>
      </c>
      <c r="G1907" s="43">
        <f>(F1907-E1907)*1440</f>
        <v>13.99999999999995</v>
      </c>
      <c r="H1907" s="9" t="s">
        <v>4560</v>
      </c>
      <c r="I1907" s="9" t="s">
        <v>554</v>
      </c>
      <c r="J1907" s="44">
        <v>8.1</v>
      </c>
      <c r="K1907" s="60">
        <v>7.57</v>
      </c>
      <c r="L1907" s="56">
        <v>5.68</v>
      </c>
      <c r="M1907" s="14">
        <f>K1907-L1907</f>
        <v>1.8900000000000006</v>
      </c>
      <c r="N1907" s="15">
        <f>IFERROR(M1907/K1907,0)</f>
        <v>0.2496697490092471</v>
      </c>
      <c r="O1907" s="14">
        <f>IFERROR(L1907/J1907,0)</f>
        <v>0.70123456790123462</v>
      </c>
      <c r="P1907" s="14">
        <f>IFERROR(L1907/G1907,0)</f>
        <v>0.40571428571428714</v>
      </c>
      <c r="R1907" s="57">
        <v>0.69</v>
      </c>
    </row>
    <row r="1908" spans="1:18" x14ac:dyDescent="0.3">
      <c r="A1908" s="9" t="s">
        <v>3897</v>
      </c>
      <c r="B1908" s="9" t="s">
        <v>26</v>
      </c>
      <c r="C1908" s="9" t="s">
        <v>26</v>
      </c>
      <c r="D1908" s="52">
        <v>46217</v>
      </c>
      <c r="E1908" s="48">
        <v>0.7715277777777777</v>
      </c>
      <c r="F1908" s="48">
        <v>0.78055555555555556</v>
      </c>
      <c r="G1908" s="43">
        <f>(F1908-E1908)*1440</f>
        <v>13.000000000000114</v>
      </c>
      <c r="H1908" s="9" t="s">
        <v>4561</v>
      </c>
      <c r="I1908" s="9" t="s">
        <v>4206</v>
      </c>
      <c r="J1908" s="44">
        <v>7</v>
      </c>
      <c r="K1908" s="60">
        <v>6.59</v>
      </c>
      <c r="L1908" s="56">
        <v>5.62</v>
      </c>
      <c r="M1908" s="14">
        <f>K1908-L1908</f>
        <v>0.96999999999999975</v>
      </c>
      <c r="N1908" s="15">
        <f>IFERROR(M1908/K1908,0)</f>
        <v>0.14719271623672228</v>
      </c>
      <c r="O1908" s="14">
        <f>IFERROR(L1908/J1908,0)</f>
        <v>0.80285714285714282</v>
      </c>
      <c r="P1908" s="14">
        <f>IFERROR(L1908/G1908,0)</f>
        <v>0.43230769230768856</v>
      </c>
    </row>
    <row r="1909" spans="1:18" x14ac:dyDescent="0.3">
      <c r="A1909" s="9" t="s">
        <v>3898</v>
      </c>
      <c r="B1909" s="9" t="s">
        <v>26</v>
      </c>
      <c r="C1909" s="9" t="s">
        <v>27</v>
      </c>
      <c r="D1909" s="52">
        <v>46217</v>
      </c>
      <c r="E1909" s="48">
        <v>0.87083333333333324</v>
      </c>
      <c r="F1909" s="48">
        <v>0.88541666666666663</v>
      </c>
      <c r="G1909" s="43">
        <f>(F1909-E1909)*1440</f>
        <v>21.000000000000085</v>
      </c>
      <c r="H1909" s="9" t="s">
        <v>584</v>
      </c>
      <c r="I1909" s="9" t="s">
        <v>4562</v>
      </c>
      <c r="J1909" s="44">
        <v>14.1</v>
      </c>
      <c r="K1909" s="60">
        <v>9.0500000000000007</v>
      </c>
      <c r="L1909" s="56">
        <v>6.79</v>
      </c>
      <c r="M1909" s="14">
        <f>K1909-L1909</f>
        <v>2.2600000000000007</v>
      </c>
      <c r="N1909" s="15">
        <f>IFERROR(M1909/K1909,0)</f>
        <v>0.2497237569060774</v>
      </c>
      <c r="O1909" s="14">
        <f>IFERROR(L1909/J1909,0)</f>
        <v>0.48156028368794329</v>
      </c>
      <c r="P1909" s="14">
        <f>IFERROR(L1909/G1909,0)</f>
        <v>0.32333333333333203</v>
      </c>
    </row>
    <row r="1910" spans="1:18" x14ac:dyDescent="0.3">
      <c r="A1910" s="9" t="s">
        <v>3899</v>
      </c>
      <c r="B1910" s="9" t="s">
        <v>18</v>
      </c>
      <c r="C1910" s="9" t="s">
        <v>184</v>
      </c>
      <c r="D1910" s="52">
        <v>46217</v>
      </c>
      <c r="E1910" s="48">
        <v>0.56111111111111112</v>
      </c>
      <c r="F1910" s="48">
        <v>0.56597222222222221</v>
      </c>
      <c r="G1910" s="43">
        <f>(F1910-E1910)*1440</f>
        <v>6.9999999999999751</v>
      </c>
      <c r="H1910" s="9" t="s">
        <v>4563</v>
      </c>
      <c r="I1910" s="9" t="s">
        <v>4564</v>
      </c>
      <c r="J1910" s="44">
        <v>5.2</v>
      </c>
      <c r="K1910" s="60">
        <v>3.95</v>
      </c>
      <c r="L1910" s="56">
        <v>3.67</v>
      </c>
      <c r="M1910" s="14">
        <f>K1910-L1910</f>
        <v>0.28000000000000025</v>
      </c>
      <c r="N1910" s="15">
        <f>IFERROR(M1910/K1910,0)</f>
        <v>7.0886075949367147E-2</v>
      </c>
      <c r="O1910" s="14">
        <f>IFERROR(L1910/J1910,0)</f>
        <v>0.7057692307692307</v>
      </c>
      <c r="P1910" s="14">
        <f>IFERROR(L1910/G1910,0)</f>
        <v>0.52428571428571613</v>
      </c>
    </row>
    <row r="1911" spans="1:18" x14ac:dyDescent="0.3">
      <c r="A1911" s="9" t="s">
        <v>3900</v>
      </c>
      <c r="B1911" s="9" t="s">
        <v>18</v>
      </c>
      <c r="C1911" s="9" t="s">
        <v>184</v>
      </c>
      <c r="D1911" s="52">
        <v>46217</v>
      </c>
      <c r="E1911" s="48">
        <v>0.56805555555555554</v>
      </c>
      <c r="F1911" s="48">
        <v>0.58402777777777781</v>
      </c>
      <c r="G1911" s="43">
        <f>(F1911-E1911)*1440</f>
        <v>23.000000000000078</v>
      </c>
      <c r="H1911" s="9" t="s">
        <v>4565</v>
      </c>
      <c r="I1911" s="9" t="s">
        <v>3431</v>
      </c>
      <c r="J1911" s="44">
        <v>21.39</v>
      </c>
      <c r="K1911" s="60">
        <v>11.93</v>
      </c>
      <c r="L1911" s="56">
        <v>8.94</v>
      </c>
      <c r="M1911" s="14">
        <f>K1911-L1911</f>
        <v>2.99</v>
      </c>
      <c r="N1911" s="15">
        <f>IFERROR(M1911/K1911,0)</f>
        <v>0.25062866722548199</v>
      </c>
      <c r="O1911" s="14">
        <f>IFERROR(L1911/J1911,0)</f>
        <v>0.41795231416549788</v>
      </c>
      <c r="P1911" s="14">
        <f>IFERROR(L1911/G1911,0)</f>
        <v>0.38869565217391172</v>
      </c>
    </row>
    <row r="1912" spans="1:18" x14ac:dyDescent="0.3">
      <c r="A1912" s="9" t="s">
        <v>3901</v>
      </c>
      <c r="B1912" s="9" t="s">
        <v>18</v>
      </c>
      <c r="C1912" s="9" t="s">
        <v>184</v>
      </c>
      <c r="D1912" s="52">
        <v>46217</v>
      </c>
      <c r="E1912" s="48">
        <v>0.58333333333333337</v>
      </c>
      <c r="F1912" s="48">
        <v>0.59027777777777779</v>
      </c>
      <c r="G1912" s="43">
        <f>(F1912-E1912)*1440</f>
        <v>9.9999999999999645</v>
      </c>
      <c r="H1912" s="9" t="s">
        <v>4566</v>
      </c>
      <c r="I1912" s="9" t="s">
        <v>3095</v>
      </c>
      <c r="J1912" s="44">
        <v>8.7899999999999991</v>
      </c>
      <c r="K1912" s="60">
        <v>5.89</v>
      </c>
      <c r="L1912" s="56">
        <v>4.13</v>
      </c>
      <c r="M1912" s="14">
        <f>K1912-L1912</f>
        <v>1.7599999999999998</v>
      </c>
      <c r="N1912" s="15">
        <f>IFERROR(M1912/K1912,0)</f>
        <v>0.29881154499151102</v>
      </c>
      <c r="O1912" s="14">
        <f>IFERROR(L1912/J1912,0)</f>
        <v>0.46985210466439137</v>
      </c>
      <c r="P1912" s="14">
        <f>IFERROR(L1912/G1912,0)</f>
        <v>0.41300000000000148</v>
      </c>
    </row>
    <row r="1913" spans="1:18" x14ac:dyDescent="0.3">
      <c r="A1913" s="9" t="s">
        <v>3902</v>
      </c>
      <c r="B1913" s="9" t="s">
        <v>18</v>
      </c>
      <c r="C1913" s="9" t="s">
        <v>196</v>
      </c>
      <c r="D1913" s="52">
        <v>46217</v>
      </c>
      <c r="E1913" s="48">
        <v>0.61597222222222225</v>
      </c>
      <c r="F1913" s="48">
        <v>0.62152777777777779</v>
      </c>
      <c r="G1913" s="43">
        <f>(F1913-E1913)*1440</f>
        <v>7.9999999999999716</v>
      </c>
      <c r="H1913" s="9" t="s">
        <v>794</v>
      </c>
      <c r="I1913" s="9" t="s">
        <v>2220</v>
      </c>
      <c r="J1913" s="44">
        <v>3.95</v>
      </c>
      <c r="K1913" s="60">
        <v>4.99</v>
      </c>
      <c r="L1913" s="56">
        <v>3.67</v>
      </c>
      <c r="M1913" s="14">
        <f>K1913-L1913</f>
        <v>1.3200000000000003</v>
      </c>
      <c r="N1913" s="15">
        <f>IFERROR(M1913/K1913,0)</f>
        <v>0.26452905811623251</v>
      </c>
      <c r="O1913" s="14">
        <f>IFERROR(L1913/J1913,0)</f>
        <v>0.92911392405063287</v>
      </c>
      <c r="P1913" s="14">
        <f>IFERROR(L1913/G1913,0)</f>
        <v>0.4587500000000016</v>
      </c>
    </row>
    <row r="1914" spans="1:18" x14ac:dyDescent="0.3">
      <c r="A1914" s="9" t="s">
        <v>3903</v>
      </c>
      <c r="B1914" s="9" t="s">
        <v>18</v>
      </c>
      <c r="C1914" s="9" t="s">
        <v>184</v>
      </c>
      <c r="D1914" s="52">
        <v>46217</v>
      </c>
      <c r="E1914" s="48">
        <v>0.8041666666666667</v>
      </c>
      <c r="F1914" s="48">
        <v>0.81666666666666676</v>
      </c>
      <c r="G1914" s="43">
        <f>(F1914-E1914)*1440</f>
        <v>18.000000000000096</v>
      </c>
      <c r="H1914" s="9" t="s">
        <v>214</v>
      </c>
      <c r="I1914" s="9" t="s">
        <v>4567</v>
      </c>
      <c r="J1914" s="44">
        <v>8.91</v>
      </c>
      <c r="K1914" s="60">
        <v>11.93</v>
      </c>
      <c r="L1914" s="56">
        <v>8.77</v>
      </c>
      <c r="M1914" s="14">
        <f>K1914-L1914</f>
        <v>3.16</v>
      </c>
      <c r="N1914" s="15">
        <f>IFERROR(M1914/K1914,0)</f>
        <v>0.26487845766974016</v>
      </c>
      <c r="O1914" s="14">
        <f>IFERROR(L1914/J1914,0)</f>
        <v>0.98428731762065091</v>
      </c>
      <c r="P1914" s="14">
        <f>IFERROR(L1914/G1914,0)</f>
        <v>0.48722222222221961</v>
      </c>
    </row>
    <row r="1915" spans="1:18" x14ac:dyDescent="0.3">
      <c r="A1915" s="9" t="s">
        <v>3904</v>
      </c>
      <c r="B1915" s="9" t="s">
        <v>18</v>
      </c>
      <c r="C1915" s="9" t="s">
        <v>196</v>
      </c>
      <c r="D1915" s="52">
        <v>46217</v>
      </c>
      <c r="E1915" s="48">
        <v>0.8208333333333333</v>
      </c>
      <c r="F1915" s="48">
        <v>0.82986111111111116</v>
      </c>
      <c r="G1915" s="43">
        <f>(F1915-E1915)*1440</f>
        <v>13.000000000000114</v>
      </c>
      <c r="H1915" s="9" t="s">
        <v>4568</v>
      </c>
      <c r="I1915" s="9" t="s">
        <v>1956</v>
      </c>
      <c r="J1915" s="44">
        <v>8.73</v>
      </c>
      <c r="K1915" s="60">
        <v>7.98</v>
      </c>
      <c r="L1915" s="56">
        <v>5.65</v>
      </c>
      <c r="M1915" s="14">
        <f>K1915-L1915</f>
        <v>2.33</v>
      </c>
      <c r="N1915" s="15">
        <f>IFERROR(M1915/K1915,0)</f>
        <v>0.29197994987468673</v>
      </c>
      <c r="O1915" s="14">
        <f>IFERROR(L1915/J1915,0)</f>
        <v>0.64719358533791527</v>
      </c>
      <c r="P1915" s="14">
        <f>IFERROR(L1915/G1915,0)</f>
        <v>0.43461538461538085</v>
      </c>
    </row>
    <row r="1916" spans="1:18" x14ac:dyDescent="0.3">
      <c r="A1916" s="9" t="s">
        <v>3905</v>
      </c>
      <c r="B1916" s="9" t="s">
        <v>18</v>
      </c>
      <c r="C1916" s="9" t="s">
        <v>184</v>
      </c>
      <c r="D1916" s="52">
        <v>46217</v>
      </c>
      <c r="E1916" s="48">
        <v>0.83124999999999993</v>
      </c>
      <c r="F1916" s="48">
        <v>0.84097222222222223</v>
      </c>
      <c r="G1916" s="43">
        <f>(F1916-E1916)*1440</f>
        <v>14.00000000000011</v>
      </c>
      <c r="H1916" s="9" t="s">
        <v>1956</v>
      </c>
      <c r="I1916" s="9" t="s">
        <v>261</v>
      </c>
      <c r="J1916" s="44">
        <v>7.69</v>
      </c>
      <c r="K1916" s="60">
        <v>7.94</v>
      </c>
      <c r="L1916" s="56">
        <v>5.54</v>
      </c>
      <c r="M1916" s="14">
        <f>K1916-L1916</f>
        <v>2.4000000000000004</v>
      </c>
      <c r="N1916" s="15">
        <f>IFERROR(M1916/K1916,0)</f>
        <v>0.30226700251889171</v>
      </c>
      <c r="O1916" s="14">
        <f>IFERROR(L1916/J1916,0)</f>
        <v>0.72041612483745121</v>
      </c>
      <c r="P1916" s="14">
        <f>IFERROR(L1916/G1916,0)</f>
        <v>0.39571428571428258</v>
      </c>
    </row>
    <row r="1917" spans="1:18" x14ac:dyDescent="0.3">
      <c r="A1917" s="9" t="s">
        <v>3906</v>
      </c>
      <c r="B1917" s="9" t="s">
        <v>18</v>
      </c>
      <c r="C1917" s="9" t="s">
        <v>196</v>
      </c>
      <c r="D1917" s="52">
        <v>46219</v>
      </c>
      <c r="E1917" s="48">
        <v>0.56597222222222221</v>
      </c>
      <c r="F1917" s="48">
        <v>0.56805555555555554</v>
      </c>
      <c r="G1917" s="43">
        <f>(F1917-E1917)*1440</f>
        <v>2.9999999999999893</v>
      </c>
      <c r="H1917" s="9" t="s">
        <v>1765</v>
      </c>
      <c r="I1917" s="9" t="s">
        <v>4569</v>
      </c>
      <c r="J1917" s="44">
        <v>1.49</v>
      </c>
      <c r="K1917" s="60">
        <v>4.97</v>
      </c>
      <c r="L1917" s="56">
        <v>3.85</v>
      </c>
      <c r="M1917" s="14">
        <f>K1917-L1917</f>
        <v>1.1199999999999997</v>
      </c>
      <c r="N1917" s="15">
        <f>IFERROR(M1917/K1917,0)</f>
        <v>0.22535211267605629</v>
      </c>
      <c r="O1917" s="14">
        <f>IFERROR(L1917/J1917,0)</f>
        <v>2.5838926174496644</v>
      </c>
      <c r="P1917" s="14">
        <f>IFERROR(L1917/G1917,0)</f>
        <v>1.2833333333333379</v>
      </c>
    </row>
    <row r="1918" spans="1:18" x14ac:dyDescent="0.3">
      <c r="A1918" s="9" t="s">
        <v>3907</v>
      </c>
      <c r="B1918" s="9" t="s">
        <v>18</v>
      </c>
      <c r="C1918" s="9" t="s">
        <v>196</v>
      </c>
      <c r="D1918" s="52">
        <v>46219</v>
      </c>
      <c r="E1918" s="48">
        <v>0.58194444444444449</v>
      </c>
      <c r="F1918" s="48">
        <v>0.58958333333333335</v>
      </c>
      <c r="G1918" s="43">
        <f>(F1918-E1918)*1440</f>
        <v>10.999999999999961</v>
      </c>
      <c r="H1918" s="9" t="s">
        <v>2469</v>
      </c>
      <c r="I1918" s="9" t="s">
        <v>4570</v>
      </c>
      <c r="J1918" s="44">
        <v>5.07</v>
      </c>
      <c r="K1918" s="60">
        <v>5.98</v>
      </c>
      <c r="L1918" s="56">
        <v>3.89</v>
      </c>
      <c r="M1918" s="14">
        <f>K1918-L1918</f>
        <v>2.0900000000000003</v>
      </c>
      <c r="N1918" s="15">
        <f>IFERROR(M1918/K1918,0)</f>
        <v>0.34949832775919737</v>
      </c>
      <c r="O1918" s="14">
        <f>IFERROR(L1918/J1918,0)</f>
        <v>0.76725838264299806</v>
      </c>
      <c r="P1918" s="14">
        <f>IFERROR(L1918/G1918,0)</f>
        <v>0.35363636363636491</v>
      </c>
    </row>
    <row r="1919" spans="1:18" x14ac:dyDescent="0.3">
      <c r="A1919" s="9" t="s">
        <v>3908</v>
      </c>
      <c r="B1919" s="9" t="s">
        <v>18</v>
      </c>
      <c r="C1919" s="9" t="s">
        <v>196</v>
      </c>
      <c r="D1919" s="52">
        <v>46219</v>
      </c>
      <c r="E1919" s="48">
        <v>0.59930555555555554</v>
      </c>
      <c r="F1919" s="48">
        <v>0.60625000000000007</v>
      </c>
      <c r="G1919" s="43">
        <f>(F1919-E1919)*1440</f>
        <v>10.000000000000124</v>
      </c>
      <c r="H1919" s="9" t="s">
        <v>4571</v>
      </c>
      <c r="I1919" s="9" t="s">
        <v>1168</v>
      </c>
      <c r="J1919" s="44">
        <v>4.0599999999999996</v>
      </c>
      <c r="K1919" s="60">
        <v>5.79</v>
      </c>
      <c r="L1919" s="56">
        <v>3.67</v>
      </c>
      <c r="M1919" s="14">
        <f>K1919-L1919</f>
        <v>2.12</v>
      </c>
      <c r="N1919" s="15">
        <f>IFERROR(M1919/K1919,0)</f>
        <v>0.36614853195164077</v>
      </c>
      <c r="O1919" s="14">
        <f>IFERROR(L1919/J1919,0)</f>
        <v>0.90394088669950745</v>
      </c>
      <c r="P1919" s="14">
        <f>IFERROR(L1919/G1919,0)</f>
        <v>0.36699999999999544</v>
      </c>
    </row>
    <row r="1920" spans="1:18" x14ac:dyDescent="0.3">
      <c r="A1920" s="9" t="s">
        <v>3909</v>
      </c>
      <c r="B1920" s="9" t="s">
        <v>18</v>
      </c>
      <c r="C1920" s="9" t="s">
        <v>184</v>
      </c>
      <c r="D1920" s="52">
        <v>46219</v>
      </c>
      <c r="E1920" s="48">
        <v>0.61527777777777781</v>
      </c>
      <c r="F1920" s="48">
        <v>0.62986111111111109</v>
      </c>
      <c r="G1920" s="43">
        <f>(F1920-E1920)*1440</f>
        <v>20.999999999999925</v>
      </c>
      <c r="H1920" s="9" t="s">
        <v>4572</v>
      </c>
      <c r="I1920" s="9" t="s">
        <v>4573</v>
      </c>
      <c r="J1920" s="44">
        <v>10.58</v>
      </c>
      <c r="K1920" s="60">
        <v>7.95</v>
      </c>
      <c r="L1920" s="56">
        <v>5.89</v>
      </c>
      <c r="M1920" s="14">
        <f>K1920-L1920</f>
        <v>2.0600000000000005</v>
      </c>
      <c r="N1920" s="15">
        <f>IFERROR(M1920/K1920,0)</f>
        <v>0.25911949685534597</v>
      </c>
      <c r="O1920" s="14">
        <f>IFERROR(L1920/J1920,0)</f>
        <v>0.55671077504725897</v>
      </c>
      <c r="P1920" s="14">
        <f>IFERROR(L1920/G1920,0)</f>
        <v>0.28047619047619143</v>
      </c>
    </row>
    <row r="1921" spans="1:18" x14ac:dyDescent="0.3">
      <c r="A1921" s="9" t="s">
        <v>3910</v>
      </c>
      <c r="B1921" s="9" t="s">
        <v>18</v>
      </c>
      <c r="C1921" s="9" t="s">
        <v>196</v>
      </c>
      <c r="D1921" s="52">
        <v>46219</v>
      </c>
      <c r="E1921" s="48">
        <v>0.63402777777777775</v>
      </c>
      <c r="F1921" s="48">
        <v>0.64236111111111105</v>
      </c>
      <c r="G1921" s="43">
        <f>(F1921-E1921)*1440</f>
        <v>11.999999999999957</v>
      </c>
      <c r="H1921" s="9" t="s">
        <v>2627</v>
      </c>
      <c r="I1921" s="9" t="s">
        <v>214</v>
      </c>
      <c r="J1921" s="44">
        <v>3.27</v>
      </c>
      <c r="K1921" s="60">
        <v>4.9800000000000004</v>
      </c>
      <c r="L1921" s="56">
        <v>3.67</v>
      </c>
      <c r="M1921" s="14">
        <f>K1921-L1921</f>
        <v>1.3100000000000005</v>
      </c>
      <c r="N1921" s="15">
        <f>IFERROR(M1921/K1921,0)</f>
        <v>0.26305220883534142</v>
      </c>
      <c r="O1921" s="14">
        <f>IFERROR(L1921/J1921,0)</f>
        <v>1.1223241590214068</v>
      </c>
      <c r="P1921" s="14">
        <f>IFERROR(L1921/G1921,0)</f>
        <v>0.3058333333333344</v>
      </c>
    </row>
    <row r="1922" spans="1:18" x14ac:dyDescent="0.3">
      <c r="A1922" s="9" t="s">
        <v>3911</v>
      </c>
      <c r="B1922" s="9" t="s">
        <v>18</v>
      </c>
      <c r="C1922" s="9" t="s">
        <v>196</v>
      </c>
      <c r="D1922" s="52">
        <v>46219</v>
      </c>
      <c r="E1922" s="48">
        <v>0.65694444444444444</v>
      </c>
      <c r="F1922" s="48">
        <v>0.6645833333333333</v>
      </c>
      <c r="G1922" s="43">
        <f>(F1922-E1922)*1440</f>
        <v>10.999999999999961</v>
      </c>
      <c r="H1922" s="9" t="s">
        <v>674</v>
      </c>
      <c r="I1922" s="9" t="s">
        <v>4574</v>
      </c>
      <c r="J1922" s="44">
        <v>9.2100000000000009</v>
      </c>
      <c r="K1922" s="60">
        <v>6.98</v>
      </c>
      <c r="L1922" s="56">
        <v>5.03</v>
      </c>
      <c r="M1922" s="14">
        <f>K1922-L1922</f>
        <v>1.9500000000000002</v>
      </c>
      <c r="N1922" s="15">
        <f>IFERROR(M1922/K1922,0)</f>
        <v>0.27936962750716332</v>
      </c>
      <c r="O1922" s="14">
        <f>IFERROR(L1922/J1922,0)</f>
        <v>0.54614549402823021</v>
      </c>
      <c r="P1922" s="14">
        <f>IFERROR(L1922/G1922,0)</f>
        <v>0.45727272727272894</v>
      </c>
    </row>
    <row r="1923" spans="1:18" x14ac:dyDescent="0.3">
      <c r="A1923" s="9" t="s">
        <v>3912</v>
      </c>
      <c r="B1923" s="9" t="s">
        <v>18</v>
      </c>
      <c r="C1923" s="9" t="s">
        <v>184</v>
      </c>
      <c r="D1923" s="52">
        <v>46219</v>
      </c>
      <c r="E1923" s="48">
        <v>0.7006944444444444</v>
      </c>
      <c r="F1923" s="48">
        <v>0.71111111111111114</v>
      </c>
      <c r="G1923" s="43">
        <f>(F1923-E1923)*1440</f>
        <v>15.000000000000107</v>
      </c>
      <c r="H1923" s="9" t="s">
        <v>4575</v>
      </c>
      <c r="I1923" s="9" t="s">
        <v>4576</v>
      </c>
      <c r="J1923" s="44">
        <v>7.62</v>
      </c>
      <c r="K1923" s="60">
        <v>7.93</v>
      </c>
      <c r="L1923" s="56">
        <v>5.95</v>
      </c>
      <c r="M1923" s="14">
        <f>K1923-L1923</f>
        <v>1.9799999999999995</v>
      </c>
      <c r="N1923" s="15">
        <f>IFERROR(M1923/K1923,0)</f>
        <v>0.24968474148802014</v>
      </c>
      <c r="O1923" s="14">
        <f>IFERROR(L1923/J1923,0)</f>
        <v>0.78083989501312334</v>
      </c>
      <c r="P1923" s="14">
        <f>IFERROR(L1923/G1923,0)</f>
        <v>0.39666666666666384</v>
      </c>
    </row>
    <row r="1924" spans="1:18" x14ac:dyDescent="0.3">
      <c r="A1924" s="9" t="s">
        <v>3913</v>
      </c>
      <c r="B1924" s="9" t="s">
        <v>18</v>
      </c>
      <c r="C1924" s="9" t="s">
        <v>184</v>
      </c>
      <c r="D1924" s="52">
        <v>46219</v>
      </c>
      <c r="E1924" s="48">
        <v>0.7319444444444444</v>
      </c>
      <c r="F1924" s="48">
        <v>0.74444444444444446</v>
      </c>
      <c r="G1924" s="43">
        <f>(F1924-E1924)*1440</f>
        <v>18.000000000000096</v>
      </c>
      <c r="H1924" s="9" t="s">
        <v>536</v>
      </c>
      <c r="I1924" s="9" t="s">
        <v>4577</v>
      </c>
      <c r="J1924" s="44">
        <v>6.86</v>
      </c>
      <c r="K1924" s="60">
        <v>11.95</v>
      </c>
      <c r="L1924" s="56">
        <v>9.17</v>
      </c>
      <c r="M1924" s="14">
        <f>K1924-L1924</f>
        <v>2.7799999999999994</v>
      </c>
      <c r="N1924" s="15">
        <f>IFERROR(M1924/K1924,0)</f>
        <v>0.2326359832635983</v>
      </c>
      <c r="O1924" s="14">
        <f>IFERROR(L1924/J1924,0)</f>
        <v>1.3367346938775508</v>
      </c>
      <c r="P1924" s="14">
        <f>IFERROR(L1924/G1924,0)</f>
        <v>0.5094444444444417</v>
      </c>
    </row>
    <row r="1925" spans="1:18" x14ac:dyDescent="0.3">
      <c r="A1925" s="9" t="s">
        <v>3914</v>
      </c>
      <c r="B1925" s="9" t="s">
        <v>18</v>
      </c>
      <c r="C1925" s="9" t="s">
        <v>184</v>
      </c>
      <c r="D1925" s="52">
        <v>46219</v>
      </c>
      <c r="E1925" s="48">
        <v>0.8534722222222223</v>
      </c>
      <c r="F1925" s="48">
        <v>0.86319444444444438</v>
      </c>
      <c r="G1925" s="43">
        <f>(F1925-E1925)*1440</f>
        <v>13.99999999999979</v>
      </c>
      <c r="H1925" s="9" t="s">
        <v>261</v>
      </c>
      <c r="I1925" s="9" t="s">
        <v>4295</v>
      </c>
      <c r="J1925" s="44">
        <v>12.52</v>
      </c>
      <c r="K1925" s="60">
        <v>7.95</v>
      </c>
      <c r="L1925" s="56">
        <v>5.44</v>
      </c>
      <c r="M1925" s="14">
        <f>K1925-L1925</f>
        <v>2.5099999999999998</v>
      </c>
      <c r="N1925" s="15">
        <f>IFERROR(M1925/K1925,0)</f>
        <v>0.31572327044025156</v>
      </c>
      <c r="O1925" s="14">
        <f>IFERROR(L1925/J1925,0)</f>
        <v>0.43450479233226841</v>
      </c>
      <c r="P1925" s="14">
        <f>IFERROR(L1925/G1925,0)</f>
        <v>0.3885714285714344</v>
      </c>
    </row>
    <row r="1926" spans="1:18" x14ac:dyDescent="0.3">
      <c r="A1926" s="9" t="s">
        <v>3915</v>
      </c>
      <c r="B1926" s="9" t="s">
        <v>26</v>
      </c>
      <c r="C1926" s="9" t="s">
        <v>26</v>
      </c>
      <c r="D1926" s="52">
        <v>46219</v>
      </c>
      <c r="E1926" s="48">
        <v>0.57777777777777783</v>
      </c>
      <c r="F1926" s="48">
        <v>0.58472222222222225</v>
      </c>
      <c r="G1926" s="43">
        <f>(F1926-E1926)*1440</f>
        <v>9.9999999999999645</v>
      </c>
      <c r="H1926" s="9" t="s">
        <v>4578</v>
      </c>
      <c r="I1926" s="9" t="s">
        <v>4579</v>
      </c>
      <c r="J1926" s="44">
        <v>6</v>
      </c>
      <c r="K1926" s="60">
        <v>4.9000000000000004</v>
      </c>
      <c r="L1926" s="56">
        <v>4.22</v>
      </c>
      <c r="M1926" s="14">
        <f>K1926-L1926</f>
        <v>0.6800000000000006</v>
      </c>
      <c r="N1926" s="15">
        <f>IFERROR(M1926/K1926,0)</f>
        <v>0.13877551020408174</v>
      </c>
      <c r="O1926" s="14">
        <f>IFERROR(L1926/J1926,0)</f>
        <v>0.70333333333333325</v>
      </c>
      <c r="P1926" s="14">
        <f>IFERROR(L1926/G1926,0)</f>
        <v>0.42200000000000149</v>
      </c>
    </row>
    <row r="1927" spans="1:18" x14ac:dyDescent="0.3">
      <c r="A1927" s="9" t="s">
        <v>3916</v>
      </c>
      <c r="B1927" s="9" t="s">
        <v>26</v>
      </c>
      <c r="C1927" s="9" t="s">
        <v>26</v>
      </c>
      <c r="D1927" s="52">
        <v>46219</v>
      </c>
      <c r="E1927" s="48">
        <v>0.64861111111111114</v>
      </c>
      <c r="F1927" s="48">
        <v>0.65902777777777777</v>
      </c>
      <c r="G1927" s="43">
        <f>(F1927-E1927)*1440</f>
        <v>14.999999999999947</v>
      </c>
      <c r="H1927" s="9" t="s">
        <v>2850</v>
      </c>
      <c r="I1927" s="9" t="s">
        <v>4580</v>
      </c>
      <c r="J1927" s="44">
        <v>8.4</v>
      </c>
      <c r="K1927" s="60">
        <v>7.34</v>
      </c>
      <c r="L1927" s="56">
        <v>5.5</v>
      </c>
      <c r="M1927" s="14">
        <f>K1927-L1927</f>
        <v>1.8399999999999999</v>
      </c>
      <c r="N1927" s="15">
        <f>IFERROR(M1927/K1927,0)</f>
        <v>0.25068119891008173</v>
      </c>
      <c r="O1927" s="14">
        <f>IFERROR(L1927/J1927,0)</f>
        <v>0.65476190476190477</v>
      </c>
      <c r="P1927" s="14">
        <f>IFERROR(L1927/G1927,0)</f>
        <v>0.36666666666666797</v>
      </c>
    </row>
    <row r="1928" spans="1:18" x14ac:dyDescent="0.3">
      <c r="A1928" s="9" t="s">
        <v>3917</v>
      </c>
      <c r="B1928" s="9" t="s">
        <v>26</v>
      </c>
      <c r="C1928" s="9" t="s">
        <v>27</v>
      </c>
      <c r="D1928" s="52">
        <v>46219</v>
      </c>
      <c r="E1928" s="48">
        <v>0.68333333333333324</v>
      </c>
      <c r="F1928" s="48">
        <v>0.69374999999999998</v>
      </c>
      <c r="G1928" s="43">
        <f>(F1928-E1928)*1440</f>
        <v>15.000000000000107</v>
      </c>
      <c r="H1928" s="9" t="s">
        <v>4581</v>
      </c>
      <c r="I1928" s="9" t="s">
        <v>214</v>
      </c>
      <c r="J1928" s="44">
        <v>8.6999999999999993</v>
      </c>
      <c r="K1928" s="60">
        <v>6.36</v>
      </c>
      <c r="L1928" s="56">
        <v>4.7699999999999996</v>
      </c>
      <c r="M1928" s="14">
        <f>K1928-L1928</f>
        <v>1.5900000000000007</v>
      </c>
      <c r="N1928" s="15">
        <f>IFERROR(M1928/K1928,0)</f>
        <v>0.25000000000000011</v>
      </c>
      <c r="O1928" s="14">
        <f>IFERROR(L1928/J1928,0)</f>
        <v>0.5482758620689655</v>
      </c>
      <c r="P1928" s="14">
        <f>IFERROR(L1928/G1928,0)</f>
        <v>0.31799999999999773</v>
      </c>
    </row>
    <row r="1929" spans="1:18" x14ac:dyDescent="0.3">
      <c r="A1929" s="9" t="s">
        <v>3918</v>
      </c>
      <c r="B1929" s="9" t="s">
        <v>26</v>
      </c>
      <c r="C1929" s="9" t="s">
        <v>26</v>
      </c>
      <c r="D1929" s="52">
        <v>46219</v>
      </c>
      <c r="E1929" s="48">
        <v>0.72430555555555554</v>
      </c>
      <c r="F1929" s="48">
        <v>0.72916666666666663</v>
      </c>
      <c r="G1929" s="43">
        <f>(F1929-E1929)*1440</f>
        <v>6.9999999999999751</v>
      </c>
      <c r="H1929" s="9" t="s">
        <v>698</v>
      </c>
      <c r="I1929" s="9" t="s">
        <v>729</v>
      </c>
      <c r="J1929" s="44">
        <v>3.4</v>
      </c>
      <c r="K1929" s="60">
        <v>6.33</v>
      </c>
      <c r="L1929" s="56">
        <v>5.56</v>
      </c>
      <c r="M1929" s="14">
        <f>K1929-L1929</f>
        <v>0.77000000000000046</v>
      </c>
      <c r="N1929" s="15">
        <f>IFERROR(M1929/K1929,0)</f>
        <v>0.12164296998420228</v>
      </c>
      <c r="O1929" s="14">
        <f>IFERROR(L1929/J1929,0)</f>
        <v>1.6352941176470588</v>
      </c>
      <c r="P1929" s="14">
        <f>IFERROR(L1929/G1929,0)</f>
        <v>0.79428571428571704</v>
      </c>
      <c r="R1929" s="57">
        <v>1.56</v>
      </c>
    </row>
    <row r="1930" spans="1:18" x14ac:dyDescent="0.3">
      <c r="A1930" s="9" t="s">
        <v>3919</v>
      </c>
      <c r="B1930" s="9" t="s">
        <v>26</v>
      </c>
      <c r="C1930" s="9" t="s">
        <v>27</v>
      </c>
      <c r="D1930" s="52">
        <v>46219</v>
      </c>
      <c r="E1930" s="48">
        <v>0.75624999999999998</v>
      </c>
      <c r="F1930" s="48">
        <v>0.76736111111111116</v>
      </c>
      <c r="G1930" s="43">
        <f>(F1930-E1930)*1440</f>
        <v>16.000000000000103</v>
      </c>
      <c r="H1930" s="9" t="s">
        <v>4582</v>
      </c>
      <c r="I1930" s="9" t="s">
        <v>885</v>
      </c>
      <c r="J1930" s="44">
        <v>5.4</v>
      </c>
      <c r="K1930" s="60">
        <v>6.54</v>
      </c>
      <c r="L1930" s="56">
        <v>5.39</v>
      </c>
      <c r="M1930" s="14">
        <f>K1930-L1930</f>
        <v>1.1500000000000004</v>
      </c>
      <c r="N1930" s="15">
        <f>IFERROR(M1930/K1930,0)</f>
        <v>0.17584097859327222</v>
      </c>
      <c r="O1930" s="14">
        <f>IFERROR(L1930/J1930,0)</f>
        <v>0.99814814814814801</v>
      </c>
      <c r="P1930" s="14">
        <f>IFERROR(L1930/G1930,0)</f>
        <v>0.33687499999999782</v>
      </c>
    </row>
    <row r="1931" spans="1:18" x14ac:dyDescent="0.3">
      <c r="A1931" s="9" t="s">
        <v>3920</v>
      </c>
      <c r="B1931" s="9" t="s">
        <v>26</v>
      </c>
      <c r="C1931" s="9" t="s">
        <v>26</v>
      </c>
      <c r="D1931" s="52">
        <v>46219</v>
      </c>
      <c r="E1931" s="48">
        <v>0.77083333333333337</v>
      </c>
      <c r="F1931" s="48">
        <v>0.78263888888888899</v>
      </c>
      <c r="G1931" s="43">
        <f>(F1931-E1931)*1440</f>
        <v>17.000000000000099</v>
      </c>
      <c r="H1931" s="9" t="s">
        <v>1247</v>
      </c>
      <c r="I1931" s="9" t="s">
        <v>4583</v>
      </c>
      <c r="J1931" s="44">
        <v>8.1</v>
      </c>
      <c r="K1931" s="60">
        <v>7.51</v>
      </c>
      <c r="L1931" s="56">
        <v>5.99</v>
      </c>
      <c r="M1931" s="14">
        <f>K1931-L1931</f>
        <v>1.5199999999999996</v>
      </c>
      <c r="N1931" s="15">
        <f>IFERROR(M1931/K1931,0)</f>
        <v>0.2023968042609853</v>
      </c>
      <c r="O1931" s="14">
        <f>IFERROR(L1931/J1931,0)</f>
        <v>0.73950617283950626</v>
      </c>
      <c r="P1931" s="14">
        <f>IFERROR(L1931/G1931,0)</f>
        <v>0.35235294117646854</v>
      </c>
    </row>
    <row r="1932" spans="1:18" x14ac:dyDescent="0.3">
      <c r="A1932" s="9" t="s">
        <v>3921</v>
      </c>
      <c r="B1932" s="9" t="s">
        <v>26</v>
      </c>
      <c r="C1932" s="9" t="s">
        <v>26</v>
      </c>
      <c r="D1932" s="52">
        <v>46219</v>
      </c>
      <c r="E1932" s="48">
        <v>0.82708333333333339</v>
      </c>
      <c r="F1932" s="48">
        <v>0.83888888888888891</v>
      </c>
      <c r="G1932" s="43">
        <f>(F1932-E1932)*1440</f>
        <v>16.99999999999994</v>
      </c>
      <c r="H1932" s="9" t="s">
        <v>4584</v>
      </c>
      <c r="I1932" s="9" t="s">
        <v>1120</v>
      </c>
      <c r="J1932" s="44">
        <v>15.7</v>
      </c>
      <c r="K1932" s="60">
        <v>7.93</v>
      </c>
      <c r="L1932" s="56">
        <v>7.43</v>
      </c>
      <c r="M1932" s="14">
        <f>K1932-L1932</f>
        <v>0.5</v>
      </c>
      <c r="N1932" s="15">
        <f>IFERROR(M1932/K1932,0)</f>
        <v>6.3051702395964693E-2</v>
      </c>
      <c r="O1932" s="14">
        <f>IFERROR(L1932/J1932,0)</f>
        <v>0.47324840764331211</v>
      </c>
      <c r="P1932" s="14">
        <f>IFERROR(L1932/G1932,0)</f>
        <v>0.43705882352941328</v>
      </c>
    </row>
    <row r="1933" spans="1:18" x14ac:dyDescent="0.3">
      <c r="A1933" s="9" t="s">
        <v>3922</v>
      </c>
      <c r="B1933" s="9" t="s">
        <v>26</v>
      </c>
      <c r="C1933" s="9" t="s">
        <v>26</v>
      </c>
      <c r="D1933" s="52">
        <v>46219</v>
      </c>
      <c r="E1933" s="48">
        <v>0.84236111111111101</v>
      </c>
      <c r="F1933" s="48">
        <v>0.85416666666666663</v>
      </c>
      <c r="G1933" s="43">
        <f>(F1933-E1933)*1440</f>
        <v>17.000000000000099</v>
      </c>
      <c r="H1933" s="9" t="s">
        <v>1120</v>
      </c>
      <c r="I1933" s="9" t="s">
        <v>530</v>
      </c>
      <c r="J1933" s="44">
        <v>3.3</v>
      </c>
      <c r="K1933" s="60">
        <v>6.96</v>
      </c>
      <c r="L1933" s="56">
        <v>5.6</v>
      </c>
      <c r="M1933" s="14">
        <f>K1933-L1933</f>
        <v>1.3600000000000003</v>
      </c>
      <c r="N1933" s="15">
        <f>IFERROR(M1933/K1933,0)</f>
        <v>0.19540229885057475</v>
      </c>
      <c r="O1933" s="14">
        <f>IFERROR(L1933/J1933,0)</f>
        <v>1.696969696969697</v>
      </c>
      <c r="P1933" s="14">
        <f>IFERROR(L1933/G1933,0)</f>
        <v>0.32941176470588041</v>
      </c>
    </row>
    <row r="1934" spans="1:18" x14ac:dyDescent="0.3">
      <c r="A1934" s="9" t="s">
        <v>3923</v>
      </c>
      <c r="B1934" s="9" t="s">
        <v>26</v>
      </c>
      <c r="C1934" s="9" t="s">
        <v>26</v>
      </c>
      <c r="D1934" s="52">
        <v>46220</v>
      </c>
      <c r="E1934" s="48">
        <v>0.69444444444444453</v>
      </c>
      <c r="F1934" s="48">
        <v>0.70486111111111116</v>
      </c>
      <c r="G1934" s="43">
        <f>(F1934-E1934)*1440</f>
        <v>14.999999999999947</v>
      </c>
      <c r="H1934" s="9" t="s">
        <v>2560</v>
      </c>
      <c r="I1934" s="9" t="s">
        <v>4585</v>
      </c>
      <c r="J1934" s="44">
        <v>7.3</v>
      </c>
      <c r="K1934" s="60">
        <v>6.94</v>
      </c>
      <c r="L1934" s="56">
        <v>6.51</v>
      </c>
      <c r="M1934" s="14">
        <f>K1934-L1934</f>
        <v>0.4300000000000006</v>
      </c>
      <c r="N1934" s="15">
        <f>IFERROR(M1934/K1934,0)</f>
        <v>6.1959654178674432E-2</v>
      </c>
      <c r="O1934" s="14">
        <f>IFERROR(L1934/J1934,0)</f>
        <v>0.89178082191780816</v>
      </c>
      <c r="P1934" s="14">
        <f>IFERROR(L1934/G1934,0)</f>
        <v>0.43400000000000155</v>
      </c>
    </row>
    <row r="1935" spans="1:18" x14ac:dyDescent="0.3">
      <c r="A1935" s="9" t="s">
        <v>3924</v>
      </c>
      <c r="B1935" s="9" t="s">
        <v>26</v>
      </c>
      <c r="C1935" s="9" t="s">
        <v>26</v>
      </c>
      <c r="D1935" s="52">
        <v>46220</v>
      </c>
      <c r="E1935" s="48">
        <v>0.77222222222222225</v>
      </c>
      <c r="F1935" s="48">
        <v>0.78125</v>
      </c>
      <c r="G1935" s="43">
        <f>(F1935-E1935)*1440</f>
        <v>12.999999999999954</v>
      </c>
      <c r="H1935" s="9" t="s">
        <v>4586</v>
      </c>
      <c r="I1935" s="9" t="s">
        <v>4587</v>
      </c>
      <c r="J1935" s="44">
        <v>6.6</v>
      </c>
      <c r="K1935" s="60">
        <v>5.13</v>
      </c>
      <c r="L1935" s="56">
        <v>4.09</v>
      </c>
      <c r="M1935" s="14">
        <f>K1935-L1935</f>
        <v>1.04</v>
      </c>
      <c r="N1935" s="15">
        <f>IFERROR(M1935/K1935,0)</f>
        <v>0.20272904483430801</v>
      </c>
      <c r="O1935" s="14">
        <f>IFERROR(L1935/J1935,0)</f>
        <v>0.61969696969696975</v>
      </c>
      <c r="P1935" s="14">
        <f>IFERROR(L1935/G1935,0)</f>
        <v>0.31461538461538574</v>
      </c>
    </row>
    <row r="1936" spans="1:18" x14ac:dyDescent="0.3">
      <c r="A1936" s="9" t="s">
        <v>3925</v>
      </c>
      <c r="B1936" s="9" t="s">
        <v>18</v>
      </c>
      <c r="C1936" s="9" t="s">
        <v>184</v>
      </c>
      <c r="D1936" s="52">
        <v>46220</v>
      </c>
      <c r="E1936" s="48">
        <v>0.55625000000000002</v>
      </c>
      <c r="F1936" s="48">
        <v>0.56805555555555554</v>
      </c>
      <c r="G1936" s="43">
        <f>(F1936-E1936)*1440</f>
        <v>16.99999999999994</v>
      </c>
      <c r="H1936" s="9" t="s">
        <v>4588</v>
      </c>
      <c r="I1936" s="9" t="s">
        <v>1207</v>
      </c>
      <c r="J1936" s="44">
        <v>12.29</v>
      </c>
      <c r="K1936" s="60">
        <v>7.99</v>
      </c>
      <c r="L1936" s="56">
        <v>5.32</v>
      </c>
      <c r="M1936" s="14">
        <f>K1936-L1936</f>
        <v>2.67</v>
      </c>
      <c r="N1936" s="15">
        <f>IFERROR(M1936/K1936,0)</f>
        <v>0.33416770963704628</v>
      </c>
      <c r="O1936" s="14">
        <f>IFERROR(L1936/J1936,0)</f>
        <v>0.43287225386493089</v>
      </c>
      <c r="P1936" s="14">
        <f>IFERROR(L1936/G1936,0)</f>
        <v>0.31294117647058939</v>
      </c>
    </row>
    <row r="1937" spans="1:16" x14ac:dyDescent="0.3">
      <c r="A1937" s="9" t="s">
        <v>3926</v>
      </c>
      <c r="B1937" s="9" t="s">
        <v>18</v>
      </c>
      <c r="C1937" s="9" t="s">
        <v>184</v>
      </c>
      <c r="D1937" s="52">
        <v>46220</v>
      </c>
      <c r="E1937" s="48">
        <v>0.57152777777777775</v>
      </c>
      <c r="F1937" s="48">
        <v>0.57361111111111118</v>
      </c>
      <c r="G1937" s="43">
        <f>(F1937-E1937)*1440</f>
        <v>3.0000000000001492</v>
      </c>
      <c r="H1937" s="9" t="s">
        <v>1207</v>
      </c>
      <c r="I1937" s="9" t="s">
        <v>4589</v>
      </c>
      <c r="J1937" s="44">
        <v>1.42</v>
      </c>
      <c r="K1937" s="60">
        <v>4.95</v>
      </c>
      <c r="L1937" s="56">
        <v>3.38</v>
      </c>
      <c r="M1937" s="14">
        <f>K1937-L1937</f>
        <v>1.5700000000000003</v>
      </c>
      <c r="N1937" s="15">
        <f>IFERROR(M1937/K1937,0)</f>
        <v>0.31717171717171722</v>
      </c>
      <c r="O1937" s="14">
        <f>IFERROR(L1937/J1937,0)</f>
        <v>2.380281690140845</v>
      </c>
      <c r="P1937" s="14">
        <f>IFERROR(L1937/G1937,0)</f>
        <v>1.1266666666666105</v>
      </c>
    </row>
    <row r="1938" spans="1:16" x14ac:dyDescent="0.3">
      <c r="A1938" s="9" t="s">
        <v>3927</v>
      </c>
      <c r="B1938" s="9" t="s">
        <v>18</v>
      </c>
      <c r="C1938" s="9" t="s">
        <v>196</v>
      </c>
      <c r="D1938" s="52">
        <v>46220</v>
      </c>
      <c r="E1938" s="48">
        <v>0.57708333333333328</v>
      </c>
      <c r="F1938" s="48">
        <v>0.58402777777777781</v>
      </c>
      <c r="G1938" s="43">
        <f>(F1938-E1938)*1440</f>
        <v>10.000000000000124</v>
      </c>
      <c r="H1938" s="9" t="s">
        <v>4590</v>
      </c>
      <c r="I1938" s="9" t="s">
        <v>4591</v>
      </c>
      <c r="J1938" s="44">
        <v>4.53</v>
      </c>
      <c r="K1938" s="60">
        <v>5.98</v>
      </c>
      <c r="L1938" s="56">
        <v>4.12</v>
      </c>
      <c r="M1938" s="14">
        <f>K1938-L1938</f>
        <v>1.8600000000000003</v>
      </c>
      <c r="N1938" s="15">
        <f>IFERROR(M1938/K1938,0)</f>
        <v>0.31103678929765888</v>
      </c>
      <c r="O1938" s="14">
        <f>IFERROR(L1938/J1938,0)</f>
        <v>0.90949227373068431</v>
      </c>
      <c r="P1938" s="14">
        <f>IFERROR(L1938/G1938,0)</f>
        <v>0.41199999999999487</v>
      </c>
    </row>
    <row r="1939" spans="1:16" x14ac:dyDescent="0.3">
      <c r="A1939" s="9" t="s">
        <v>3928</v>
      </c>
      <c r="B1939" s="9" t="s">
        <v>18</v>
      </c>
      <c r="C1939" s="9" t="s">
        <v>184</v>
      </c>
      <c r="D1939" s="52">
        <v>46220</v>
      </c>
      <c r="E1939" s="48">
        <v>0.58819444444444446</v>
      </c>
      <c r="F1939" s="48">
        <v>0.59513888888888888</v>
      </c>
      <c r="G1939" s="43">
        <f>(F1939-E1939)*1440</f>
        <v>9.9999999999999645</v>
      </c>
      <c r="H1939" s="9" t="s">
        <v>1959</v>
      </c>
      <c r="I1939" s="9" t="s">
        <v>1937</v>
      </c>
      <c r="J1939" s="44">
        <v>2.16</v>
      </c>
      <c r="K1939" s="60">
        <v>3.39</v>
      </c>
      <c r="L1939" s="56">
        <v>3.3</v>
      </c>
      <c r="M1939" s="14">
        <f>K1939-L1939</f>
        <v>9.0000000000000302E-2</v>
      </c>
      <c r="N1939" s="15">
        <f>IFERROR(M1939/K1939,0)</f>
        <v>2.6548672566371771E-2</v>
      </c>
      <c r="O1939" s="14">
        <f>IFERROR(L1939/J1939,0)</f>
        <v>1.5277777777777777</v>
      </c>
      <c r="P1939" s="14">
        <f>IFERROR(L1939/G1939,0)</f>
        <v>0.33000000000000118</v>
      </c>
    </row>
    <row r="1940" spans="1:16" x14ac:dyDescent="0.3">
      <c r="A1940" s="9" t="s">
        <v>3929</v>
      </c>
      <c r="B1940" s="9" t="s">
        <v>18</v>
      </c>
      <c r="C1940" s="9" t="s">
        <v>184</v>
      </c>
      <c r="D1940" s="52">
        <v>46220</v>
      </c>
      <c r="E1940" s="48">
        <v>0.59652777777777777</v>
      </c>
      <c r="F1940" s="48">
        <v>0.60138888888888886</v>
      </c>
      <c r="G1940" s="43">
        <f>(F1940-E1940)*1440</f>
        <v>6.9999999999999751</v>
      </c>
      <c r="H1940" s="9" t="s">
        <v>235</v>
      </c>
      <c r="I1940" s="9" t="s">
        <v>4592</v>
      </c>
      <c r="J1940" s="44">
        <v>1.4</v>
      </c>
      <c r="K1940" s="60">
        <v>6.96</v>
      </c>
      <c r="L1940" s="56">
        <v>5.78</v>
      </c>
      <c r="M1940" s="14">
        <f>K1940-L1940</f>
        <v>1.1799999999999997</v>
      </c>
      <c r="N1940" s="15">
        <f>IFERROR(M1940/K1940,0)</f>
        <v>0.16954022988505743</v>
      </c>
      <c r="O1940" s="14">
        <f>IFERROR(L1940/J1940,0)</f>
        <v>4.128571428571429</v>
      </c>
      <c r="P1940" s="14">
        <f>IFERROR(L1940/G1940,0)</f>
        <v>0.82571428571428873</v>
      </c>
    </row>
    <row r="1941" spans="1:16" x14ac:dyDescent="0.3">
      <c r="A1941" s="9" t="s">
        <v>3930</v>
      </c>
      <c r="B1941" s="9" t="s">
        <v>18</v>
      </c>
      <c r="C1941" s="9" t="s">
        <v>184</v>
      </c>
      <c r="D1941" s="52">
        <v>46220</v>
      </c>
      <c r="E1941" s="48">
        <v>0.60486111111111118</v>
      </c>
      <c r="F1941" s="48">
        <v>0.61319444444444449</v>
      </c>
      <c r="G1941" s="43">
        <f>(F1941-E1941)*1440</f>
        <v>11.999999999999957</v>
      </c>
      <c r="H1941" s="9" t="s">
        <v>566</v>
      </c>
      <c r="I1941" s="9" t="s">
        <v>1120</v>
      </c>
      <c r="J1941" s="44">
        <v>5.44</v>
      </c>
      <c r="K1941" s="60">
        <v>7.94</v>
      </c>
      <c r="L1941" s="56">
        <v>5.16</v>
      </c>
      <c r="M1941" s="14">
        <f>K1941-L1941</f>
        <v>2.7800000000000002</v>
      </c>
      <c r="N1941" s="15">
        <f>IFERROR(M1941/K1941,0)</f>
        <v>0.3501259445843829</v>
      </c>
      <c r="O1941" s="14">
        <f>IFERROR(L1941/J1941,0)</f>
        <v>0.94852941176470584</v>
      </c>
      <c r="P1941" s="14">
        <f>IFERROR(L1941/G1941,0)</f>
        <v>0.43000000000000155</v>
      </c>
    </row>
    <row r="1942" spans="1:16" x14ac:dyDescent="0.3">
      <c r="A1942" s="9" t="s">
        <v>3931</v>
      </c>
      <c r="B1942" s="9" t="s">
        <v>18</v>
      </c>
      <c r="C1942" s="9" t="s">
        <v>184</v>
      </c>
      <c r="D1942" s="52">
        <v>46220</v>
      </c>
      <c r="E1942" s="48">
        <v>0.61875000000000002</v>
      </c>
      <c r="F1942" s="48">
        <v>0.63611111111111118</v>
      </c>
      <c r="G1942" s="43">
        <f>(F1942-E1942)*1440</f>
        <v>25.000000000000071</v>
      </c>
      <c r="H1942" s="9" t="s">
        <v>1120</v>
      </c>
      <c r="I1942" s="9" t="s">
        <v>4593</v>
      </c>
      <c r="J1942" s="44">
        <v>14.86</v>
      </c>
      <c r="K1942" s="60">
        <v>14.01</v>
      </c>
      <c r="L1942" s="56">
        <v>8.42</v>
      </c>
      <c r="M1942" s="14">
        <f>K1942-L1942</f>
        <v>5.59</v>
      </c>
      <c r="N1942" s="15">
        <f>IFERROR(M1942/K1942,0)</f>
        <v>0.39900071377587437</v>
      </c>
      <c r="O1942" s="14">
        <f>IFERROR(L1942/J1942,0)</f>
        <v>0.56662180349932711</v>
      </c>
      <c r="P1942" s="14">
        <f>IFERROR(L1942/G1942,0)</f>
        <v>0.33679999999999904</v>
      </c>
    </row>
    <row r="1943" spans="1:16" x14ac:dyDescent="0.3">
      <c r="A1943" s="9" t="s">
        <v>3932</v>
      </c>
      <c r="B1943" s="9" t="s">
        <v>18</v>
      </c>
      <c r="C1943" s="9" t="s">
        <v>184</v>
      </c>
      <c r="D1943" s="52">
        <v>46220</v>
      </c>
      <c r="E1943" s="48">
        <v>0.65347222222222223</v>
      </c>
      <c r="F1943" s="48">
        <v>0.66180555555555554</v>
      </c>
      <c r="G1943" s="43">
        <f>(F1943-E1943)*1440</f>
        <v>11.999999999999957</v>
      </c>
      <c r="H1943" s="9" t="s">
        <v>4267</v>
      </c>
      <c r="I1943" s="9" t="s">
        <v>878</v>
      </c>
      <c r="J1943" s="44">
        <v>8.11</v>
      </c>
      <c r="K1943" s="60">
        <v>6.94</v>
      </c>
      <c r="L1943" s="56">
        <v>5.22</v>
      </c>
      <c r="M1943" s="14">
        <f>K1943-L1943</f>
        <v>1.7200000000000006</v>
      </c>
      <c r="N1943" s="15">
        <f>IFERROR(M1943/K1943,0)</f>
        <v>0.24783861671469748</v>
      </c>
      <c r="O1943" s="14">
        <f>IFERROR(L1943/J1943,0)</f>
        <v>0.64364981504315666</v>
      </c>
      <c r="P1943" s="14">
        <f>IFERROR(L1943/G1943,0)</f>
        <v>0.43500000000000155</v>
      </c>
    </row>
    <row r="1944" spans="1:16" x14ac:dyDescent="0.3">
      <c r="A1944" s="9" t="s">
        <v>3933</v>
      </c>
      <c r="B1944" s="9" t="s">
        <v>18</v>
      </c>
      <c r="C1944" s="9" t="s">
        <v>184</v>
      </c>
      <c r="D1944" s="52">
        <v>46220</v>
      </c>
      <c r="E1944" s="48">
        <v>0.67083333333333339</v>
      </c>
      <c r="F1944" s="48">
        <v>0.68541666666666667</v>
      </c>
      <c r="G1944" s="43">
        <f>(F1944-E1944)*1440</f>
        <v>20.999999999999925</v>
      </c>
      <c r="H1944" s="9" t="s">
        <v>4594</v>
      </c>
      <c r="I1944" s="9" t="s">
        <v>187</v>
      </c>
      <c r="J1944" s="44">
        <v>13.68</v>
      </c>
      <c r="K1944" s="60">
        <v>8.19</v>
      </c>
      <c r="L1944" s="56">
        <v>7.95</v>
      </c>
      <c r="M1944" s="14">
        <f>K1944-L1944</f>
        <v>0.23999999999999932</v>
      </c>
      <c r="N1944" s="15">
        <f>IFERROR(M1944/K1944,0)</f>
        <v>2.9304029304029224E-2</v>
      </c>
      <c r="O1944" s="14">
        <f>IFERROR(L1944/J1944,0)</f>
        <v>0.58114035087719296</v>
      </c>
      <c r="P1944" s="14">
        <f>IFERROR(L1944/G1944,0)</f>
        <v>0.37857142857142995</v>
      </c>
    </row>
    <row r="1945" spans="1:16" x14ac:dyDescent="0.3">
      <c r="A1945" s="9" t="s">
        <v>3934</v>
      </c>
      <c r="B1945" s="9" t="s">
        <v>18</v>
      </c>
      <c r="C1945" s="9" t="s">
        <v>184</v>
      </c>
      <c r="D1945" s="52">
        <v>46220</v>
      </c>
      <c r="E1945" s="48">
        <v>0.70694444444444438</v>
      </c>
      <c r="F1945" s="48">
        <v>0.71250000000000002</v>
      </c>
      <c r="G1945" s="43">
        <f>(F1945-E1945)*1440</f>
        <v>8.0000000000001315</v>
      </c>
      <c r="H1945" s="9" t="s">
        <v>4595</v>
      </c>
      <c r="I1945" s="9" t="s">
        <v>2785</v>
      </c>
      <c r="J1945" s="44">
        <v>8.02</v>
      </c>
      <c r="K1945" s="60">
        <v>5.95</v>
      </c>
      <c r="L1945" s="56">
        <v>5.0199999999999996</v>
      </c>
      <c r="M1945" s="14">
        <f>K1945-L1945</f>
        <v>0.9300000000000006</v>
      </c>
      <c r="N1945" s="15">
        <f>IFERROR(M1945/K1945,0)</f>
        <v>0.15630252100840344</v>
      </c>
      <c r="O1945" s="14">
        <f>IFERROR(L1945/J1945,0)</f>
        <v>0.62593516209476308</v>
      </c>
      <c r="P1945" s="14">
        <f>IFERROR(L1945/G1945,0)</f>
        <v>0.62749999999998962</v>
      </c>
    </row>
    <row r="1946" spans="1:16" x14ac:dyDescent="0.3">
      <c r="A1946" s="9" t="s">
        <v>3935</v>
      </c>
      <c r="B1946" s="9" t="s">
        <v>18</v>
      </c>
      <c r="C1946" s="9" t="s">
        <v>184</v>
      </c>
      <c r="D1946" s="52">
        <v>46220</v>
      </c>
      <c r="E1946" s="48">
        <v>0.72361111111111109</v>
      </c>
      <c r="F1946" s="48">
        <v>0.7319444444444444</v>
      </c>
      <c r="G1946" s="43">
        <f>(F1946-E1946)*1440</f>
        <v>11.999999999999957</v>
      </c>
      <c r="H1946" s="9" t="s">
        <v>233</v>
      </c>
      <c r="I1946" s="9" t="s">
        <v>1916</v>
      </c>
      <c r="J1946" s="44">
        <v>5.42</v>
      </c>
      <c r="K1946" s="60">
        <v>8.94</v>
      </c>
      <c r="L1946" s="56">
        <v>6.24</v>
      </c>
      <c r="M1946" s="14">
        <f>K1946-L1946</f>
        <v>2.6999999999999993</v>
      </c>
      <c r="N1946" s="15">
        <f>IFERROR(M1946/K1946,0)</f>
        <v>0.3020134228187919</v>
      </c>
      <c r="O1946" s="14">
        <f>IFERROR(L1946/J1946,0)</f>
        <v>1.1512915129151291</v>
      </c>
      <c r="P1946" s="14">
        <f>IFERROR(L1946/G1946,0)</f>
        <v>0.52000000000000191</v>
      </c>
    </row>
    <row r="1947" spans="1:16" x14ac:dyDescent="0.3">
      <c r="A1947" s="9" t="s">
        <v>3936</v>
      </c>
      <c r="B1947" s="9" t="s">
        <v>18</v>
      </c>
      <c r="C1947" s="9" t="s">
        <v>184</v>
      </c>
      <c r="D1947" s="52">
        <v>46220</v>
      </c>
      <c r="E1947" s="48">
        <v>0.74305555555555547</v>
      </c>
      <c r="F1947" s="48">
        <v>0.74930555555555556</v>
      </c>
      <c r="G1947" s="43">
        <f>(F1947-E1947)*1440</f>
        <v>9.0000000000001279</v>
      </c>
      <c r="H1947" s="9" t="s">
        <v>1692</v>
      </c>
      <c r="I1947" s="9" t="s">
        <v>843</v>
      </c>
      <c r="J1947" s="44">
        <v>5.4</v>
      </c>
      <c r="K1947" s="60">
        <v>10.95</v>
      </c>
      <c r="L1947" s="56">
        <v>8.2899999999999991</v>
      </c>
      <c r="M1947" s="14">
        <f>K1947-L1947</f>
        <v>2.66</v>
      </c>
      <c r="N1947" s="15">
        <f>IFERROR(M1947/K1947,0)</f>
        <v>0.24292237442922376</v>
      </c>
      <c r="O1947" s="14">
        <f>IFERROR(L1947/J1947,0)</f>
        <v>1.535185185185185</v>
      </c>
      <c r="P1947" s="14">
        <f>IFERROR(L1947/G1947,0)</f>
        <v>0.92111111111109789</v>
      </c>
    </row>
    <row r="1948" spans="1:16" x14ac:dyDescent="0.3">
      <c r="A1948" s="9" t="s">
        <v>3937</v>
      </c>
      <c r="B1948" s="9" t="s">
        <v>18</v>
      </c>
      <c r="C1948" s="9" t="s">
        <v>184</v>
      </c>
      <c r="D1948" s="52">
        <v>46220</v>
      </c>
      <c r="E1948" s="48">
        <v>0.75069444444444444</v>
      </c>
      <c r="F1948" s="48">
        <v>0.76041666666666663</v>
      </c>
      <c r="G1948" s="43">
        <f>(F1948-E1948)*1440</f>
        <v>13.99999999999995</v>
      </c>
      <c r="H1948" s="9" t="s">
        <v>4596</v>
      </c>
      <c r="I1948" s="9" t="s">
        <v>4089</v>
      </c>
      <c r="J1948" s="44">
        <v>9.0399999999999991</v>
      </c>
      <c r="K1948" s="60">
        <v>6.93</v>
      </c>
      <c r="L1948" s="56">
        <v>4.5</v>
      </c>
      <c r="M1948" s="14">
        <f>K1948-L1948</f>
        <v>2.4299999999999997</v>
      </c>
      <c r="N1948" s="15">
        <f>IFERROR(M1948/K1948,0)</f>
        <v>0.3506493506493506</v>
      </c>
      <c r="O1948" s="14">
        <f>IFERROR(L1948/J1948,0)</f>
        <v>0.49778761061946908</v>
      </c>
      <c r="P1948" s="14">
        <f>IFERROR(L1948/G1948,0)</f>
        <v>0.32142857142857256</v>
      </c>
    </row>
    <row r="1949" spans="1:16" x14ac:dyDescent="0.3">
      <c r="A1949" s="9" t="s">
        <v>3938</v>
      </c>
      <c r="B1949" s="9" t="s">
        <v>18</v>
      </c>
      <c r="C1949" s="9" t="s">
        <v>184</v>
      </c>
      <c r="D1949" s="52">
        <v>46220</v>
      </c>
      <c r="E1949" s="48">
        <v>0.83611111111111114</v>
      </c>
      <c r="F1949" s="48">
        <v>0.84444444444444444</v>
      </c>
      <c r="G1949" s="43">
        <f>(F1949-E1949)*1440</f>
        <v>11.999999999999957</v>
      </c>
      <c r="H1949" s="9" t="s">
        <v>642</v>
      </c>
      <c r="I1949" s="9" t="s">
        <v>1736</v>
      </c>
      <c r="J1949" s="44">
        <v>8.3000000000000007</v>
      </c>
      <c r="K1949" s="60">
        <v>7.95</v>
      </c>
      <c r="L1949" s="56">
        <v>5.66</v>
      </c>
      <c r="M1949" s="14">
        <f>K1949-L1949</f>
        <v>2.29</v>
      </c>
      <c r="N1949" s="15">
        <f>IFERROR(M1949/K1949,0)</f>
        <v>0.2880503144654088</v>
      </c>
      <c r="O1949" s="14">
        <f>IFERROR(L1949/J1949,0)</f>
        <v>0.68192771084337345</v>
      </c>
      <c r="P1949" s="14">
        <f>IFERROR(L1949/G1949,0)</f>
        <v>0.47166666666666834</v>
      </c>
    </row>
    <row r="1950" spans="1:16" x14ac:dyDescent="0.3">
      <c r="A1950" s="9" t="s">
        <v>3939</v>
      </c>
      <c r="B1950" s="9" t="s">
        <v>18</v>
      </c>
      <c r="C1950" s="9" t="s">
        <v>184</v>
      </c>
      <c r="D1950" s="52">
        <v>46220</v>
      </c>
      <c r="E1950" s="48">
        <v>0.85</v>
      </c>
      <c r="F1950" s="48">
        <v>0.86111111111111116</v>
      </c>
      <c r="G1950" s="43">
        <f>(F1950-E1950)*1440</f>
        <v>16.000000000000103</v>
      </c>
      <c r="H1950" s="9" t="s">
        <v>4597</v>
      </c>
      <c r="I1950" s="9" t="s">
        <v>4598</v>
      </c>
      <c r="J1950" s="44">
        <v>14.45</v>
      </c>
      <c r="K1950" s="60">
        <v>9.9499999999999993</v>
      </c>
      <c r="L1950" s="56">
        <v>7.24</v>
      </c>
      <c r="M1950" s="14">
        <f>K1950-L1950</f>
        <v>2.7099999999999991</v>
      </c>
      <c r="N1950" s="15">
        <f>IFERROR(M1950/K1950,0)</f>
        <v>0.27236180904522606</v>
      </c>
      <c r="O1950" s="14">
        <f>IFERROR(L1950/J1950,0)</f>
        <v>0.50103806228373704</v>
      </c>
      <c r="P1950" s="14">
        <f>IFERROR(L1950/G1950,0)</f>
        <v>0.45249999999999713</v>
      </c>
    </row>
    <row r="1951" spans="1:16" x14ac:dyDescent="0.3">
      <c r="A1951" s="9" t="s">
        <v>3940</v>
      </c>
      <c r="B1951" s="9" t="s">
        <v>18</v>
      </c>
      <c r="C1951" s="9" t="s">
        <v>184</v>
      </c>
      <c r="D1951" s="52">
        <v>46221</v>
      </c>
      <c r="E1951" s="48">
        <v>0.55069444444444449</v>
      </c>
      <c r="F1951" s="48">
        <v>0.56458333333333333</v>
      </c>
      <c r="G1951" s="43">
        <f>(F1951-E1951)*1440</f>
        <v>19.999999999999929</v>
      </c>
      <c r="H1951" s="9" t="s">
        <v>4599</v>
      </c>
      <c r="I1951" s="9" t="s">
        <v>214</v>
      </c>
      <c r="J1951" s="44">
        <v>18.829999999999998</v>
      </c>
      <c r="K1951" s="60">
        <v>11.95</v>
      </c>
      <c r="L1951" s="56">
        <v>8.81</v>
      </c>
      <c r="M1951" s="14">
        <f>K1951-L1951</f>
        <v>3.1399999999999988</v>
      </c>
      <c r="N1951" s="15">
        <f>IFERROR(M1951/K1951,0)</f>
        <v>0.26276150627615052</v>
      </c>
      <c r="O1951" s="14">
        <f>IFERROR(L1951/J1951,0)</f>
        <v>0.46787041954328207</v>
      </c>
      <c r="P1951" s="14">
        <f>IFERROR(L1951/G1951,0)</f>
        <v>0.44050000000000161</v>
      </c>
    </row>
    <row r="1952" spans="1:16" x14ac:dyDescent="0.3">
      <c r="A1952" s="9" t="s">
        <v>3941</v>
      </c>
      <c r="B1952" s="9" t="s">
        <v>18</v>
      </c>
      <c r="C1952" s="9" t="s">
        <v>184</v>
      </c>
      <c r="D1952" s="52">
        <v>46221</v>
      </c>
      <c r="E1952" s="48">
        <v>0.57222222222222219</v>
      </c>
      <c r="F1952" s="48">
        <v>0.58194444444444449</v>
      </c>
      <c r="G1952" s="43">
        <f>(F1952-E1952)*1440</f>
        <v>14.00000000000011</v>
      </c>
      <c r="H1952" s="9" t="s">
        <v>3087</v>
      </c>
      <c r="I1952" s="9" t="s">
        <v>1207</v>
      </c>
      <c r="J1952" s="44">
        <v>9.1300000000000008</v>
      </c>
      <c r="K1952" s="60">
        <v>9.94</v>
      </c>
      <c r="L1952" s="56">
        <v>6.46</v>
      </c>
      <c r="M1952" s="14">
        <f>K1952-L1952</f>
        <v>3.4799999999999995</v>
      </c>
      <c r="N1952" s="15">
        <f>IFERROR(M1952/K1952,0)</f>
        <v>0.35010060362173034</v>
      </c>
      <c r="O1952" s="14">
        <f>IFERROR(L1952/J1952,0)</f>
        <v>0.7075575027382256</v>
      </c>
      <c r="P1952" s="14">
        <f>IFERROR(L1952/G1952,0)</f>
        <v>0.4614285714285678</v>
      </c>
    </row>
    <row r="1953" spans="1:16" x14ac:dyDescent="0.3">
      <c r="A1953" s="9" t="s">
        <v>3942</v>
      </c>
      <c r="B1953" s="9" t="s">
        <v>18</v>
      </c>
      <c r="C1953" s="9" t="s">
        <v>184</v>
      </c>
      <c r="D1953" s="52">
        <v>46221</v>
      </c>
      <c r="E1953" s="48">
        <v>0.5854166666666667</v>
      </c>
      <c r="F1953" s="48">
        <v>0.60347222222222219</v>
      </c>
      <c r="G1953" s="43">
        <f>(F1953-E1953)*1440</f>
        <v>25.999999999999908</v>
      </c>
      <c r="H1953" s="9" t="s">
        <v>604</v>
      </c>
      <c r="I1953" s="9" t="s">
        <v>4600</v>
      </c>
      <c r="J1953" s="44">
        <v>24.47</v>
      </c>
      <c r="K1953" s="60">
        <v>16.95</v>
      </c>
      <c r="L1953" s="56">
        <v>10.76</v>
      </c>
      <c r="M1953" s="14">
        <f>K1953-L1953</f>
        <v>6.1899999999999995</v>
      </c>
      <c r="N1953" s="15">
        <f>IFERROR(M1953/K1953,0)</f>
        <v>0.36519174041297936</v>
      </c>
      <c r="O1953" s="14">
        <f>IFERROR(L1953/J1953,0)</f>
        <v>0.43972210870453615</v>
      </c>
      <c r="P1953" s="14">
        <f>IFERROR(L1953/G1953,0)</f>
        <v>0.41384615384615531</v>
      </c>
    </row>
    <row r="1954" spans="1:16" x14ac:dyDescent="0.3">
      <c r="A1954" s="9" t="s">
        <v>3943</v>
      </c>
      <c r="B1954" s="9" t="s">
        <v>18</v>
      </c>
      <c r="C1954" s="9" t="s">
        <v>184</v>
      </c>
      <c r="D1954" s="52">
        <v>46221</v>
      </c>
      <c r="E1954" s="48">
        <v>0.6645833333333333</v>
      </c>
      <c r="F1954" s="48">
        <v>0.67152777777777783</v>
      </c>
      <c r="G1954" s="43">
        <f>(F1954-E1954)*1440</f>
        <v>10.000000000000124</v>
      </c>
      <c r="H1954" s="9" t="s">
        <v>4601</v>
      </c>
      <c r="I1954" s="9" t="s">
        <v>1950</v>
      </c>
      <c r="J1954" s="44">
        <v>4.4400000000000004</v>
      </c>
      <c r="K1954" s="60">
        <v>4.93</v>
      </c>
      <c r="L1954" s="56">
        <v>3.7</v>
      </c>
      <c r="M1954" s="14">
        <f>K1954-L1954</f>
        <v>1.2299999999999995</v>
      </c>
      <c r="N1954" s="15">
        <f>IFERROR(M1954/K1954,0)</f>
        <v>0.2494929006085192</v>
      </c>
      <c r="O1954" s="14">
        <f>IFERROR(L1954/J1954,0)</f>
        <v>0.83333333333333326</v>
      </c>
      <c r="P1954" s="14">
        <f>IFERROR(L1954/G1954,0)</f>
        <v>0.36999999999999544</v>
      </c>
    </row>
    <row r="1955" spans="1:16" x14ac:dyDescent="0.3">
      <c r="A1955" s="9" t="s">
        <v>3944</v>
      </c>
      <c r="B1955" s="9" t="s">
        <v>18</v>
      </c>
      <c r="C1955" s="9" t="s">
        <v>184</v>
      </c>
      <c r="D1955" s="52">
        <v>46221</v>
      </c>
      <c r="E1955" s="48">
        <v>0.69027777777777777</v>
      </c>
      <c r="F1955" s="48">
        <v>0.70208333333333339</v>
      </c>
      <c r="G1955" s="43">
        <f>(F1955-E1955)*1440</f>
        <v>17.000000000000099</v>
      </c>
      <c r="H1955" s="9" t="s">
        <v>4602</v>
      </c>
      <c r="I1955" s="9" t="s">
        <v>4603</v>
      </c>
      <c r="J1955" s="44">
        <v>15.19</v>
      </c>
      <c r="K1955" s="60">
        <v>9.9499999999999993</v>
      </c>
      <c r="L1955" s="56">
        <v>6.9</v>
      </c>
      <c r="M1955" s="14">
        <f>K1955-L1955</f>
        <v>3.0499999999999989</v>
      </c>
      <c r="N1955" s="15">
        <f>IFERROR(M1955/K1955,0)</f>
        <v>0.30653266331658285</v>
      </c>
      <c r="O1955" s="14">
        <f>IFERROR(L1955/J1955,0)</f>
        <v>0.45424621461487824</v>
      </c>
      <c r="P1955" s="14">
        <f>IFERROR(L1955/G1955,0)</f>
        <v>0.40588235294117414</v>
      </c>
    </row>
    <row r="1956" spans="1:16" x14ac:dyDescent="0.3">
      <c r="A1956" s="9" t="s">
        <v>3945</v>
      </c>
      <c r="B1956" s="9" t="s">
        <v>18</v>
      </c>
      <c r="C1956" s="9" t="s">
        <v>184</v>
      </c>
      <c r="D1956" s="52">
        <v>46221</v>
      </c>
      <c r="E1956" s="48">
        <v>0.70833333333333337</v>
      </c>
      <c r="F1956" s="48">
        <v>0.71597222222222223</v>
      </c>
      <c r="G1956" s="43">
        <f>(F1956-E1956)*1440</f>
        <v>10.999999999999961</v>
      </c>
      <c r="H1956" s="9" t="s">
        <v>4604</v>
      </c>
      <c r="I1956" s="9" t="s">
        <v>884</v>
      </c>
      <c r="J1956" s="44">
        <v>7.52</v>
      </c>
      <c r="K1956" s="60">
        <v>6.09</v>
      </c>
      <c r="L1956" s="56">
        <v>4.03</v>
      </c>
      <c r="M1956" s="14">
        <f>K1956-L1956</f>
        <v>2.0599999999999996</v>
      </c>
      <c r="N1956" s="15">
        <f>IFERROR(M1956/K1956,0)</f>
        <v>0.33825944170771749</v>
      </c>
      <c r="O1956" s="14">
        <f>IFERROR(L1956/J1956,0)</f>
        <v>0.53590425531914898</v>
      </c>
      <c r="P1956" s="14">
        <f>IFERROR(L1956/G1956,0)</f>
        <v>0.36636363636363767</v>
      </c>
    </row>
    <row r="1957" spans="1:16" x14ac:dyDescent="0.3">
      <c r="A1957" s="9" t="s">
        <v>3946</v>
      </c>
      <c r="B1957" s="9" t="s">
        <v>18</v>
      </c>
      <c r="C1957" s="9" t="s">
        <v>196</v>
      </c>
      <c r="D1957" s="52">
        <v>46221</v>
      </c>
      <c r="E1957" s="48">
        <v>0.79027777777777775</v>
      </c>
      <c r="F1957" s="48">
        <v>0.79583333333333339</v>
      </c>
      <c r="G1957" s="43">
        <f>(F1957-E1957)*1440</f>
        <v>8.0000000000001315</v>
      </c>
      <c r="H1957" s="9" t="s">
        <v>4605</v>
      </c>
      <c r="I1957" s="9" t="s">
        <v>1877</v>
      </c>
      <c r="J1957" s="44">
        <v>4.96</v>
      </c>
      <c r="K1957" s="60">
        <v>4.24</v>
      </c>
      <c r="L1957" s="56">
        <v>4.12</v>
      </c>
      <c r="M1957" s="14">
        <f>K1957-L1957</f>
        <v>0.12000000000000011</v>
      </c>
      <c r="N1957" s="15">
        <f>IFERROR(M1957/K1957,0)</f>
        <v>2.8301886792452855E-2</v>
      </c>
      <c r="O1957" s="14">
        <f>IFERROR(L1957/J1957,0)</f>
        <v>0.83064516129032262</v>
      </c>
      <c r="P1957" s="14">
        <f>IFERROR(L1957/G1957,0)</f>
        <v>0.51499999999999158</v>
      </c>
    </row>
    <row r="1958" spans="1:16" x14ac:dyDescent="0.3">
      <c r="A1958" s="9" t="s">
        <v>3947</v>
      </c>
      <c r="B1958" s="9" t="s">
        <v>18</v>
      </c>
      <c r="C1958" s="9" t="s">
        <v>184</v>
      </c>
      <c r="D1958" s="52">
        <v>46221</v>
      </c>
      <c r="E1958" s="48">
        <v>0.81527777777777777</v>
      </c>
      <c r="F1958" s="48">
        <v>0.8222222222222223</v>
      </c>
      <c r="G1958" s="43">
        <f>(F1958-E1958)*1440</f>
        <v>10.000000000000124</v>
      </c>
      <c r="H1958" s="9" t="s">
        <v>4268</v>
      </c>
      <c r="I1958" s="9" t="s">
        <v>4606</v>
      </c>
      <c r="J1958" s="44">
        <v>5.37</v>
      </c>
      <c r="K1958" s="60">
        <v>4.93</v>
      </c>
      <c r="L1958" s="56">
        <v>3.34</v>
      </c>
      <c r="M1958" s="14">
        <f>K1958-L1958</f>
        <v>1.5899999999999999</v>
      </c>
      <c r="N1958" s="15">
        <f>IFERROR(M1958/K1958,0)</f>
        <v>0.3225152129817444</v>
      </c>
      <c r="O1958" s="14">
        <f>IFERROR(L1958/J1958,0)</f>
        <v>0.62197392923649908</v>
      </c>
      <c r="P1958" s="14">
        <f>IFERROR(L1958/G1958,0)</f>
        <v>0.33399999999999586</v>
      </c>
    </row>
    <row r="1959" spans="1:16" x14ac:dyDescent="0.3">
      <c r="A1959" s="9" t="s">
        <v>3948</v>
      </c>
      <c r="B1959" s="9" t="s">
        <v>18</v>
      </c>
      <c r="C1959" s="9" t="s">
        <v>196</v>
      </c>
      <c r="D1959" s="52">
        <v>46221</v>
      </c>
      <c r="E1959" s="48">
        <v>0.82361111111111107</v>
      </c>
      <c r="F1959" s="48">
        <v>0.82986111111111116</v>
      </c>
      <c r="G1959" s="43">
        <f>(F1959-E1959)*1440</f>
        <v>9.0000000000001279</v>
      </c>
      <c r="H1959" s="9" t="s">
        <v>1955</v>
      </c>
      <c r="I1959" s="9" t="s">
        <v>1120</v>
      </c>
      <c r="J1959" s="44">
        <v>6.16</v>
      </c>
      <c r="K1959" s="60">
        <v>8.9700000000000006</v>
      </c>
      <c r="L1959" s="56">
        <v>6.44</v>
      </c>
      <c r="M1959" s="14">
        <f>K1959-L1959</f>
        <v>2.5300000000000002</v>
      </c>
      <c r="N1959" s="15">
        <f>IFERROR(M1959/K1959,0)</f>
        <v>0.28205128205128205</v>
      </c>
      <c r="O1959" s="14">
        <f>IFERROR(L1959/J1959,0)</f>
        <v>1.0454545454545454</v>
      </c>
      <c r="P1959" s="14">
        <f>IFERROR(L1959/G1959,0)</f>
        <v>0.7155555555555454</v>
      </c>
    </row>
    <row r="1960" spans="1:16" x14ac:dyDescent="0.3">
      <c r="A1960" s="9" t="s">
        <v>3949</v>
      </c>
      <c r="B1960" s="9" t="s">
        <v>18</v>
      </c>
      <c r="C1960" s="9" t="s">
        <v>184</v>
      </c>
      <c r="D1960" s="52">
        <v>46221</v>
      </c>
      <c r="E1960" s="48">
        <v>0.8520833333333333</v>
      </c>
      <c r="F1960" s="48">
        <v>0.8666666666666667</v>
      </c>
      <c r="G1960" s="43">
        <f>(F1960-E1960)*1440</f>
        <v>21.000000000000085</v>
      </c>
      <c r="H1960" s="9" t="s">
        <v>1207</v>
      </c>
      <c r="I1960" s="9" t="s">
        <v>4607</v>
      </c>
      <c r="J1960" s="44">
        <v>17.440000000000001</v>
      </c>
      <c r="K1960" s="60">
        <v>11.96</v>
      </c>
      <c r="L1960" s="56">
        <v>7.77</v>
      </c>
      <c r="M1960" s="14">
        <f>K1960-L1960</f>
        <v>4.1900000000000013</v>
      </c>
      <c r="N1960" s="15">
        <f>IFERROR(M1960/K1960,0)</f>
        <v>0.35033444816053522</v>
      </c>
      <c r="O1960" s="14">
        <f>IFERROR(L1960/J1960,0)</f>
        <v>0.44552752293577974</v>
      </c>
      <c r="P1960" s="14">
        <f>IFERROR(L1960/G1960,0)</f>
        <v>0.3699999999999985</v>
      </c>
    </row>
    <row r="1961" spans="1:16" x14ac:dyDescent="0.3">
      <c r="A1961" s="9" t="s">
        <v>3950</v>
      </c>
      <c r="B1961" s="9" t="s">
        <v>26</v>
      </c>
      <c r="C1961" s="9" t="s">
        <v>27</v>
      </c>
      <c r="D1961" s="52">
        <v>46221</v>
      </c>
      <c r="E1961" s="48">
        <v>0.61736111111111114</v>
      </c>
      <c r="F1961" s="48">
        <v>0.63194444444444442</v>
      </c>
      <c r="G1961" s="43">
        <f>(F1961-E1961)*1440</f>
        <v>20.999999999999925</v>
      </c>
      <c r="H1961" s="9" t="s">
        <v>4608</v>
      </c>
      <c r="I1961" s="9" t="s">
        <v>4609</v>
      </c>
      <c r="J1961" s="44">
        <v>16</v>
      </c>
      <c r="K1961" s="60">
        <v>11.93</v>
      </c>
      <c r="L1961" s="56">
        <v>9.0500000000000007</v>
      </c>
      <c r="M1961" s="14">
        <f>K1961-L1961</f>
        <v>2.879999999999999</v>
      </c>
      <c r="N1961" s="15">
        <f>IFERROR(M1961/K1961,0)</f>
        <v>0.24140821458507955</v>
      </c>
      <c r="O1961" s="14">
        <f>IFERROR(L1961/J1961,0)</f>
        <v>0.56562500000000004</v>
      </c>
      <c r="P1961" s="14">
        <f>IFERROR(L1961/G1961,0)</f>
        <v>0.43095238095238253</v>
      </c>
    </row>
    <row r="1962" spans="1:16" x14ac:dyDescent="0.3">
      <c r="A1962" s="9" t="s">
        <v>3951</v>
      </c>
      <c r="B1962" s="9" t="s">
        <v>26</v>
      </c>
      <c r="C1962" s="9" t="s">
        <v>27</v>
      </c>
      <c r="D1962" s="52">
        <v>46221</v>
      </c>
      <c r="E1962" s="48">
        <v>0.63888888888888895</v>
      </c>
      <c r="F1962" s="48">
        <v>0.65</v>
      </c>
      <c r="G1962" s="43">
        <f>(F1962-E1962)*1440</f>
        <v>15.999999999999943</v>
      </c>
      <c r="H1962" s="9" t="s">
        <v>1309</v>
      </c>
      <c r="I1962" s="9" t="s">
        <v>4208</v>
      </c>
      <c r="J1962" s="44">
        <v>8.5</v>
      </c>
      <c r="K1962" s="60">
        <v>8.9700000000000006</v>
      </c>
      <c r="L1962" s="56">
        <v>6.73</v>
      </c>
      <c r="M1962" s="14">
        <f>K1962-L1962</f>
        <v>2.2400000000000002</v>
      </c>
      <c r="N1962" s="15">
        <f>IFERROR(M1962/K1962,0)</f>
        <v>0.24972129319955408</v>
      </c>
      <c r="O1962" s="14">
        <f>IFERROR(L1962/J1962,0)</f>
        <v>0.79176470588235304</v>
      </c>
      <c r="P1962" s="14">
        <f>IFERROR(L1962/G1962,0)</f>
        <v>0.42062500000000153</v>
      </c>
    </row>
    <row r="1963" spans="1:16" x14ac:dyDescent="0.3">
      <c r="A1963" s="9" t="s">
        <v>3952</v>
      </c>
      <c r="B1963" s="9" t="s">
        <v>26</v>
      </c>
      <c r="C1963" s="9" t="s">
        <v>27</v>
      </c>
      <c r="D1963" s="52">
        <v>46221</v>
      </c>
      <c r="E1963" s="48">
        <v>0.72430555555555554</v>
      </c>
      <c r="F1963" s="48">
        <v>0.74305555555555547</v>
      </c>
      <c r="G1963" s="43">
        <f>(F1963-E1963)*1440</f>
        <v>26.999999999999904</v>
      </c>
      <c r="H1963" s="9" t="s">
        <v>4610</v>
      </c>
      <c r="I1963" s="9" t="s">
        <v>1120</v>
      </c>
      <c r="J1963" s="44">
        <v>19</v>
      </c>
      <c r="K1963" s="60">
        <v>12.98</v>
      </c>
      <c r="L1963" s="56">
        <v>9.73</v>
      </c>
      <c r="M1963" s="14">
        <f>K1963-L1963</f>
        <v>3.25</v>
      </c>
      <c r="N1963" s="15">
        <f>IFERROR(M1963/K1963,0)</f>
        <v>0.25038520801232667</v>
      </c>
      <c r="O1963" s="14">
        <f>IFERROR(L1963/J1963,0)</f>
        <v>0.51210526315789473</v>
      </c>
      <c r="P1963" s="14">
        <f>IFERROR(L1963/G1963,0)</f>
        <v>0.36037037037037167</v>
      </c>
    </row>
    <row r="1964" spans="1:16" x14ac:dyDescent="0.3">
      <c r="A1964" s="9" t="s">
        <v>3953</v>
      </c>
      <c r="B1964" s="9" t="s">
        <v>26</v>
      </c>
      <c r="C1964" s="9" t="s">
        <v>27</v>
      </c>
      <c r="D1964" s="52">
        <v>46221</v>
      </c>
      <c r="E1964" s="48">
        <v>0.77847222222222223</v>
      </c>
      <c r="F1964" s="48">
        <v>0.78888888888888886</v>
      </c>
      <c r="G1964" s="43">
        <f>(F1964-E1964)*1440</f>
        <v>14.999999999999947</v>
      </c>
      <c r="H1964" s="9" t="s">
        <v>1879</v>
      </c>
      <c r="I1964" s="9" t="s">
        <v>4611</v>
      </c>
      <c r="J1964" s="44">
        <v>12.2</v>
      </c>
      <c r="K1964" s="60">
        <v>7.98</v>
      </c>
      <c r="L1964" s="56">
        <v>5.98</v>
      </c>
      <c r="M1964" s="14">
        <f>K1964-L1964</f>
        <v>2</v>
      </c>
      <c r="N1964" s="15">
        <f>IFERROR(M1964/K1964,0)</f>
        <v>0.25062656641604009</v>
      </c>
      <c r="O1964" s="14">
        <f>IFERROR(L1964/J1964,0)</f>
        <v>0.49016393442622957</v>
      </c>
      <c r="P1964" s="14">
        <f>IFERROR(L1964/G1964,0)</f>
        <v>0.39866666666666811</v>
      </c>
    </row>
    <row r="1965" spans="1:16" x14ac:dyDescent="0.3">
      <c r="A1965" s="9" t="s">
        <v>3954</v>
      </c>
      <c r="B1965" s="9" t="s">
        <v>26</v>
      </c>
      <c r="C1965" s="9" t="s">
        <v>27</v>
      </c>
      <c r="D1965" s="52">
        <v>46222</v>
      </c>
      <c r="E1965" s="48">
        <v>0.64374999999999993</v>
      </c>
      <c r="F1965" s="48">
        <v>0.65347222222222223</v>
      </c>
      <c r="G1965" s="43">
        <f>(F1965-E1965)*1440</f>
        <v>14.00000000000011</v>
      </c>
      <c r="H1965" s="9" t="s">
        <v>4612</v>
      </c>
      <c r="I1965" s="9" t="s">
        <v>1736</v>
      </c>
      <c r="J1965" s="44">
        <v>8.6999999999999993</v>
      </c>
      <c r="K1965" s="60">
        <v>6.84</v>
      </c>
      <c r="L1965" s="56">
        <v>5.13</v>
      </c>
      <c r="M1965" s="14">
        <f>K1965-L1965</f>
        <v>1.71</v>
      </c>
      <c r="N1965" s="15">
        <f>IFERROR(M1965/K1965,0)</f>
        <v>0.25</v>
      </c>
      <c r="O1965" s="14">
        <f>IFERROR(L1965/J1965,0)</f>
        <v>0.58965517241379317</v>
      </c>
      <c r="P1965" s="14">
        <f>IFERROR(L1965/G1965,0)</f>
        <v>0.36642857142856855</v>
      </c>
    </row>
    <row r="1966" spans="1:16" x14ac:dyDescent="0.3">
      <c r="A1966" s="9" t="s">
        <v>3955</v>
      </c>
      <c r="B1966" s="9" t="s">
        <v>26</v>
      </c>
      <c r="C1966" s="9" t="s">
        <v>26</v>
      </c>
      <c r="D1966" s="52">
        <v>46222</v>
      </c>
      <c r="E1966" s="48">
        <v>0.65694444444444444</v>
      </c>
      <c r="F1966" s="48">
        <v>0.67569444444444438</v>
      </c>
      <c r="G1966" s="43">
        <f>(F1966-E1966)*1440</f>
        <v>26.999999999999904</v>
      </c>
      <c r="H1966" s="9" t="s">
        <v>4613</v>
      </c>
      <c r="I1966" s="9" t="s">
        <v>4614</v>
      </c>
      <c r="J1966" s="44">
        <v>6.1</v>
      </c>
      <c r="K1966" s="60">
        <v>7.63</v>
      </c>
      <c r="L1966" s="56">
        <v>6.58</v>
      </c>
      <c r="M1966" s="14">
        <f>K1966-L1966</f>
        <v>1.0499999999999998</v>
      </c>
      <c r="N1966" s="15">
        <f>IFERROR(M1966/K1966,0)</f>
        <v>0.13761467889908255</v>
      </c>
      <c r="O1966" s="14">
        <f>IFERROR(L1966/J1966,0)</f>
        <v>1.0786885245901641</v>
      </c>
      <c r="P1966" s="14">
        <f>IFERROR(L1966/G1966,0)</f>
        <v>0.24370370370370456</v>
      </c>
    </row>
    <row r="1967" spans="1:16" x14ac:dyDescent="0.3">
      <c r="A1967" s="9" t="s">
        <v>3956</v>
      </c>
      <c r="B1967" s="9" t="s">
        <v>26</v>
      </c>
      <c r="C1967" s="9" t="s">
        <v>26</v>
      </c>
      <c r="D1967" s="52">
        <v>46222</v>
      </c>
      <c r="E1967" s="48">
        <v>0.71319444444444446</v>
      </c>
      <c r="F1967" s="48">
        <v>0.72152777777777777</v>
      </c>
      <c r="G1967" s="43">
        <f>(F1967-E1967)*1440</f>
        <v>11.999999999999957</v>
      </c>
      <c r="H1967" s="9" t="s">
        <v>274</v>
      </c>
      <c r="I1967" s="9" t="s">
        <v>2830</v>
      </c>
      <c r="J1967" s="44">
        <v>7.7</v>
      </c>
      <c r="K1967" s="60">
        <v>8.5299999999999994</v>
      </c>
      <c r="L1967" s="56">
        <v>6.65</v>
      </c>
      <c r="M1967" s="14">
        <f>K1967-L1967</f>
        <v>1.879999999999999</v>
      </c>
      <c r="N1967" s="15">
        <f>IFERROR(M1967/K1967,0)</f>
        <v>0.22039859320046884</v>
      </c>
      <c r="O1967" s="14">
        <f>IFERROR(L1967/J1967,0)</f>
        <v>0.86363636363636365</v>
      </c>
      <c r="P1967" s="14">
        <f>IFERROR(L1967/G1967,0)</f>
        <v>0.55416666666666869</v>
      </c>
    </row>
    <row r="1968" spans="1:16" x14ac:dyDescent="0.3">
      <c r="A1968" s="9" t="s">
        <v>3957</v>
      </c>
      <c r="B1968" s="9" t="s">
        <v>26</v>
      </c>
      <c r="C1968" s="9" t="s">
        <v>27</v>
      </c>
      <c r="D1968" s="52">
        <v>46222</v>
      </c>
      <c r="E1968" s="48">
        <v>0.79791666666666661</v>
      </c>
      <c r="F1968" s="48">
        <v>0.80972222222222223</v>
      </c>
      <c r="G1968" s="43">
        <f>(F1968-E1968)*1440</f>
        <v>17.000000000000099</v>
      </c>
      <c r="H1968" s="9" t="s">
        <v>4615</v>
      </c>
      <c r="I1968" s="9" t="s">
        <v>1223</v>
      </c>
      <c r="J1968" s="44">
        <v>14</v>
      </c>
      <c r="K1968" s="60">
        <v>12.93</v>
      </c>
      <c r="L1968" s="56">
        <v>9.6999999999999993</v>
      </c>
      <c r="M1968" s="14">
        <f>K1968-L1968</f>
        <v>3.2300000000000004</v>
      </c>
      <c r="N1968" s="15">
        <f>IFERROR(M1968/K1968,0)</f>
        <v>0.24980665119876261</v>
      </c>
      <c r="O1968" s="14">
        <f>IFERROR(L1968/J1968,0)</f>
        <v>0.69285714285714284</v>
      </c>
      <c r="P1968" s="14">
        <f>IFERROR(L1968/G1968,0)</f>
        <v>0.57058823529411429</v>
      </c>
    </row>
    <row r="1969" spans="1:17" x14ac:dyDescent="0.3">
      <c r="A1969" s="9" t="s">
        <v>3958</v>
      </c>
      <c r="B1969" s="9" t="s">
        <v>26</v>
      </c>
      <c r="C1969" s="9" t="s">
        <v>26</v>
      </c>
      <c r="D1969" s="52">
        <v>46222</v>
      </c>
      <c r="E1969" s="48">
        <v>0.8125</v>
      </c>
      <c r="F1969" s="48">
        <v>0.82013888888888886</v>
      </c>
      <c r="G1969" s="43">
        <f>(F1969-E1969)*1440</f>
        <v>10.999999999999961</v>
      </c>
      <c r="H1969" s="9" t="s">
        <v>4616</v>
      </c>
      <c r="I1969" s="9" t="s">
        <v>4617</v>
      </c>
      <c r="J1969" s="44">
        <v>3.4</v>
      </c>
      <c r="K1969" s="60">
        <v>6.31</v>
      </c>
      <c r="L1969" s="56">
        <v>4.7300000000000004</v>
      </c>
      <c r="M1969" s="14">
        <f>K1969-L1969</f>
        <v>1.5799999999999992</v>
      </c>
      <c r="N1969" s="15">
        <f>IFERROR(M1969/K1969,0)</f>
        <v>0.25039619651347056</v>
      </c>
      <c r="O1969" s="14">
        <f>IFERROR(L1969/J1969,0)</f>
        <v>1.3911764705882355</v>
      </c>
      <c r="P1969" s="14">
        <f>IFERROR(L1969/G1969,0)</f>
        <v>0.43000000000000155</v>
      </c>
    </row>
    <row r="1970" spans="1:17" x14ac:dyDescent="0.3">
      <c r="A1970" s="9" t="s">
        <v>3959</v>
      </c>
      <c r="B1970" s="9" t="s">
        <v>26</v>
      </c>
      <c r="C1970" s="9" t="s">
        <v>27</v>
      </c>
      <c r="D1970" s="52">
        <v>46222</v>
      </c>
      <c r="E1970" s="48">
        <v>0.84513888888888899</v>
      </c>
      <c r="F1970" s="48">
        <v>0.85416666666666663</v>
      </c>
      <c r="G1970" s="43">
        <f>(F1970-E1970)*1440</f>
        <v>12.999999999999794</v>
      </c>
      <c r="H1970" s="9" t="s">
        <v>631</v>
      </c>
      <c r="I1970" s="9" t="s">
        <v>1941</v>
      </c>
      <c r="J1970" s="44">
        <v>7.1</v>
      </c>
      <c r="K1970" s="60">
        <v>6.97</v>
      </c>
      <c r="L1970" s="56">
        <v>5.75</v>
      </c>
      <c r="M1970" s="14">
        <f>K1970-L1970</f>
        <v>1.2199999999999998</v>
      </c>
      <c r="N1970" s="15">
        <f>IFERROR(M1970/K1970,0)</f>
        <v>0.17503586800573886</v>
      </c>
      <c r="O1970" s="14">
        <f>IFERROR(L1970/J1970,0)</f>
        <v>0.8098591549295775</v>
      </c>
      <c r="P1970" s="14">
        <f>IFERROR(L1970/G1970,0)</f>
        <v>0.44230769230769934</v>
      </c>
    </row>
    <row r="1971" spans="1:17" x14ac:dyDescent="0.3">
      <c r="A1971" s="9" t="s">
        <v>3960</v>
      </c>
      <c r="B1971" s="9" t="s">
        <v>18</v>
      </c>
      <c r="C1971" s="9" t="s">
        <v>184</v>
      </c>
      <c r="D1971" s="52">
        <v>46222</v>
      </c>
      <c r="E1971" s="48">
        <v>0.54027777777777775</v>
      </c>
      <c r="F1971" s="48">
        <v>0.55694444444444446</v>
      </c>
      <c r="G1971" s="43">
        <f>(F1971-E1971)*1440</f>
        <v>24.000000000000075</v>
      </c>
      <c r="H1971" s="9" t="s">
        <v>4324</v>
      </c>
      <c r="I1971" s="9" t="s">
        <v>4618</v>
      </c>
      <c r="J1971" s="44">
        <v>33.770000000000003</v>
      </c>
      <c r="K1971" s="60">
        <v>22.94</v>
      </c>
      <c r="L1971" s="56">
        <v>13.66</v>
      </c>
      <c r="M1971" s="14">
        <f>K1971-L1971</f>
        <v>9.2800000000000011</v>
      </c>
      <c r="N1971" s="15">
        <f>IFERROR(M1971/K1971,0)</f>
        <v>0.40453356582388844</v>
      </c>
      <c r="O1971" s="14">
        <f>IFERROR(L1971/J1971,0)</f>
        <v>0.4045010364228605</v>
      </c>
      <c r="P1971" s="14">
        <f>IFERROR(L1971/G1971,0)</f>
        <v>0.56916666666666493</v>
      </c>
      <c r="Q1971" s="64">
        <v>4.3</v>
      </c>
    </row>
    <row r="1972" spans="1:17" x14ac:dyDescent="0.3">
      <c r="A1972" s="9" t="s">
        <v>3961</v>
      </c>
      <c r="B1972" s="9" t="s">
        <v>18</v>
      </c>
      <c r="C1972" s="9" t="s">
        <v>184</v>
      </c>
      <c r="D1972" s="52">
        <v>46222</v>
      </c>
      <c r="E1972" s="48">
        <v>0.55555555555555558</v>
      </c>
      <c r="F1972" s="48">
        <v>0.5708333333333333</v>
      </c>
      <c r="G1972" s="43">
        <f>(F1972-E1972)*1440</f>
        <v>21.999999999999922</v>
      </c>
      <c r="H1972" s="9" t="s">
        <v>4619</v>
      </c>
      <c r="I1972" s="9" t="s">
        <v>4620</v>
      </c>
      <c r="J1972" s="44">
        <v>21.56</v>
      </c>
      <c r="K1972" s="60">
        <v>15.95</v>
      </c>
      <c r="L1972" s="56">
        <v>10.37</v>
      </c>
      <c r="M1972" s="14">
        <f>K1972-L1972</f>
        <v>5.58</v>
      </c>
      <c r="N1972" s="15">
        <f>IFERROR(M1972/K1972,0)</f>
        <v>0.34984326018808781</v>
      </c>
      <c r="O1972" s="14">
        <f>IFERROR(L1972/J1972,0)</f>
        <v>0.48098330241187381</v>
      </c>
      <c r="P1972" s="14">
        <f>IFERROR(L1972/G1972,0)</f>
        <v>0.47136363636363798</v>
      </c>
    </row>
    <row r="1973" spans="1:17" x14ac:dyDescent="0.3">
      <c r="A1973" s="9" t="s">
        <v>3962</v>
      </c>
      <c r="B1973" s="9" t="s">
        <v>18</v>
      </c>
      <c r="C1973" s="9" t="s">
        <v>196</v>
      </c>
      <c r="D1973" s="52">
        <v>46222</v>
      </c>
      <c r="E1973" s="48">
        <v>0.57847222222222217</v>
      </c>
      <c r="F1973" s="48">
        <v>0.58263888888888882</v>
      </c>
      <c r="G1973" s="43">
        <f>(F1973-E1973)*1440</f>
        <v>5.9999999999999787</v>
      </c>
      <c r="H1973" s="9" t="s">
        <v>4621</v>
      </c>
      <c r="I1973" s="9" t="s">
        <v>4622</v>
      </c>
      <c r="J1973" s="44">
        <v>3.09</v>
      </c>
      <c r="K1973" s="60">
        <v>5.97</v>
      </c>
      <c r="L1973" s="56">
        <v>4.7699999999999996</v>
      </c>
      <c r="M1973" s="14">
        <f>K1973-L1973</f>
        <v>1.2000000000000002</v>
      </c>
      <c r="N1973" s="15">
        <f>IFERROR(M1973/K1973,0)</f>
        <v>0.20100502512562818</v>
      </c>
      <c r="O1973" s="14">
        <f>IFERROR(L1973/J1973,0)</f>
        <v>1.5436893203883495</v>
      </c>
      <c r="P1973" s="14">
        <f>IFERROR(L1973/G1973,0)</f>
        <v>0.7950000000000027</v>
      </c>
    </row>
    <row r="1974" spans="1:17" x14ac:dyDescent="0.3">
      <c r="A1974" s="9" t="s">
        <v>3963</v>
      </c>
      <c r="B1974" s="9" t="s">
        <v>18</v>
      </c>
      <c r="C1974" s="9" t="s">
        <v>184</v>
      </c>
      <c r="D1974" s="52">
        <v>46222</v>
      </c>
      <c r="E1974" s="48">
        <v>0.58263888888888882</v>
      </c>
      <c r="F1974" s="48">
        <v>0.58958333333333335</v>
      </c>
      <c r="G1974" s="43">
        <f>(F1974-E1974)*1440</f>
        <v>10.000000000000124</v>
      </c>
      <c r="H1974" s="9" t="s">
        <v>4623</v>
      </c>
      <c r="I1974" s="9" t="s">
        <v>214</v>
      </c>
      <c r="J1974" s="44">
        <v>6.1</v>
      </c>
      <c r="K1974" s="60">
        <v>5.93</v>
      </c>
      <c r="L1974" s="56">
        <v>4.41</v>
      </c>
      <c r="M1974" s="14">
        <f>K1974-L1974</f>
        <v>1.5199999999999996</v>
      </c>
      <c r="N1974" s="15">
        <f>IFERROR(M1974/K1974,0)</f>
        <v>0.25632377740303536</v>
      </c>
      <c r="O1974" s="14">
        <f>IFERROR(L1974/J1974,0)</f>
        <v>0.72295081967213126</v>
      </c>
      <c r="P1974" s="14">
        <f>IFERROR(L1974/G1974,0)</f>
        <v>0.44099999999999451</v>
      </c>
    </row>
    <row r="1975" spans="1:17" x14ac:dyDescent="0.3">
      <c r="A1975" s="9" t="s">
        <v>3964</v>
      </c>
      <c r="B1975" s="9" t="s">
        <v>18</v>
      </c>
      <c r="C1975" s="9" t="s">
        <v>184</v>
      </c>
      <c r="D1975" s="52">
        <v>46222</v>
      </c>
      <c r="E1975" s="48">
        <v>0.59652777777777777</v>
      </c>
      <c r="F1975" s="48">
        <v>0.60555555555555551</v>
      </c>
      <c r="G1975" s="43">
        <f>(F1975-E1975)*1440</f>
        <v>12.999999999999954</v>
      </c>
      <c r="H1975" s="9" t="s">
        <v>4606</v>
      </c>
      <c r="I1975" s="9" t="s">
        <v>698</v>
      </c>
      <c r="J1975" s="44">
        <v>7.67</v>
      </c>
      <c r="K1975" s="60">
        <v>6.94</v>
      </c>
      <c r="L1975" s="56">
        <v>4.96</v>
      </c>
      <c r="M1975" s="14">
        <f>K1975-L1975</f>
        <v>1.9800000000000004</v>
      </c>
      <c r="N1975" s="15">
        <f>IFERROR(M1975/K1975,0)</f>
        <v>0.28530259365994243</v>
      </c>
      <c r="O1975" s="14">
        <f>IFERROR(L1975/J1975,0)</f>
        <v>0.64667535853976532</v>
      </c>
      <c r="P1975" s="14">
        <f>IFERROR(L1975/G1975,0)</f>
        <v>0.38153846153846288</v>
      </c>
    </row>
    <row r="1976" spans="1:17" x14ac:dyDescent="0.3">
      <c r="A1976" s="9" t="s">
        <v>3965</v>
      </c>
      <c r="B1976" s="9" t="s">
        <v>18</v>
      </c>
      <c r="C1976" s="9" t="s">
        <v>196</v>
      </c>
      <c r="D1976" s="52">
        <v>46222</v>
      </c>
      <c r="E1976" s="48">
        <v>0.61041666666666672</v>
      </c>
      <c r="F1976" s="48">
        <v>0.61805555555555558</v>
      </c>
      <c r="G1976" s="43">
        <f>(F1976-E1976)*1440</f>
        <v>10.999999999999961</v>
      </c>
      <c r="H1976" s="9" t="s">
        <v>698</v>
      </c>
      <c r="I1976" s="9" t="s">
        <v>1256</v>
      </c>
      <c r="J1976" s="44">
        <v>6.1</v>
      </c>
      <c r="K1976" s="60">
        <v>7.99</v>
      </c>
      <c r="L1976" s="56">
        <v>5.19</v>
      </c>
      <c r="M1976" s="14">
        <f>K1976-L1976</f>
        <v>2.8</v>
      </c>
      <c r="N1976" s="15">
        <f>IFERROR(M1976/K1976,0)</f>
        <v>0.35043804755944929</v>
      </c>
      <c r="O1976" s="14">
        <f>IFERROR(L1976/J1976,0)</f>
        <v>0.85081967213114762</v>
      </c>
      <c r="P1976" s="14">
        <f>IFERROR(L1976/G1976,0)</f>
        <v>0.47181818181818352</v>
      </c>
    </row>
    <row r="1977" spans="1:17" x14ac:dyDescent="0.3">
      <c r="A1977" s="9" t="s">
        <v>3966</v>
      </c>
      <c r="B1977" s="9" t="s">
        <v>18</v>
      </c>
      <c r="C1977" s="9" t="s">
        <v>184</v>
      </c>
      <c r="D1977" s="52">
        <v>46222</v>
      </c>
      <c r="E1977" s="48">
        <v>0.61805555555555558</v>
      </c>
      <c r="F1977" s="48">
        <v>0.62708333333333333</v>
      </c>
      <c r="G1977" s="43">
        <f>(F1977-E1977)*1440</f>
        <v>12.999999999999954</v>
      </c>
      <c r="H1977" s="9" t="s">
        <v>4624</v>
      </c>
      <c r="I1977" s="9" t="s">
        <v>885</v>
      </c>
      <c r="J1977" s="44">
        <v>7.72</v>
      </c>
      <c r="K1977" s="60">
        <v>7.46</v>
      </c>
      <c r="L1977" s="56">
        <v>4.5199999999999996</v>
      </c>
      <c r="M1977" s="14">
        <f>K1977-L1977</f>
        <v>2.9400000000000004</v>
      </c>
      <c r="N1977" s="15">
        <f>IFERROR(M1977/K1977,0)</f>
        <v>0.39410187667560326</v>
      </c>
      <c r="O1977" s="14">
        <f>IFERROR(L1977/J1977,0)</f>
        <v>0.58549222797927458</v>
      </c>
      <c r="P1977" s="14">
        <f>IFERROR(L1977/G1977,0)</f>
        <v>0.34769230769230891</v>
      </c>
    </row>
    <row r="1978" spans="1:17" x14ac:dyDescent="0.3">
      <c r="A1978" s="9" t="s">
        <v>3967</v>
      </c>
      <c r="B1978" s="9" t="s">
        <v>18</v>
      </c>
      <c r="C1978" s="9" t="s">
        <v>184</v>
      </c>
      <c r="D1978" s="52">
        <v>46222</v>
      </c>
      <c r="E1978" s="48">
        <v>0.68958333333333333</v>
      </c>
      <c r="F1978" s="48">
        <v>0.70347222222222217</v>
      </c>
      <c r="G1978" s="43">
        <f>(F1978-E1978)*1440</f>
        <v>19.999999999999929</v>
      </c>
      <c r="H1978" s="9" t="s">
        <v>4625</v>
      </c>
      <c r="I1978" s="9" t="s">
        <v>3341</v>
      </c>
      <c r="J1978" s="44">
        <v>17.100000000000001</v>
      </c>
      <c r="K1978" s="60">
        <v>11.94</v>
      </c>
      <c r="L1978" s="56">
        <v>7.76</v>
      </c>
      <c r="M1978" s="14">
        <f>K1978-L1978</f>
        <v>4.18</v>
      </c>
      <c r="N1978" s="15">
        <f>IFERROR(M1978/K1978,0)</f>
        <v>0.35008375209380233</v>
      </c>
      <c r="O1978" s="14">
        <f>IFERROR(L1978/J1978,0)</f>
        <v>0.45380116959064321</v>
      </c>
      <c r="P1978" s="14">
        <f>IFERROR(L1978/G1978,0)</f>
        <v>0.38800000000000134</v>
      </c>
    </row>
    <row r="1979" spans="1:17" x14ac:dyDescent="0.3">
      <c r="A1979" s="9" t="s">
        <v>3968</v>
      </c>
      <c r="B1979" s="9" t="s">
        <v>18</v>
      </c>
      <c r="C1979" s="9" t="s">
        <v>184</v>
      </c>
      <c r="D1979" s="52">
        <v>46222</v>
      </c>
      <c r="E1979" s="48">
        <v>0.72152777777777777</v>
      </c>
      <c r="F1979" s="48">
        <v>0.73125000000000007</v>
      </c>
      <c r="G1979" s="43">
        <f>(F1979-E1979)*1440</f>
        <v>14.00000000000011</v>
      </c>
      <c r="H1979" s="9" t="s">
        <v>582</v>
      </c>
      <c r="I1979" s="9" t="s">
        <v>4182</v>
      </c>
      <c r="J1979" s="44">
        <v>11.72</v>
      </c>
      <c r="K1979" s="60">
        <v>8.94</v>
      </c>
      <c r="L1979" s="56">
        <v>5.81</v>
      </c>
      <c r="M1979" s="14">
        <f>K1979-L1979</f>
        <v>3.13</v>
      </c>
      <c r="N1979" s="15">
        <f>IFERROR(M1979/K1979,0)</f>
        <v>0.35011185682326623</v>
      </c>
      <c r="O1979" s="14">
        <f>IFERROR(L1979/J1979,0)</f>
        <v>0.49573378839590437</v>
      </c>
      <c r="P1979" s="14">
        <f>IFERROR(L1979/G1979,0)</f>
        <v>0.4149999999999967</v>
      </c>
    </row>
    <row r="1980" spans="1:17" x14ac:dyDescent="0.3">
      <c r="A1980" s="9" t="s">
        <v>3969</v>
      </c>
      <c r="B1980" s="9" t="s">
        <v>18</v>
      </c>
      <c r="C1980" s="9" t="s">
        <v>184</v>
      </c>
      <c r="D1980" s="52">
        <v>46222</v>
      </c>
      <c r="E1980" s="48">
        <v>0.7319444444444444</v>
      </c>
      <c r="F1980" s="48">
        <v>0.74305555555555547</v>
      </c>
      <c r="G1980" s="43">
        <f>(F1980-E1980)*1440</f>
        <v>15.999999999999943</v>
      </c>
      <c r="H1980" s="9" t="s">
        <v>677</v>
      </c>
      <c r="I1980" s="9" t="s">
        <v>4626</v>
      </c>
      <c r="J1980" s="44">
        <v>13.45</v>
      </c>
      <c r="K1980" s="60">
        <v>14.93</v>
      </c>
      <c r="L1980" s="56">
        <v>11.06</v>
      </c>
      <c r="M1980" s="14">
        <f>K1980-L1980</f>
        <v>3.8699999999999992</v>
      </c>
      <c r="N1980" s="15">
        <f>IFERROR(M1980/K1980,0)</f>
        <v>0.25920964501004684</v>
      </c>
      <c r="O1980" s="14">
        <f>IFERROR(L1980/J1980,0)</f>
        <v>0.82230483271375476</v>
      </c>
      <c r="P1980" s="14">
        <f>IFERROR(L1980/G1980,0)</f>
        <v>0.69125000000000247</v>
      </c>
    </row>
    <row r="1981" spans="1:17" x14ac:dyDescent="0.3">
      <c r="A1981" s="9" t="s">
        <v>3970</v>
      </c>
      <c r="B1981" s="9" t="s">
        <v>18</v>
      </c>
      <c r="C1981" s="9" t="s">
        <v>184</v>
      </c>
      <c r="D1981" s="52">
        <v>46222</v>
      </c>
      <c r="E1981" s="48">
        <v>0.75694444444444453</v>
      </c>
      <c r="F1981" s="48">
        <v>0.76874999999999993</v>
      </c>
      <c r="G1981" s="43">
        <f>(F1981-E1981)*1440</f>
        <v>16.99999999999978</v>
      </c>
      <c r="H1981" s="9" t="s">
        <v>1951</v>
      </c>
      <c r="I1981" s="9" t="s">
        <v>1207</v>
      </c>
      <c r="J1981" s="44">
        <v>12.99</v>
      </c>
      <c r="K1981" s="60">
        <v>7.95</v>
      </c>
      <c r="L1981" s="56">
        <v>5.85</v>
      </c>
      <c r="M1981" s="14">
        <f>K1981-L1981</f>
        <v>2.1000000000000005</v>
      </c>
      <c r="N1981" s="15">
        <f>IFERROR(M1981/K1981,0)</f>
        <v>0.26415094339622647</v>
      </c>
      <c r="O1981" s="14">
        <f>IFERROR(L1981/J1981,0)</f>
        <v>0.45034642032332561</v>
      </c>
      <c r="P1981" s="14">
        <f>IFERROR(L1981/G1981,0)</f>
        <v>0.34411764705882797</v>
      </c>
    </row>
    <row r="1982" spans="1:17" x14ac:dyDescent="0.3">
      <c r="A1982" s="9" t="s">
        <v>3971</v>
      </c>
      <c r="B1982" s="9" t="s">
        <v>18</v>
      </c>
      <c r="C1982" s="9" t="s">
        <v>184</v>
      </c>
      <c r="D1982" s="52">
        <v>46222</v>
      </c>
      <c r="E1982" s="48">
        <v>0.76874999999999993</v>
      </c>
      <c r="F1982" s="48">
        <v>0.78402777777777777</v>
      </c>
      <c r="G1982" s="43">
        <f>(F1982-E1982)*1440</f>
        <v>22.000000000000082</v>
      </c>
      <c r="H1982" s="9" t="s">
        <v>4627</v>
      </c>
      <c r="I1982" s="9" t="s">
        <v>4628</v>
      </c>
      <c r="J1982" s="44">
        <v>19.22</v>
      </c>
      <c r="K1982" s="60">
        <v>11.2</v>
      </c>
      <c r="L1982" s="56">
        <v>7.46</v>
      </c>
      <c r="M1982" s="14">
        <f>K1982-L1982</f>
        <v>3.7399999999999993</v>
      </c>
      <c r="N1982" s="15">
        <f>IFERROR(M1982/K1982,0)</f>
        <v>0.33392857142857141</v>
      </c>
      <c r="O1982" s="14">
        <f>IFERROR(L1982/J1982,0)</f>
        <v>0.38813735691987516</v>
      </c>
      <c r="P1982" s="14">
        <f>IFERROR(L1982/G1982,0)</f>
        <v>0.33909090909090783</v>
      </c>
    </row>
    <row r="1983" spans="1:17" x14ac:dyDescent="0.3">
      <c r="A1983" s="9" t="s">
        <v>3972</v>
      </c>
      <c r="B1983" s="9" t="s">
        <v>18</v>
      </c>
      <c r="C1983" s="9" t="s">
        <v>184</v>
      </c>
      <c r="D1983" s="52">
        <v>46222</v>
      </c>
      <c r="E1983" s="48">
        <v>0.86111111111111116</v>
      </c>
      <c r="F1983" s="48">
        <v>0.87361111111111101</v>
      </c>
      <c r="G1983" s="43">
        <f>(F1983-E1983)*1440</f>
        <v>17.999999999999776</v>
      </c>
      <c r="H1983" s="9" t="s">
        <v>1207</v>
      </c>
      <c r="I1983" s="9" t="s">
        <v>1221</v>
      </c>
      <c r="J1983" s="44">
        <v>19.32</v>
      </c>
      <c r="K1983" s="60">
        <v>12.96</v>
      </c>
      <c r="L1983" s="56">
        <v>8.41</v>
      </c>
      <c r="M1983" s="14">
        <f>K1983-L1983</f>
        <v>4.5500000000000007</v>
      </c>
      <c r="N1983" s="15">
        <f>IFERROR(M1983/K1983,0)</f>
        <v>0.35108024691358025</v>
      </c>
      <c r="O1983" s="14">
        <f>IFERROR(L1983/J1983,0)</f>
        <v>0.43530020703933747</v>
      </c>
      <c r="P1983" s="14">
        <f>IFERROR(L1983/G1983,0)</f>
        <v>0.46722222222222803</v>
      </c>
    </row>
    <row r="1984" spans="1:17" x14ac:dyDescent="0.3">
      <c r="A1984" s="9" t="s">
        <v>3973</v>
      </c>
      <c r="B1984" s="9" t="s">
        <v>18</v>
      </c>
      <c r="C1984" s="9" t="s">
        <v>184</v>
      </c>
      <c r="D1984" s="52">
        <v>46223</v>
      </c>
      <c r="E1984" s="48">
        <v>0.5854166666666667</v>
      </c>
      <c r="F1984" s="48">
        <v>0.59375</v>
      </c>
      <c r="G1984" s="43">
        <f>(F1984-E1984)*1440</f>
        <v>11.999999999999957</v>
      </c>
      <c r="H1984" s="9" t="s">
        <v>266</v>
      </c>
      <c r="I1984" s="9" t="s">
        <v>243</v>
      </c>
      <c r="J1984" s="44">
        <v>9.3800000000000008</v>
      </c>
      <c r="K1984" s="60">
        <v>5.93</v>
      </c>
      <c r="L1984" s="56">
        <v>3.85</v>
      </c>
      <c r="M1984" s="14">
        <f>K1984-L1984</f>
        <v>2.0799999999999996</v>
      </c>
      <c r="N1984" s="15">
        <f>IFERROR(M1984/K1984,0)</f>
        <v>0.3507588532883642</v>
      </c>
      <c r="O1984" s="14">
        <f>IFERROR(L1984/J1984,0)</f>
        <v>0.41044776119402981</v>
      </c>
      <c r="P1984" s="14">
        <f>IFERROR(L1984/G1984,0)</f>
        <v>0.32083333333333447</v>
      </c>
    </row>
    <row r="1985" spans="1:19" x14ac:dyDescent="0.3">
      <c r="A1985" s="9" t="s">
        <v>3974</v>
      </c>
      <c r="B1985" s="9" t="s">
        <v>18</v>
      </c>
      <c r="C1985" s="9" t="s">
        <v>196</v>
      </c>
      <c r="D1985" s="52">
        <v>46223</v>
      </c>
      <c r="E1985" s="48">
        <v>0.59652777777777777</v>
      </c>
      <c r="F1985" s="48">
        <v>0.60833333333333328</v>
      </c>
      <c r="G1985" s="43">
        <f>(F1985-E1985)*1440</f>
        <v>16.99999999999994</v>
      </c>
      <c r="H1985" s="9" t="s">
        <v>243</v>
      </c>
      <c r="I1985" s="9" t="s">
        <v>754</v>
      </c>
      <c r="J1985" s="44">
        <v>10.74</v>
      </c>
      <c r="K1985" s="60">
        <v>7.98</v>
      </c>
      <c r="L1985" s="56">
        <v>5.19</v>
      </c>
      <c r="M1985" s="14">
        <f>K1985-L1985</f>
        <v>2.79</v>
      </c>
      <c r="N1985" s="15">
        <f>IFERROR(M1985/K1985,0)</f>
        <v>0.34962406015037595</v>
      </c>
      <c r="O1985" s="14">
        <f>IFERROR(L1985/J1985,0)</f>
        <v>0.48324022346368717</v>
      </c>
      <c r="P1985" s="14">
        <f>IFERROR(L1985/G1985,0)</f>
        <v>0.30529411764705994</v>
      </c>
    </row>
    <row r="1986" spans="1:19" x14ac:dyDescent="0.3">
      <c r="A1986" s="9" t="s">
        <v>3975</v>
      </c>
      <c r="B1986" s="9" t="s">
        <v>18</v>
      </c>
      <c r="C1986" s="9" t="s">
        <v>184</v>
      </c>
      <c r="D1986" s="52">
        <v>46223</v>
      </c>
      <c r="E1986" s="48">
        <v>0.6069444444444444</v>
      </c>
      <c r="F1986" s="48">
        <v>0.61875000000000002</v>
      </c>
      <c r="G1986" s="43">
        <f>(F1986-E1986)*1440</f>
        <v>17.000000000000099</v>
      </c>
      <c r="H1986" s="9" t="s">
        <v>4194</v>
      </c>
      <c r="I1986" s="9" t="s">
        <v>1120</v>
      </c>
      <c r="J1986" s="44">
        <v>12.75</v>
      </c>
      <c r="K1986" s="60">
        <v>12.94</v>
      </c>
      <c r="L1986" s="56">
        <v>8.41</v>
      </c>
      <c r="M1986" s="14">
        <f>K1986-L1986</f>
        <v>4.5299999999999994</v>
      </c>
      <c r="N1986" s="15">
        <f>IFERROR(M1986/K1986,0)</f>
        <v>0.35007727975270475</v>
      </c>
      <c r="O1986" s="14">
        <f>IFERROR(L1986/J1986,0)</f>
        <v>0.65960784313725496</v>
      </c>
      <c r="P1986" s="14">
        <f>IFERROR(L1986/G1986,0)</f>
        <v>0.49470588235293828</v>
      </c>
    </row>
    <row r="1987" spans="1:19" x14ac:dyDescent="0.3">
      <c r="A1987" s="9" t="s">
        <v>3976</v>
      </c>
      <c r="B1987" s="9" t="s">
        <v>18</v>
      </c>
      <c r="C1987" s="9" t="s">
        <v>184</v>
      </c>
      <c r="D1987" s="52">
        <v>46223</v>
      </c>
      <c r="E1987" s="48">
        <v>0.62777777777777777</v>
      </c>
      <c r="F1987" s="48">
        <v>0.63472222222222219</v>
      </c>
      <c r="G1987" s="43">
        <f>(F1987-E1987)*1440</f>
        <v>9.9999999999999645</v>
      </c>
      <c r="H1987" s="9" t="s">
        <v>1120</v>
      </c>
      <c r="I1987" s="9" t="s">
        <v>1715</v>
      </c>
      <c r="J1987" s="44">
        <v>7.8</v>
      </c>
      <c r="K1987" s="60">
        <v>7.95</v>
      </c>
      <c r="L1987" s="56">
        <v>6.05</v>
      </c>
      <c r="M1987" s="14">
        <f>K1987-L1987</f>
        <v>1.9000000000000004</v>
      </c>
      <c r="N1987" s="15">
        <f>IFERROR(M1987/K1987,0)</f>
        <v>0.23899371069182393</v>
      </c>
      <c r="O1987" s="14">
        <f>IFERROR(L1987/J1987,0)</f>
        <v>0.77564102564102566</v>
      </c>
      <c r="P1987" s="14">
        <f>IFERROR(L1987/G1987,0)</f>
        <v>0.60500000000000209</v>
      </c>
    </row>
    <row r="1988" spans="1:19" x14ac:dyDescent="0.3">
      <c r="A1988" s="9" t="s">
        <v>3977</v>
      </c>
      <c r="B1988" s="9" t="s">
        <v>18</v>
      </c>
      <c r="C1988" s="9" t="s">
        <v>230</v>
      </c>
      <c r="D1988" s="52">
        <v>46223</v>
      </c>
      <c r="E1988" s="48">
        <v>0.63541666666666663</v>
      </c>
      <c r="F1988" s="48">
        <v>0.64236111111111105</v>
      </c>
      <c r="G1988" s="43">
        <f>(F1988-E1988)*1440</f>
        <v>9.9999999999999645</v>
      </c>
      <c r="H1988" s="9" t="s">
        <v>4629</v>
      </c>
      <c r="I1988" s="9" t="s">
        <v>1950</v>
      </c>
      <c r="J1988" s="44">
        <v>7.91</v>
      </c>
      <c r="K1988" s="60">
        <v>4.34</v>
      </c>
      <c r="L1988" s="56">
        <v>4.22</v>
      </c>
      <c r="M1988" s="14">
        <f>K1988-L1988</f>
        <v>0.12000000000000011</v>
      </c>
      <c r="N1988" s="15">
        <f>IFERROR(M1988/K1988,0)</f>
        <v>2.7649769585253482E-2</v>
      </c>
      <c r="O1988" s="14">
        <f>IFERROR(L1988/J1988,0)</f>
        <v>0.53350189633375467</v>
      </c>
      <c r="P1988" s="14">
        <f>IFERROR(L1988/G1988,0)</f>
        <v>0.42200000000000149</v>
      </c>
    </row>
    <row r="1989" spans="1:19" x14ac:dyDescent="0.3">
      <c r="A1989" s="9" t="s">
        <v>3978</v>
      </c>
      <c r="B1989" s="9" t="s">
        <v>18</v>
      </c>
      <c r="C1989" s="9" t="s">
        <v>196</v>
      </c>
      <c r="D1989" s="52">
        <v>46223</v>
      </c>
      <c r="E1989" s="48">
        <v>0.66666666666666663</v>
      </c>
      <c r="F1989" s="48">
        <v>0.67638888888888893</v>
      </c>
      <c r="G1989" s="43">
        <f>(F1989-E1989)*1440</f>
        <v>14.00000000000011</v>
      </c>
      <c r="H1989" s="9" t="s">
        <v>1253</v>
      </c>
      <c r="I1989" s="9" t="s">
        <v>632</v>
      </c>
      <c r="J1989" s="44">
        <v>5.96</v>
      </c>
      <c r="K1989" s="60">
        <v>5.98</v>
      </c>
      <c r="L1989" s="56">
        <v>4.24</v>
      </c>
      <c r="M1989" s="14">
        <f>K1989-L1989</f>
        <v>1.7400000000000002</v>
      </c>
      <c r="N1989" s="15">
        <f>IFERROR(M1989/K1989,0)</f>
        <v>0.29096989966555187</v>
      </c>
      <c r="O1989" s="14">
        <f>IFERROR(L1989/J1989,0)</f>
        <v>0.71140939597315445</v>
      </c>
      <c r="P1989" s="14">
        <f>IFERROR(L1989/G1989,0)</f>
        <v>0.30285714285714049</v>
      </c>
    </row>
    <row r="1990" spans="1:19" x14ac:dyDescent="0.3">
      <c r="A1990" s="9" t="s">
        <v>3979</v>
      </c>
      <c r="B1990" s="9" t="s">
        <v>18</v>
      </c>
      <c r="C1990" s="9" t="s">
        <v>230</v>
      </c>
      <c r="D1990" s="52">
        <v>46223</v>
      </c>
      <c r="E1990" s="48">
        <v>0.6791666666666667</v>
      </c>
      <c r="F1990" s="48">
        <v>0.6875</v>
      </c>
      <c r="G1990" s="43">
        <f>(F1990-E1990)*1440</f>
        <v>11.999999999999957</v>
      </c>
      <c r="H1990" s="9" t="s">
        <v>233</v>
      </c>
      <c r="I1990" s="9" t="s">
        <v>1240</v>
      </c>
      <c r="J1990" s="44">
        <v>10.85</v>
      </c>
      <c r="K1990" s="60">
        <v>7.91</v>
      </c>
      <c r="L1990" s="56">
        <v>6.09</v>
      </c>
      <c r="M1990" s="14">
        <f>K1990-L1990</f>
        <v>1.8200000000000003</v>
      </c>
      <c r="N1990" s="15">
        <f>IFERROR(M1990/K1990,0)</f>
        <v>0.23008849557522126</v>
      </c>
      <c r="O1990" s="14">
        <f>IFERROR(L1990/J1990,0)</f>
        <v>0.56129032258064515</v>
      </c>
      <c r="P1990" s="14">
        <f>IFERROR(L1990/G1990,0)</f>
        <v>0.50750000000000184</v>
      </c>
    </row>
    <row r="1991" spans="1:19" x14ac:dyDescent="0.3">
      <c r="A1991" s="9" t="s">
        <v>3980</v>
      </c>
      <c r="B1991" s="9" t="s">
        <v>18</v>
      </c>
      <c r="C1991" s="9" t="s">
        <v>184</v>
      </c>
      <c r="D1991" s="52">
        <v>46223</v>
      </c>
      <c r="E1991" s="48">
        <v>0.69236111111111109</v>
      </c>
      <c r="F1991" s="48">
        <v>0.70694444444444438</v>
      </c>
      <c r="G1991" s="43">
        <f>(F1991-E1991)*1440</f>
        <v>20.999999999999925</v>
      </c>
      <c r="H1991" s="9" t="s">
        <v>1838</v>
      </c>
      <c r="I1991" s="9" t="s">
        <v>561</v>
      </c>
      <c r="J1991" s="44">
        <v>9.23</v>
      </c>
      <c r="K1991" s="60">
        <v>9.94</v>
      </c>
      <c r="L1991" s="56">
        <v>7.51</v>
      </c>
      <c r="M1991" s="14">
        <f>K1991-L1991</f>
        <v>2.4299999999999997</v>
      </c>
      <c r="N1991" s="15">
        <f>IFERROR(M1991/K1991,0)</f>
        <v>0.24446680080482897</v>
      </c>
      <c r="O1991" s="14">
        <f>IFERROR(L1991/J1991,0)</f>
        <v>0.81365113759479946</v>
      </c>
      <c r="P1991" s="14">
        <f>IFERROR(L1991/G1991,0)</f>
        <v>0.35761904761904889</v>
      </c>
    </row>
    <row r="1992" spans="1:19" x14ac:dyDescent="0.3">
      <c r="A1992" s="9" t="s">
        <v>3981</v>
      </c>
      <c r="B1992" s="9" t="s">
        <v>18</v>
      </c>
      <c r="C1992" s="9" t="s">
        <v>184</v>
      </c>
      <c r="D1992" s="52">
        <v>46223</v>
      </c>
      <c r="E1992" s="48">
        <v>0.75763888888888886</v>
      </c>
      <c r="F1992" s="48">
        <v>0.77222222222222225</v>
      </c>
      <c r="G1992" s="43">
        <f>(F1992-E1992)*1440</f>
        <v>21.000000000000085</v>
      </c>
      <c r="H1992" s="9" t="s">
        <v>4630</v>
      </c>
      <c r="I1992" s="9" t="s">
        <v>582</v>
      </c>
      <c r="J1992" s="44">
        <v>9.82</v>
      </c>
      <c r="K1992" s="60">
        <v>7.96</v>
      </c>
      <c r="L1992" s="56">
        <v>7.04</v>
      </c>
      <c r="M1992" s="14">
        <f>K1992-L1992</f>
        <v>0.91999999999999993</v>
      </c>
      <c r="N1992" s="15">
        <f>IFERROR(M1992/K1992,0)</f>
        <v>0.11557788944723617</v>
      </c>
      <c r="O1992" s="14">
        <f>IFERROR(L1992/J1992,0)</f>
        <v>0.71690427698574333</v>
      </c>
      <c r="P1992" s="14">
        <f>IFERROR(L1992/G1992,0)</f>
        <v>0.33523809523809389</v>
      </c>
    </row>
    <row r="1993" spans="1:19" x14ac:dyDescent="0.3">
      <c r="A1993" s="9" t="s">
        <v>3982</v>
      </c>
      <c r="B1993" s="9" t="s">
        <v>18</v>
      </c>
      <c r="C1993" s="9" t="s">
        <v>184</v>
      </c>
      <c r="D1993" s="52">
        <v>46223</v>
      </c>
      <c r="E1993" s="48">
        <v>0.77916666666666667</v>
      </c>
      <c r="F1993" s="48">
        <v>0.78541666666666676</v>
      </c>
      <c r="G1993" s="43">
        <f>(F1993-E1993)*1440</f>
        <v>9.0000000000001279</v>
      </c>
      <c r="H1993" s="9" t="s">
        <v>1733</v>
      </c>
      <c r="I1993" s="9" t="s">
        <v>2017</v>
      </c>
      <c r="J1993" s="44">
        <v>3.86</v>
      </c>
      <c r="K1993" s="60">
        <v>5.98</v>
      </c>
      <c r="L1993" s="56">
        <v>4.03</v>
      </c>
      <c r="M1993" s="14">
        <f>K1993-L1993</f>
        <v>1.9500000000000002</v>
      </c>
      <c r="N1993" s="15">
        <f>IFERROR(M1993/K1993,0)</f>
        <v>0.32608695652173914</v>
      </c>
      <c r="O1993" s="14">
        <f>IFERROR(L1993/J1993,0)</f>
        <v>1.0440414507772022</v>
      </c>
      <c r="P1993" s="14">
        <f>IFERROR(L1993/G1993,0)</f>
        <v>0.44777777777777145</v>
      </c>
      <c r="S1993" s="61">
        <v>2</v>
      </c>
    </row>
    <row r="1994" spans="1:19" x14ac:dyDescent="0.3">
      <c r="A1994" s="9" t="s">
        <v>3983</v>
      </c>
      <c r="B1994" s="9" t="s">
        <v>18</v>
      </c>
      <c r="C1994" s="9" t="s">
        <v>184</v>
      </c>
      <c r="D1994" s="52">
        <v>46223</v>
      </c>
      <c r="E1994" s="48">
        <v>0.79236111111111107</v>
      </c>
      <c r="F1994" s="48">
        <v>0.79861111111111116</v>
      </c>
      <c r="G1994" s="43">
        <f>(F1994-E1994)*1440</f>
        <v>9.0000000000001279</v>
      </c>
      <c r="H1994" s="9" t="s">
        <v>4631</v>
      </c>
      <c r="I1994" s="9" t="s">
        <v>1823</v>
      </c>
      <c r="J1994" s="44">
        <v>6.23</v>
      </c>
      <c r="K1994" s="60">
        <v>4.95</v>
      </c>
      <c r="L1994" s="56">
        <v>3.49</v>
      </c>
      <c r="M1994" s="14">
        <f>K1994-L1994</f>
        <v>1.46</v>
      </c>
      <c r="N1994" s="15">
        <f>IFERROR(M1994/K1994,0)</f>
        <v>0.29494949494949491</v>
      </c>
      <c r="O1994" s="14">
        <f>IFERROR(L1994/J1994,0)</f>
        <v>0.56019261637239159</v>
      </c>
      <c r="P1994" s="14">
        <f>IFERROR(L1994/G1994,0)</f>
        <v>0.38777777777777228</v>
      </c>
    </row>
    <row r="1995" spans="1:19" x14ac:dyDescent="0.3">
      <c r="A1995" s="9" t="s">
        <v>3984</v>
      </c>
      <c r="B1995" s="9" t="s">
        <v>18</v>
      </c>
      <c r="C1995" s="9" t="s">
        <v>196</v>
      </c>
      <c r="D1995" s="52">
        <v>46223</v>
      </c>
      <c r="E1995" s="48">
        <v>0.80347222222222225</v>
      </c>
      <c r="F1995" s="48">
        <v>0.80763888888888891</v>
      </c>
      <c r="G1995" s="43">
        <f>(F1995-E1995)*1440</f>
        <v>5.9999999999999787</v>
      </c>
      <c r="H1995" s="9" t="s">
        <v>818</v>
      </c>
      <c r="I1995" s="9" t="s">
        <v>748</v>
      </c>
      <c r="J1995" s="44">
        <v>5.1100000000000003</v>
      </c>
      <c r="K1995" s="60">
        <v>5.99</v>
      </c>
      <c r="L1995" s="56">
        <v>3.89</v>
      </c>
      <c r="M1995" s="14">
        <f>K1995-L1995</f>
        <v>2.1</v>
      </c>
      <c r="N1995" s="15">
        <f>IFERROR(M1995/K1995,0)</f>
        <v>0.35058430717863104</v>
      </c>
      <c r="O1995" s="14">
        <f>IFERROR(L1995/J1995,0)</f>
        <v>0.76125244618395305</v>
      </c>
      <c r="P1995" s="14">
        <f>IFERROR(L1995/G1995,0)</f>
        <v>0.64833333333333565</v>
      </c>
    </row>
    <row r="1996" spans="1:19" x14ac:dyDescent="0.3">
      <c r="A1996" s="9" t="s">
        <v>3985</v>
      </c>
      <c r="B1996" s="9" t="s">
        <v>18</v>
      </c>
      <c r="C1996" s="9" t="s">
        <v>184</v>
      </c>
      <c r="D1996" s="52">
        <v>46223</v>
      </c>
      <c r="E1996" s="48">
        <v>0.80625000000000002</v>
      </c>
      <c r="F1996" s="48">
        <v>0.81180555555555556</v>
      </c>
      <c r="G1996" s="43">
        <f>(F1996-E1996)*1440</f>
        <v>7.9999999999999716</v>
      </c>
      <c r="H1996" s="9" t="s">
        <v>4632</v>
      </c>
      <c r="I1996" s="9" t="s">
        <v>4633</v>
      </c>
      <c r="J1996" s="44">
        <v>7.35</v>
      </c>
      <c r="K1996" s="60">
        <v>5.95</v>
      </c>
      <c r="L1996" s="56">
        <v>3.87</v>
      </c>
      <c r="M1996" s="14">
        <f>K1996-L1996</f>
        <v>2.08</v>
      </c>
      <c r="N1996" s="15">
        <f>IFERROR(M1996/K1996,0)</f>
        <v>0.34957983193277309</v>
      </c>
      <c r="O1996" s="14">
        <f>IFERROR(L1996/J1996,0)</f>
        <v>0.52653061224489794</v>
      </c>
      <c r="P1996" s="14">
        <f>IFERROR(L1996/G1996,0)</f>
        <v>0.48375000000000173</v>
      </c>
    </row>
    <row r="1997" spans="1:19" x14ac:dyDescent="0.3">
      <c r="A1997" s="9" t="s">
        <v>3986</v>
      </c>
      <c r="B1997" s="9" t="s">
        <v>26</v>
      </c>
      <c r="C1997" s="9" t="s">
        <v>26</v>
      </c>
      <c r="D1997" s="52">
        <v>46223</v>
      </c>
      <c r="E1997" s="48">
        <v>0.54513888888888895</v>
      </c>
      <c r="F1997" s="48">
        <v>0.57222222222222219</v>
      </c>
      <c r="G1997" s="43">
        <f>(F1997-E1997)*1440</f>
        <v>38.999999999999858</v>
      </c>
      <c r="H1997" s="9" t="s">
        <v>4634</v>
      </c>
      <c r="I1997" s="9" t="s">
        <v>1739</v>
      </c>
      <c r="J1997" s="44">
        <v>22.1</v>
      </c>
      <c r="K1997" s="60">
        <v>13.06</v>
      </c>
      <c r="L1997" s="56">
        <v>12.25</v>
      </c>
      <c r="M1997" s="14">
        <f>K1997-L1997</f>
        <v>0.8100000000000005</v>
      </c>
      <c r="N1997" s="15">
        <f>IFERROR(M1997/K1997,0)</f>
        <v>6.202143950995409E-2</v>
      </c>
      <c r="O1997" s="14">
        <f>IFERROR(L1997/J1997,0)</f>
        <v>0.55429864253393657</v>
      </c>
      <c r="P1997" s="14">
        <f>IFERROR(L1997/G1997,0)</f>
        <v>0.31410256410256526</v>
      </c>
    </row>
    <row r="1998" spans="1:19" x14ac:dyDescent="0.3">
      <c r="A1998" s="9" t="s">
        <v>3987</v>
      </c>
      <c r="B1998" s="9" t="s">
        <v>26</v>
      </c>
      <c r="C1998" s="9" t="s">
        <v>26</v>
      </c>
      <c r="D1998" s="52">
        <v>46223</v>
      </c>
      <c r="E1998" s="48">
        <v>0.5756944444444444</v>
      </c>
      <c r="F1998" s="48">
        <v>0.58472222222222225</v>
      </c>
      <c r="G1998" s="43">
        <f>(F1998-E1998)*1440</f>
        <v>13.000000000000114</v>
      </c>
      <c r="H1998" s="9" t="s">
        <v>4635</v>
      </c>
      <c r="I1998" s="9" t="s">
        <v>4636</v>
      </c>
      <c r="J1998" s="44">
        <v>4.2</v>
      </c>
      <c r="K1998" s="60">
        <v>4.7</v>
      </c>
      <c r="L1998" s="56">
        <v>4.13</v>
      </c>
      <c r="M1998" s="14">
        <f>K1998-L1998</f>
        <v>0.57000000000000028</v>
      </c>
      <c r="N1998" s="15">
        <f>IFERROR(M1998/K1998,0)</f>
        <v>0.1212765957446809</v>
      </c>
      <c r="O1998" s="14">
        <f>IFERROR(L1998/J1998,0)</f>
        <v>0.98333333333333328</v>
      </c>
      <c r="P1998" s="14">
        <f>IFERROR(L1998/G1998,0)</f>
        <v>0.31769230769230489</v>
      </c>
    </row>
    <row r="1999" spans="1:19" x14ac:dyDescent="0.3">
      <c r="A1999" s="9" t="s">
        <v>3988</v>
      </c>
      <c r="B1999" s="9" t="s">
        <v>26</v>
      </c>
      <c r="C1999" s="9" t="s">
        <v>26</v>
      </c>
      <c r="D1999" s="52">
        <v>46223</v>
      </c>
      <c r="E1999" s="48">
        <v>0.71250000000000002</v>
      </c>
      <c r="F1999" s="48">
        <v>0.73611111111111116</v>
      </c>
      <c r="G1999" s="43">
        <f>(F1999-E1999)*1440</f>
        <v>34.000000000000043</v>
      </c>
      <c r="H1999" s="9" t="s">
        <v>2786</v>
      </c>
      <c r="I1999" s="9" t="s">
        <v>611</v>
      </c>
      <c r="J1999" s="44">
        <v>13.8</v>
      </c>
      <c r="K1999" s="60">
        <v>12.99</v>
      </c>
      <c r="L1999" s="56">
        <v>9.74</v>
      </c>
      <c r="M1999" s="14">
        <f>K1999-L1999</f>
        <v>3.25</v>
      </c>
      <c r="N1999" s="15">
        <f>IFERROR(M1999/K1999,0)</f>
        <v>0.2501924557351809</v>
      </c>
      <c r="O1999" s="14">
        <f>IFERROR(L1999/J1999,0)</f>
        <v>0.70579710144927532</v>
      </c>
      <c r="P1999" s="14">
        <f>IFERROR(L1999/G1999,0)</f>
        <v>0.28647058823529375</v>
      </c>
    </row>
    <row r="2000" spans="1:19" x14ac:dyDescent="0.3">
      <c r="A2000" s="9" t="s">
        <v>4332</v>
      </c>
      <c r="B2000" s="9" t="s">
        <v>26</v>
      </c>
      <c r="C2000" s="9" t="s">
        <v>26</v>
      </c>
      <c r="D2000" s="52">
        <v>46223</v>
      </c>
      <c r="E2000" s="48">
        <v>0.82500000000000007</v>
      </c>
      <c r="F2000" s="48">
        <v>0.8354166666666667</v>
      </c>
      <c r="G2000" s="43">
        <f>(F2000-E2000)*1440</f>
        <v>14.999999999999947</v>
      </c>
      <c r="H2000" s="9" t="s">
        <v>4637</v>
      </c>
      <c r="I2000" s="9" t="s">
        <v>2484</v>
      </c>
      <c r="J2000" s="44">
        <v>7.5</v>
      </c>
      <c r="K2000" s="60">
        <v>6.81</v>
      </c>
      <c r="L2000" s="56">
        <v>5.23</v>
      </c>
      <c r="M2000" s="14">
        <f>K2000-L2000</f>
        <v>1.5799999999999992</v>
      </c>
      <c r="N2000" s="15">
        <f>IFERROR(M2000/K2000,0)</f>
        <v>0.23201174743024952</v>
      </c>
      <c r="O2000" s="14">
        <f>IFERROR(L2000/J2000,0)</f>
        <v>0.69733333333333336</v>
      </c>
      <c r="P2000" s="14">
        <f>IFERROR(L2000/G2000,0)</f>
        <v>0.34866666666666796</v>
      </c>
      <c r="S2000" s="61">
        <v>0.5</v>
      </c>
    </row>
    <row r="2001" spans="1:19" x14ac:dyDescent="0.3">
      <c r="A2001" s="9" t="s">
        <v>4333</v>
      </c>
      <c r="B2001" s="9" t="s">
        <v>26</v>
      </c>
      <c r="C2001" s="9" t="s">
        <v>27</v>
      </c>
      <c r="D2001" s="52">
        <v>46223</v>
      </c>
      <c r="E2001" s="48">
        <v>0.84444444444444444</v>
      </c>
      <c r="F2001" s="48">
        <v>0.85555555555555562</v>
      </c>
      <c r="G2001" s="43">
        <f>(F2001-E2001)*1440</f>
        <v>16.000000000000103</v>
      </c>
      <c r="H2001" s="9" t="s">
        <v>225</v>
      </c>
      <c r="I2001" s="9" t="s">
        <v>531</v>
      </c>
      <c r="J2001" s="44">
        <v>7.5</v>
      </c>
      <c r="K2001" s="60">
        <v>5.65</v>
      </c>
      <c r="L2001" s="56">
        <v>4.24</v>
      </c>
      <c r="M2001" s="14">
        <f>K2001-L2001</f>
        <v>1.4100000000000001</v>
      </c>
      <c r="N2001" s="15">
        <f>IFERROR(M2001/K2001,0)</f>
        <v>0.24955752212389382</v>
      </c>
      <c r="O2001" s="14">
        <f>IFERROR(L2001/J2001,0)</f>
        <v>0.56533333333333335</v>
      </c>
      <c r="P2001" s="14">
        <f>IFERROR(L2001/G2001,0)</f>
        <v>0.26499999999999829</v>
      </c>
    </row>
    <row r="2002" spans="1:19" x14ac:dyDescent="0.3">
      <c r="A2002" s="9" t="s">
        <v>4334</v>
      </c>
      <c r="B2002" s="9" t="s">
        <v>26</v>
      </c>
      <c r="C2002" s="9" t="s">
        <v>26</v>
      </c>
      <c r="D2002" s="52">
        <v>46223</v>
      </c>
      <c r="E2002" s="48">
        <v>0.88263888888888886</v>
      </c>
      <c r="F2002" s="48">
        <v>0.89722222222222225</v>
      </c>
      <c r="G2002" s="43">
        <f>(F2002-E2002)*1440</f>
        <v>21.000000000000085</v>
      </c>
      <c r="H2002" s="9" t="s">
        <v>604</v>
      </c>
      <c r="I2002" s="9" t="s">
        <v>4638</v>
      </c>
      <c r="J2002" s="44">
        <v>14.2</v>
      </c>
      <c r="K2002" s="60">
        <v>9.98</v>
      </c>
      <c r="L2002" s="56">
        <v>7.48</v>
      </c>
      <c r="M2002" s="14">
        <f>K2002-L2002</f>
        <v>2.5</v>
      </c>
      <c r="N2002" s="15">
        <f>IFERROR(M2002/K2002,0)</f>
        <v>0.25050100200400799</v>
      </c>
      <c r="O2002" s="14">
        <f>IFERROR(L2002/J2002,0)</f>
        <v>0.52676056338028177</v>
      </c>
      <c r="P2002" s="14">
        <f>IFERROR(L2002/G2002,0)</f>
        <v>0.35619047619047478</v>
      </c>
    </row>
    <row r="2003" spans="1:19" x14ac:dyDescent="0.3">
      <c r="A2003" s="9" t="s">
        <v>4335</v>
      </c>
      <c r="B2003" s="9" t="s">
        <v>26</v>
      </c>
      <c r="C2003" s="9" t="s">
        <v>27</v>
      </c>
      <c r="D2003" s="52">
        <v>46224</v>
      </c>
      <c r="E2003" s="48">
        <v>0.67847222222222225</v>
      </c>
      <c r="F2003" s="48">
        <v>0.68472222222222223</v>
      </c>
      <c r="G2003" s="43">
        <f>(F2003-E2003)*1440</f>
        <v>8.999999999999968</v>
      </c>
      <c r="H2003" s="9" t="s">
        <v>3371</v>
      </c>
      <c r="I2003" s="9" t="s">
        <v>606</v>
      </c>
      <c r="J2003" s="44">
        <v>6.3</v>
      </c>
      <c r="K2003" s="60">
        <v>6.37</v>
      </c>
      <c r="L2003" s="56">
        <v>4.78</v>
      </c>
      <c r="M2003" s="14">
        <f>K2003-L2003</f>
        <v>1.5899999999999999</v>
      </c>
      <c r="N2003" s="15">
        <f>IFERROR(M2003/K2003,0)</f>
        <v>0.24960753532182101</v>
      </c>
      <c r="O2003" s="14">
        <f>IFERROR(L2003/J2003,0)</f>
        <v>0.75873015873015881</v>
      </c>
      <c r="P2003" s="14">
        <f>IFERROR(L2003/G2003,0)</f>
        <v>0.53111111111111298</v>
      </c>
    </row>
    <row r="2004" spans="1:19" x14ac:dyDescent="0.3">
      <c r="A2004" s="9" t="s">
        <v>4336</v>
      </c>
      <c r="B2004" s="9" t="s">
        <v>26</v>
      </c>
      <c r="C2004" s="9" t="s">
        <v>26</v>
      </c>
      <c r="D2004" s="52">
        <v>46224</v>
      </c>
      <c r="E2004" s="48">
        <v>0.80347222222222225</v>
      </c>
      <c r="F2004" s="48">
        <v>0.81388888888888899</v>
      </c>
      <c r="G2004" s="43">
        <f>(F2004-E2004)*1440</f>
        <v>15.000000000000107</v>
      </c>
      <c r="H2004" s="9" t="s">
        <v>2513</v>
      </c>
      <c r="I2004" s="9" t="s">
        <v>4639</v>
      </c>
      <c r="J2004" s="44">
        <v>8</v>
      </c>
      <c r="K2004" s="60">
        <v>8.74</v>
      </c>
      <c r="L2004" s="56">
        <v>6.55</v>
      </c>
      <c r="M2004" s="14">
        <f>K2004-L2004</f>
        <v>2.1900000000000004</v>
      </c>
      <c r="N2004" s="15">
        <f>IFERROR(M2004/K2004,0)</f>
        <v>0.25057208237986273</v>
      </c>
      <c r="O2004" s="14">
        <f>IFERROR(L2004/J2004,0)</f>
        <v>0.81874999999999998</v>
      </c>
      <c r="P2004" s="14">
        <f>IFERROR(L2004/G2004,0)</f>
        <v>0.43666666666666354</v>
      </c>
    </row>
    <row r="2005" spans="1:19" x14ac:dyDescent="0.3">
      <c r="A2005" s="9" t="s">
        <v>4337</v>
      </c>
      <c r="B2005" s="9" t="s">
        <v>26</v>
      </c>
      <c r="C2005" s="9" t="s">
        <v>26</v>
      </c>
      <c r="D2005" s="52">
        <v>46224</v>
      </c>
      <c r="E2005" s="48">
        <v>0.82638888888888884</v>
      </c>
      <c r="F2005" s="48">
        <v>0.83680555555555547</v>
      </c>
      <c r="G2005" s="43">
        <f>(F2005-E2005)*1440</f>
        <v>14.999999999999947</v>
      </c>
      <c r="H2005" s="9" t="s">
        <v>2579</v>
      </c>
      <c r="I2005" s="9" t="s">
        <v>1944</v>
      </c>
      <c r="J2005" s="44">
        <v>7.5</v>
      </c>
      <c r="K2005" s="60">
        <v>5.14</v>
      </c>
      <c r="L2005" s="56">
        <v>4.8099999999999996</v>
      </c>
      <c r="M2005" s="14">
        <f>K2005-L2005</f>
        <v>0.33000000000000007</v>
      </c>
      <c r="N2005" s="15">
        <f>IFERROR(M2005/K2005,0)</f>
        <v>6.4202334630350216E-2</v>
      </c>
      <c r="O2005" s="14">
        <f>IFERROR(L2005/J2005,0)</f>
        <v>0.64133333333333331</v>
      </c>
      <c r="P2005" s="14">
        <f>IFERROR(L2005/G2005,0)</f>
        <v>0.32066666666666777</v>
      </c>
    </row>
    <row r="2006" spans="1:19" x14ac:dyDescent="0.3">
      <c r="A2006" s="9" t="s">
        <v>4338</v>
      </c>
      <c r="B2006" s="9" t="s">
        <v>18</v>
      </c>
      <c r="C2006" s="9" t="s">
        <v>184</v>
      </c>
      <c r="D2006" s="52">
        <v>46224</v>
      </c>
      <c r="E2006" s="48">
        <v>0.5493055555555556</v>
      </c>
      <c r="F2006" s="48">
        <v>0.56319444444444444</v>
      </c>
      <c r="G2006" s="43">
        <f>(F2006-E2006)*1440</f>
        <v>19.999999999999929</v>
      </c>
      <c r="H2006" s="9" t="s">
        <v>4640</v>
      </c>
      <c r="I2006" s="9" t="s">
        <v>1207</v>
      </c>
      <c r="J2006" s="44">
        <v>13.13</v>
      </c>
      <c r="K2006" s="60">
        <v>7.95</v>
      </c>
      <c r="L2006" s="56">
        <v>5.28</v>
      </c>
      <c r="M2006" s="14">
        <f>K2006-L2006</f>
        <v>2.67</v>
      </c>
      <c r="N2006" s="15">
        <f>IFERROR(M2006/K2006,0)</f>
        <v>0.33584905660377357</v>
      </c>
      <c r="O2006" s="14">
        <f>IFERROR(L2006/J2006,0)</f>
        <v>0.40213252094440211</v>
      </c>
      <c r="P2006" s="14">
        <f>IFERROR(L2006/G2006,0)</f>
        <v>0.26400000000000096</v>
      </c>
    </row>
    <row r="2007" spans="1:19" x14ac:dyDescent="0.3">
      <c r="A2007" s="9" t="s">
        <v>4339</v>
      </c>
      <c r="B2007" s="9" t="s">
        <v>18</v>
      </c>
      <c r="C2007" s="9" t="s">
        <v>184</v>
      </c>
      <c r="D2007" s="52">
        <v>46224</v>
      </c>
      <c r="E2007" s="48">
        <v>0.55625000000000002</v>
      </c>
      <c r="F2007" s="48">
        <v>0.5708333333333333</v>
      </c>
      <c r="G2007" s="43">
        <f>(F2007-E2007)*1440</f>
        <v>20.999999999999925</v>
      </c>
      <c r="H2007" s="9" t="s">
        <v>584</v>
      </c>
      <c r="I2007" s="9" t="s">
        <v>1877</v>
      </c>
      <c r="J2007" s="44">
        <v>19.91</v>
      </c>
      <c r="K2007" s="60">
        <v>5.73</v>
      </c>
      <c r="L2007" s="56">
        <v>5.56</v>
      </c>
      <c r="M2007" s="14">
        <f>K2007-L2007</f>
        <v>0.17000000000000082</v>
      </c>
      <c r="N2007" s="15">
        <f>IFERROR(M2007/K2007,0)</f>
        <v>2.9668411867364887E-2</v>
      </c>
      <c r="O2007" s="14">
        <f>IFERROR(L2007/J2007,0)</f>
        <v>0.27925665494726265</v>
      </c>
      <c r="P2007" s="14">
        <f>IFERROR(L2007/G2007,0)</f>
        <v>0.2647619047619057</v>
      </c>
    </row>
    <row r="2008" spans="1:19" x14ac:dyDescent="0.3">
      <c r="A2008" s="9" t="s">
        <v>4340</v>
      </c>
      <c r="B2008" s="9" t="s">
        <v>18</v>
      </c>
      <c r="C2008" s="9" t="s">
        <v>184</v>
      </c>
      <c r="D2008" s="52">
        <v>46224</v>
      </c>
      <c r="E2008" s="48">
        <v>0.58194444444444449</v>
      </c>
      <c r="F2008" s="48">
        <v>0.59583333333333333</v>
      </c>
      <c r="G2008" s="43">
        <f>(F2008-E2008)*1440</f>
        <v>19.999999999999929</v>
      </c>
      <c r="H2008" s="9" t="s">
        <v>4641</v>
      </c>
      <c r="I2008" s="9" t="s">
        <v>4642</v>
      </c>
      <c r="J2008" s="44">
        <v>18.05</v>
      </c>
      <c r="K2008" s="60">
        <v>7.95</v>
      </c>
      <c r="L2008" s="56">
        <v>6.81</v>
      </c>
      <c r="M2008" s="14">
        <f>K2008-L2008</f>
        <v>1.1400000000000006</v>
      </c>
      <c r="N2008" s="15">
        <f>IFERROR(M2008/K2008,0)</f>
        <v>0.14339622641509442</v>
      </c>
      <c r="O2008" s="14">
        <f>IFERROR(L2008/J2008,0)</f>
        <v>0.37728531855955677</v>
      </c>
      <c r="P2008" s="14">
        <f>IFERROR(L2008/G2008,0)</f>
        <v>0.34050000000000119</v>
      </c>
    </row>
    <row r="2009" spans="1:19" x14ac:dyDescent="0.3">
      <c r="A2009" s="9" t="s">
        <v>4341</v>
      </c>
      <c r="B2009" s="9" t="s">
        <v>18</v>
      </c>
      <c r="C2009" s="9" t="s">
        <v>184</v>
      </c>
      <c r="D2009" s="52">
        <v>46224</v>
      </c>
      <c r="E2009" s="48">
        <v>0.60069444444444442</v>
      </c>
      <c r="F2009" s="48">
        <v>0.61944444444444446</v>
      </c>
      <c r="G2009" s="43">
        <f>(F2009-E2009)*1440</f>
        <v>27.000000000000064</v>
      </c>
      <c r="H2009" s="9" t="s">
        <v>1821</v>
      </c>
      <c r="I2009" s="9" t="s">
        <v>4643</v>
      </c>
      <c r="J2009" s="44">
        <v>9.81</v>
      </c>
      <c r="K2009" s="60">
        <v>7.94</v>
      </c>
      <c r="L2009" s="56">
        <v>5.92</v>
      </c>
      <c r="M2009" s="14">
        <f>K2009-L2009</f>
        <v>2.0200000000000005</v>
      </c>
      <c r="N2009" s="15">
        <f>IFERROR(M2009/K2009,0)</f>
        <v>0.25440806045340053</v>
      </c>
      <c r="O2009" s="14">
        <f>IFERROR(L2009/J2009,0)</f>
        <v>0.60346585117227314</v>
      </c>
      <c r="P2009" s="14">
        <f>IFERROR(L2009/G2009,0)</f>
        <v>0.21925925925925874</v>
      </c>
    </row>
    <row r="2010" spans="1:19" x14ac:dyDescent="0.3">
      <c r="A2010" s="9" t="s">
        <v>4342</v>
      </c>
      <c r="B2010" s="9" t="s">
        <v>18</v>
      </c>
      <c r="C2010" s="9" t="s">
        <v>184</v>
      </c>
      <c r="D2010" s="52">
        <v>46224</v>
      </c>
      <c r="E2010" s="48">
        <v>0.61944444444444446</v>
      </c>
      <c r="F2010" s="48">
        <v>0.63611111111111118</v>
      </c>
      <c r="G2010" s="43">
        <f>(F2010-E2010)*1440</f>
        <v>24.000000000000075</v>
      </c>
      <c r="H2010" s="9" t="s">
        <v>4644</v>
      </c>
      <c r="I2010" s="9" t="s">
        <v>4645</v>
      </c>
      <c r="J2010" s="44">
        <v>13.42</v>
      </c>
      <c r="K2010" s="60">
        <v>9.93</v>
      </c>
      <c r="L2010" s="56">
        <v>6.45</v>
      </c>
      <c r="M2010" s="14">
        <f>K2010-L2010</f>
        <v>3.4799999999999995</v>
      </c>
      <c r="N2010" s="15">
        <f>IFERROR(M2010/K2010,0)</f>
        <v>0.35045317220543803</v>
      </c>
      <c r="O2010" s="14">
        <f>IFERROR(L2010/J2010,0)</f>
        <v>0.48062593144560362</v>
      </c>
      <c r="P2010" s="14">
        <f>IFERROR(L2010/G2010,0)</f>
        <v>0.26874999999999916</v>
      </c>
    </row>
    <row r="2011" spans="1:19" x14ac:dyDescent="0.3">
      <c r="A2011" s="9" t="s">
        <v>4343</v>
      </c>
      <c r="B2011" s="9" t="s">
        <v>18</v>
      </c>
      <c r="C2011" s="9" t="s">
        <v>184</v>
      </c>
      <c r="D2011" s="52">
        <v>46224</v>
      </c>
      <c r="E2011" s="48">
        <v>0.65486111111111112</v>
      </c>
      <c r="F2011" s="48">
        <v>0.66527777777777775</v>
      </c>
      <c r="G2011" s="43">
        <f>(F2011-E2011)*1440</f>
        <v>14.999999999999947</v>
      </c>
      <c r="H2011" s="9" t="s">
        <v>4645</v>
      </c>
      <c r="I2011" s="9" t="s">
        <v>4646</v>
      </c>
      <c r="J2011" s="44">
        <v>12.51</v>
      </c>
      <c r="K2011" s="60">
        <v>7.94</v>
      </c>
      <c r="L2011" s="56">
        <v>6.47</v>
      </c>
      <c r="M2011" s="14">
        <f>K2011-L2011</f>
        <v>1.4700000000000006</v>
      </c>
      <c r="N2011" s="15">
        <f>IFERROR(M2011/K2011,0)</f>
        <v>0.18513853904282124</v>
      </c>
      <c r="O2011" s="14">
        <f>IFERROR(L2011/J2011,0)</f>
        <v>0.51718625099920068</v>
      </c>
      <c r="P2011" s="14">
        <f>IFERROR(L2011/G2011,0)</f>
        <v>0.43133333333333485</v>
      </c>
    </row>
    <row r="2012" spans="1:19" x14ac:dyDescent="0.3">
      <c r="A2012" s="9" t="s">
        <v>4344</v>
      </c>
      <c r="B2012" s="9" t="s">
        <v>18</v>
      </c>
      <c r="C2012" s="9" t="s">
        <v>196</v>
      </c>
      <c r="D2012" s="52">
        <v>46224</v>
      </c>
      <c r="E2012" s="48">
        <v>0.68611111111111101</v>
      </c>
      <c r="F2012" s="48">
        <v>0.69513888888888886</v>
      </c>
      <c r="G2012" s="43">
        <f>(F2012-E2012)*1440</f>
        <v>13.000000000000114</v>
      </c>
      <c r="H2012" s="9" t="s">
        <v>4647</v>
      </c>
      <c r="I2012" s="9" t="s">
        <v>4648</v>
      </c>
      <c r="J2012" s="44">
        <v>7.36</v>
      </c>
      <c r="K2012" s="60">
        <v>8.35</v>
      </c>
      <c r="L2012" s="56">
        <v>5.82</v>
      </c>
      <c r="M2012" s="14">
        <f>K2012-L2012</f>
        <v>2.5299999999999994</v>
      </c>
      <c r="N2012" s="15">
        <f>IFERROR(M2012/K2012,0)</f>
        <v>0.30299401197604786</v>
      </c>
      <c r="O2012" s="14">
        <f>IFERROR(L2012/J2012,0)</f>
        <v>0.79076086956521741</v>
      </c>
      <c r="P2012" s="14">
        <f>IFERROR(L2012/G2012,0)</f>
        <v>0.44769230769230378</v>
      </c>
    </row>
    <row r="2013" spans="1:19" x14ac:dyDescent="0.3">
      <c r="A2013" s="9" t="s">
        <v>4345</v>
      </c>
      <c r="B2013" s="9" t="s">
        <v>18</v>
      </c>
      <c r="C2013" s="9" t="s">
        <v>184</v>
      </c>
      <c r="D2013" s="52">
        <v>46224</v>
      </c>
      <c r="E2013" s="48">
        <v>0.7055555555555556</v>
      </c>
      <c r="F2013" s="48">
        <v>0.71319444444444446</v>
      </c>
      <c r="G2013" s="43">
        <f>(F2013-E2013)*1440</f>
        <v>10.999999999999961</v>
      </c>
      <c r="H2013" s="9" t="s">
        <v>4649</v>
      </c>
      <c r="I2013" s="9" t="s">
        <v>233</v>
      </c>
      <c r="J2013" s="44">
        <v>8.64</v>
      </c>
      <c r="K2013" s="60">
        <v>5.93</v>
      </c>
      <c r="L2013" s="56">
        <v>4.91</v>
      </c>
      <c r="M2013" s="14">
        <f>K2013-L2013</f>
        <v>1.0199999999999996</v>
      </c>
      <c r="N2013" s="15">
        <f>IFERROR(M2013/K2013,0)</f>
        <v>0.17200674536256316</v>
      </c>
      <c r="O2013" s="14">
        <f>IFERROR(L2013/J2013,0)</f>
        <v>0.56828703703703698</v>
      </c>
      <c r="P2013" s="14">
        <f>IFERROR(L2013/G2013,0)</f>
        <v>0.44636363636363796</v>
      </c>
    </row>
    <row r="2014" spans="1:19" x14ac:dyDescent="0.3">
      <c r="A2014" s="9" t="s">
        <v>4346</v>
      </c>
      <c r="B2014" s="9" t="s">
        <v>18</v>
      </c>
      <c r="C2014" s="9" t="s">
        <v>196</v>
      </c>
      <c r="D2014" s="52">
        <v>46224</v>
      </c>
      <c r="E2014" s="48">
        <v>0.72013888888888899</v>
      </c>
      <c r="F2014" s="48">
        <v>0.7270833333333333</v>
      </c>
      <c r="G2014" s="43">
        <f>(F2014-E2014)*1440</f>
        <v>9.9999999999998046</v>
      </c>
      <c r="H2014" s="9" t="s">
        <v>233</v>
      </c>
      <c r="I2014" s="9" t="s">
        <v>4650</v>
      </c>
      <c r="J2014" s="44">
        <v>3.44</v>
      </c>
      <c r="K2014" s="60">
        <v>10.98</v>
      </c>
      <c r="L2014" s="56">
        <v>8.0299999999999994</v>
      </c>
      <c r="M2014" s="14">
        <f>K2014-L2014</f>
        <v>2.9500000000000011</v>
      </c>
      <c r="N2014" s="15">
        <f>IFERROR(M2014/K2014,0)</f>
        <v>0.26867030965391631</v>
      </c>
      <c r="O2014" s="14">
        <f>IFERROR(L2014/J2014,0)</f>
        <v>2.3343023255813953</v>
      </c>
      <c r="P2014" s="14">
        <f>IFERROR(L2014/G2014,0)</f>
        <v>0.80300000000001559</v>
      </c>
      <c r="S2014" s="61">
        <v>1</v>
      </c>
    </row>
    <row r="2015" spans="1:19" x14ac:dyDescent="0.3">
      <c r="A2015" s="9" t="s">
        <v>4347</v>
      </c>
      <c r="B2015" s="9" t="s">
        <v>18</v>
      </c>
      <c r="C2015" s="9" t="s">
        <v>184</v>
      </c>
      <c r="D2015" s="52">
        <v>46224</v>
      </c>
      <c r="E2015" s="48">
        <v>0.72777777777777775</v>
      </c>
      <c r="F2015" s="48">
        <v>0.73958333333333337</v>
      </c>
      <c r="G2015" s="43">
        <f>(F2015-E2015)*1440</f>
        <v>17.000000000000099</v>
      </c>
      <c r="H2015" s="9" t="s">
        <v>1950</v>
      </c>
      <c r="I2015" s="9" t="s">
        <v>4651</v>
      </c>
      <c r="J2015" s="44">
        <v>7.84</v>
      </c>
      <c r="K2015" s="60">
        <v>8.93</v>
      </c>
      <c r="L2015" s="56">
        <v>7.55</v>
      </c>
      <c r="M2015" s="14">
        <f>K2015-L2015</f>
        <v>1.38</v>
      </c>
      <c r="N2015" s="15">
        <f>IFERROR(M2015/K2015,0)</f>
        <v>0.15453527435610301</v>
      </c>
      <c r="O2015" s="14">
        <f>IFERROR(L2015/J2015,0)</f>
        <v>0.96301020408163263</v>
      </c>
      <c r="P2015" s="14">
        <f>IFERROR(L2015/G2015,0)</f>
        <v>0.4441176470588209</v>
      </c>
    </row>
    <row r="2016" spans="1:19" x14ac:dyDescent="0.3">
      <c r="A2016" s="9" t="s">
        <v>4348</v>
      </c>
      <c r="B2016" s="9" t="s">
        <v>18</v>
      </c>
      <c r="C2016" s="9" t="s">
        <v>196</v>
      </c>
      <c r="D2016" s="52">
        <v>46224</v>
      </c>
      <c r="E2016" s="48">
        <v>0.75555555555555554</v>
      </c>
      <c r="F2016" s="48">
        <v>0.76527777777777783</v>
      </c>
      <c r="G2016" s="43">
        <f>(F2016-E2016)*1440</f>
        <v>14.00000000000011</v>
      </c>
      <c r="H2016" s="9" t="s">
        <v>884</v>
      </c>
      <c r="I2016" s="9" t="s">
        <v>4652</v>
      </c>
      <c r="J2016" s="44">
        <v>9.36</v>
      </c>
      <c r="K2016" s="60">
        <v>10.97</v>
      </c>
      <c r="L2016" s="56">
        <v>6.87</v>
      </c>
      <c r="M2016" s="14">
        <f>K2016-L2016</f>
        <v>4.1000000000000005</v>
      </c>
      <c r="N2016" s="15">
        <f>IFERROR(M2016/K2016,0)</f>
        <v>0.37374658158614404</v>
      </c>
      <c r="O2016" s="14">
        <f>IFERROR(L2016/J2016,0)</f>
        <v>0.73397435897435903</v>
      </c>
      <c r="P2016" s="14">
        <f>IFERROR(L2016/G2016,0)</f>
        <v>0.49071428571428188</v>
      </c>
      <c r="Q2016" s="64">
        <v>0.4</v>
      </c>
    </row>
    <row r="2017" spans="1:17" x14ac:dyDescent="0.3">
      <c r="A2017" s="9" t="s">
        <v>4349</v>
      </c>
      <c r="B2017" s="9" t="s">
        <v>18</v>
      </c>
      <c r="C2017" s="9" t="s">
        <v>184</v>
      </c>
      <c r="D2017" s="52">
        <v>46224</v>
      </c>
      <c r="E2017" s="48">
        <v>0.76527777777777783</v>
      </c>
      <c r="F2017" s="48">
        <v>0.77500000000000002</v>
      </c>
      <c r="G2017" s="43">
        <f>(F2017-E2017)*1440</f>
        <v>13.99999999999995</v>
      </c>
      <c r="H2017" s="9" t="s">
        <v>4653</v>
      </c>
      <c r="I2017" s="9" t="s">
        <v>1288</v>
      </c>
      <c r="J2017" s="44">
        <v>5.97</v>
      </c>
      <c r="K2017" s="60">
        <v>5.15</v>
      </c>
      <c r="L2017" s="56">
        <v>5</v>
      </c>
      <c r="M2017" s="14">
        <f>K2017-L2017</f>
        <v>0.15000000000000036</v>
      </c>
      <c r="N2017" s="15">
        <f>IFERROR(M2017/K2017,0)</f>
        <v>2.9126213592233077E-2</v>
      </c>
      <c r="O2017" s="14">
        <f>IFERROR(L2017/J2017,0)</f>
        <v>0.83752093802345062</v>
      </c>
      <c r="P2017" s="14">
        <f>IFERROR(L2017/G2017,0)</f>
        <v>0.35714285714285843</v>
      </c>
    </row>
    <row r="2018" spans="1:17" x14ac:dyDescent="0.3">
      <c r="A2018" s="9" t="s">
        <v>4350</v>
      </c>
      <c r="B2018" s="9" t="s">
        <v>18</v>
      </c>
      <c r="C2018" s="9" t="s">
        <v>184</v>
      </c>
      <c r="D2018" s="52">
        <v>46224</v>
      </c>
      <c r="E2018" s="48">
        <v>0.81527777777777777</v>
      </c>
      <c r="F2018" s="48">
        <v>0.8222222222222223</v>
      </c>
      <c r="G2018" s="43">
        <f>(F2018-E2018)*1440</f>
        <v>10.000000000000124</v>
      </c>
      <c r="H2018" s="9" t="s">
        <v>2592</v>
      </c>
      <c r="I2018" s="9" t="s">
        <v>4654</v>
      </c>
      <c r="J2018" s="44">
        <v>6.31</v>
      </c>
      <c r="K2018" s="60">
        <v>5.94</v>
      </c>
      <c r="L2018" s="56">
        <v>4.2300000000000004</v>
      </c>
      <c r="M2018" s="14">
        <f>K2018-L2018</f>
        <v>1.71</v>
      </c>
      <c r="N2018" s="15">
        <f>IFERROR(M2018/K2018,0)</f>
        <v>0.28787878787878785</v>
      </c>
      <c r="O2018" s="14">
        <f>IFERROR(L2018/J2018,0)</f>
        <v>0.67036450079239318</v>
      </c>
      <c r="P2018" s="14">
        <f>IFERROR(L2018/G2018,0)</f>
        <v>0.42299999999999477</v>
      </c>
    </row>
    <row r="2019" spans="1:17" x14ac:dyDescent="0.3">
      <c r="A2019" s="9" t="s">
        <v>4351</v>
      </c>
      <c r="B2019" s="9" t="s">
        <v>18</v>
      </c>
      <c r="C2019" s="9" t="s">
        <v>196</v>
      </c>
      <c r="D2019" s="52">
        <v>46224</v>
      </c>
      <c r="E2019" s="48">
        <v>0.83750000000000002</v>
      </c>
      <c r="F2019" s="48">
        <v>0.84375</v>
      </c>
      <c r="G2019" s="43">
        <f>(F2019-E2019)*1440</f>
        <v>8.999999999999968</v>
      </c>
      <c r="H2019" s="9" t="s">
        <v>2796</v>
      </c>
      <c r="I2019" s="9" t="s">
        <v>565</v>
      </c>
      <c r="J2019" s="44">
        <v>3.48</v>
      </c>
      <c r="K2019" s="60">
        <v>4.9800000000000004</v>
      </c>
      <c r="L2019" s="56">
        <v>3.67</v>
      </c>
      <c r="M2019" s="14">
        <f>K2019-L2019</f>
        <v>1.3100000000000005</v>
      </c>
      <c r="N2019" s="15">
        <f>IFERROR(M2019/K2019,0)</f>
        <v>0.26305220883534142</v>
      </c>
      <c r="O2019" s="14">
        <f>IFERROR(L2019/J2019,0)</f>
        <v>1.0545977011494252</v>
      </c>
      <c r="P2019" s="14">
        <f>IFERROR(L2019/G2019,0)</f>
        <v>0.40777777777777924</v>
      </c>
    </row>
    <row r="2020" spans="1:17" x14ac:dyDescent="0.3">
      <c r="A2020" s="9" t="s">
        <v>4352</v>
      </c>
      <c r="B2020" s="9" t="s">
        <v>18</v>
      </c>
      <c r="C2020" s="9" t="s">
        <v>196</v>
      </c>
      <c r="D2020" s="52">
        <v>46224</v>
      </c>
      <c r="E2020" s="48">
        <v>0.84375</v>
      </c>
      <c r="F2020" s="48">
        <v>0.86249999999999993</v>
      </c>
      <c r="G2020" s="43">
        <f>(F2020-E2020)*1440</f>
        <v>26.999999999999904</v>
      </c>
      <c r="H2020" s="9" t="s">
        <v>2482</v>
      </c>
      <c r="I2020" s="9" t="s">
        <v>4655</v>
      </c>
      <c r="J2020" s="44">
        <v>22.93</v>
      </c>
      <c r="K2020" s="60">
        <v>12.98</v>
      </c>
      <c r="L2020" s="56">
        <v>9.76</v>
      </c>
      <c r="M2020" s="14">
        <f>K2020-L2020</f>
        <v>3.2200000000000006</v>
      </c>
      <c r="N2020" s="15">
        <f>IFERROR(M2020/K2020,0)</f>
        <v>0.24807395993836676</v>
      </c>
      <c r="O2020" s="14">
        <f>IFERROR(L2020/J2020,0)</f>
        <v>0.42564326210204972</v>
      </c>
      <c r="P2020" s="14">
        <f>IFERROR(L2020/G2020,0)</f>
        <v>0.36148148148148274</v>
      </c>
    </row>
    <row r="2021" spans="1:17" x14ac:dyDescent="0.3">
      <c r="A2021" s="9" t="s">
        <v>4353</v>
      </c>
      <c r="B2021" s="9" t="s">
        <v>18</v>
      </c>
      <c r="C2021" s="9" t="s">
        <v>184</v>
      </c>
      <c r="D2021" s="52">
        <v>46226</v>
      </c>
      <c r="E2021" s="48">
        <v>0.56041666666666667</v>
      </c>
      <c r="F2021" s="48">
        <v>0.57708333333333328</v>
      </c>
      <c r="G2021" s="43">
        <f>(F2021-E2021)*1440</f>
        <v>23.999999999999915</v>
      </c>
      <c r="H2021" s="9" t="s">
        <v>4656</v>
      </c>
      <c r="I2021" s="9" t="s">
        <v>843</v>
      </c>
      <c r="J2021" s="44">
        <v>24.16</v>
      </c>
      <c r="K2021" s="60">
        <v>13.95</v>
      </c>
      <c r="L2021" s="56">
        <v>9.39</v>
      </c>
      <c r="M2021" s="14">
        <f>K2021-L2021</f>
        <v>4.5599999999999987</v>
      </c>
      <c r="N2021" s="15">
        <f>IFERROR(M2021/K2021,0)</f>
        <v>0.32688172043010744</v>
      </c>
      <c r="O2021" s="14">
        <f>IFERROR(L2021/J2021,0)</f>
        <v>0.38865894039735099</v>
      </c>
      <c r="P2021" s="14">
        <f>IFERROR(L2021/G2021,0)</f>
        <v>0.39125000000000143</v>
      </c>
    </row>
    <row r="2022" spans="1:17" x14ac:dyDescent="0.3">
      <c r="A2022" s="9" t="s">
        <v>4354</v>
      </c>
      <c r="B2022" s="9" t="s">
        <v>18</v>
      </c>
      <c r="C2022" s="9" t="s">
        <v>184</v>
      </c>
      <c r="D2022" s="52">
        <v>46226</v>
      </c>
      <c r="E2022" s="48">
        <v>0.57986111111111105</v>
      </c>
      <c r="F2022" s="48">
        <v>0.59583333333333333</v>
      </c>
      <c r="G2022" s="43">
        <f>(F2022-E2022)*1440</f>
        <v>23.000000000000078</v>
      </c>
      <c r="H2022" s="9" t="s">
        <v>2147</v>
      </c>
      <c r="I2022" s="9" t="s">
        <v>1179</v>
      </c>
      <c r="J2022" s="44">
        <v>7.91</v>
      </c>
      <c r="K2022" s="60">
        <v>6.96</v>
      </c>
      <c r="L2022" s="56">
        <v>5.05</v>
      </c>
      <c r="M2022" s="14">
        <f>K2022-L2022</f>
        <v>1.9100000000000001</v>
      </c>
      <c r="N2022" s="15">
        <f>IFERROR(M2022/K2022,0)</f>
        <v>0.27442528735632188</v>
      </c>
      <c r="O2022" s="14">
        <f>IFERROR(L2022/J2022,0)</f>
        <v>0.63843236409608084</v>
      </c>
      <c r="P2022" s="14">
        <f>IFERROR(L2022/G2022,0)</f>
        <v>0.21956521739130361</v>
      </c>
    </row>
    <row r="2023" spans="1:17" x14ac:dyDescent="0.3">
      <c r="A2023" s="9" t="s">
        <v>4355</v>
      </c>
      <c r="B2023" s="9" t="s">
        <v>18</v>
      </c>
      <c r="C2023" s="9" t="s">
        <v>196</v>
      </c>
      <c r="D2023" s="52">
        <v>46226</v>
      </c>
      <c r="E2023" s="48">
        <v>0.59861111111111109</v>
      </c>
      <c r="F2023" s="48">
        <v>0.60416666666666663</v>
      </c>
      <c r="G2023" s="43">
        <f>(F2023-E2023)*1440</f>
        <v>7.9999999999999716</v>
      </c>
      <c r="H2023" s="9" t="s">
        <v>4657</v>
      </c>
      <c r="I2023" s="9" t="s">
        <v>1950</v>
      </c>
      <c r="J2023" s="44">
        <v>4.2300000000000004</v>
      </c>
      <c r="K2023" s="60">
        <v>4.9800000000000004</v>
      </c>
      <c r="L2023" s="56">
        <v>3.67</v>
      </c>
      <c r="M2023" s="14">
        <f>K2023-L2023</f>
        <v>1.3100000000000005</v>
      </c>
      <c r="N2023" s="15">
        <f>IFERROR(M2023/K2023,0)</f>
        <v>0.26305220883534142</v>
      </c>
      <c r="O2023" s="14">
        <f>IFERROR(L2023/J2023,0)</f>
        <v>0.86761229314420796</v>
      </c>
      <c r="P2023" s="14">
        <f>IFERROR(L2023/G2023,0)</f>
        <v>0.4587500000000016</v>
      </c>
    </row>
    <row r="2024" spans="1:17" x14ac:dyDescent="0.3">
      <c r="A2024" s="9" t="s">
        <v>4356</v>
      </c>
      <c r="B2024" s="9" t="s">
        <v>18</v>
      </c>
      <c r="C2024" s="9" t="s">
        <v>184</v>
      </c>
      <c r="D2024" s="52">
        <v>46226</v>
      </c>
      <c r="E2024" s="48">
        <v>0.63888888888888895</v>
      </c>
      <c r="F2024" s="48">
        <v>0.65069444444444446</v>
      </c>
      <c r="G2024" s="43">
        <f>(F2024-E2024)*1440</f>
        <v>16.99999999999994</v>
      </c>
      <c r="H2024" s="9" t="s">
        <v>4658</v>
      </c>
      <c r="I2024" s="9" t="s">
        <v>214</v>
      </c>
      <c r="J2024" s="44">
        <v>9.27</v>
      </c>
      <c r="K2024" s="60">
        <v>5.95</v>
      </c>
      <c r="L2024" s="56">
        <v>4.99</v>
      </c>
      <c r="M2024" s="14">
        <f>K2024-L2024</f>
        <v>0.96</v>
      </c>
      <c r="N2024" s="15">
        <f>IFERROR(M2024/K2024,0)</f>
        <v>0.16134453781512603</v>
      </c>
      <c r="O2024" s="14">
        <f>IFERROR(L2024/J2024,0)</f>
        <v>0.53829557713052867</v>
      </c>
      <c r="P2024" s="14">
        <f>IFERROR(L2024/G2024,0)</f>
        <v>0.29352941176470693</v>
      </c>
    </row>
    <row r="2025" spans="1:17" x14ac:dyDescent="0.3">
      <c r="A2025" s="9" t="s">
        <v>4357</v>
      </c>
      <c r="B2025" s="9" t="s">
        <v>18</v>
      </c>
      <c r="C2025" s="9" t="s">
        <v>196</v>
      </c>
      <c r="D2025" s="52">
        <v>46226</v>
      </c>
      <c r="E2025" s="48">
        <v>0.65902777777777777</v>
      </c>
      <c r="F2025" s="48">
        <v>0.66875000000000007</v>
      </c>
      <c r="G2025" s="43">
        <f>(F2025-E2025)*1440</f>
        <v>14.00000000000011</v>
      </c>
      <c r="H2025" s="9" t="s">
        <v>214</v>
      </c>
      <c r="I2025" s="9" t="s">
        <v>1728</v>
      </c>
      <c r="J2025" s="44">
        <v>5.41</v>
      </c>
      <c r="K2025" s="60">
        <v>6.17</v>
      </c>
      <c r="L2025" s="56">
        <v>3.89</v>
      </c>
      <c r="M2025" s="14">
        <f>K2025-L2025</f>
        <v>2.2799999999999998</v>
      </c>
      <c r="N2025" s="15">
        <f>IFERROR(M2025/K2025,0)</f>
        <v>0.36952998379254454</v>
      </c>
      <c r="O2025" s="14">
        <f>IFERROR(L2025/J2025,0)</f>
        <v>0.71903881700554528</v>
      </c>
      <c r="P2025" s="14">
        <f>IFERROR(L2025/G2025,0)</f>
        <v>0.27785714285714069</v>
      </c>
    </row>
    <row r="2026" spans="1:17" x14ac:dyDescent="0.3">
      <c r="A2026" s="9" t="s">
        <v>4358</v>
      </c>
      <c r="B2026" s="9" t="s">
        <v>18</v>
      </c>
      <c r="C2026" s="9" t="s">
        <v>184</v>
      </c>
      <c r="D2026" s="52">
        <v>46226</v>
      </c>
      <c r="E2026" s="48">
        <v>0.66527777777777775</v>
      </c>
      <c r="F2026" s="48">
        <v>0.6743055555555556</v>
      </c>
      <c r="G2026" s="43">
        <f>(F2026-E2026)*1440</f>
        <v>13.000000000000114</v>
      </c>
      <c r="H2026" s="9" t="s">
        <v>648</v>
      </c>
      <c r="I2026" s="9" t="s">
        <v>2971</v>
      </c>
      <c r="J2026" s="44">
        <v>5.94</v>
      </c>
      <c r="K2026" s="60">
        <v>4.9400000000000004</v>
      </c>
      <c r="L2026" s="56">
        <v>3.9</v>
      </c>
      <c r="M2026" s="14">
        <f>K2026-L2026</f>
        <v>1.0400000000000005</v>
      </c>
      <c r="N2026" s="15">
        <f>IFERROR(M2026/K2026,0)</f>
        <v>0.21052631578947376</v>
      </c>
      <c r="O2026" s="14">
        <f>IFERROR(L2026/J2026,0)</f>
        <v>0.65656565656565646</v>
      </c>
      <c r="P2026" s="14">
        <f>IFERROR(L2026/G2026,0)</f>
        <v>0.29999999999999738</v>
      </c>
    </row>
    <row r="2027" spans="1:17" x14ac:dyDescent="0.3">
      <c r="A2027" s="9" t="s">
        <v>4359</v>
      </c>
      <c r="B2027" s="9" t="s">
        <v>18</v>
      </c>
      <c r="C2027" s="9" t="s">
        <v>184</v>
      </c>
      <c r="D2027" s="52">
        <v>46226</v>
      </c>
      <c r="E2027" s="48">
        <v>0.73263888888888884</v>
      </c>
      <c r="F2027" s="48">
        <v>0.7416666666666667</v>
      </c>
      <c r="G2027" s="43">
        <f>(F2027-E2027)*1440</f>
        <v>13.000000000000114</v>
      </c>
      <c r="H2027" s="9" t="s">
        <v>3087</v>
      </c>
      <c r="I2027" s="9" t="s">
        <v>233</v>
      </c>
      <c r="J2027" s="44">
        <v>8.85</v>
      </c>
      <c r="K2027" s="60">
        <v>7.95</v>
      </c>
      <c r="L2027" s="56">
        <v>6.33</v>
      </c>
      <c r="M2027" s="14">
        <f>K2027-L2027</f>
        <v>1.62</v>
      </c>
      <c r="N2027" s="15">
        <f>IFERROR(M2027/K2027,0)</f>
        <v>0.20377358490566039</v>
      </c>
      <c r="O2027" s="14">
        <f>IFERROR(L2027/J2027,0)</f>
        <v>0.71525423728813564</v>
      </c>
      <c r="P2027" s="14">
        <f>IFERROR(L2027/G2027,0)</f>
        <v>0.48692307692307268</v>
      </c>
    </row>
    <row r="2028" spans="1:17" x14ac:dyDescent="0.3">
      <c r="A2028" s="9" t="s">
        <v>4360</v>
      </c>
      <c r="B2028" s="9" t="s">
        <v>18</v>
      </c>
      <c r="C2028" s="9" t="s">
        <v>184</v>
      </c>
      <c r="D2028" s="52">
        <v>46226</v>
      </c>
      <c r="E2028" s="48">
        <v>0.81319444444444444</v>
      </c>
      <c r="F2028" s="48">
        <v>0.8305555555555556</v>
      </c>
      <c r="G2028" s="43">
        <f>(F2028-E2028)*1440</f>
        <v>25.000000000000071</v>
      </c>
      <c r="H2028" s="9" t="s">
        <v>4659</v>
      </c>
      <c r="I2028" s="9" t="s">
        <v>4660</v>
      </c>
      <c r="J2028" s="44">
        <v>21.56</v>
      </c>
      <c r="K2028" s="60">
        <v>14.28</v>
      </c>
      <c r="L2028" s="56">
        <v>8.25</v>
      </c>
      <c r="M2028" s="14">
        <f>K2028-L2028</f>
        <v>6.0299999999999994</v>
      </c>
      <c r="N2028" s="15">
        <f>IFERROR(M2028/K2028,0)</f>
        <v>0.42226890756302521</v>
      </c>
      <c r="O2028" s="14">
        <f>IFERROR(L2028/J2028,0)</f>
        <v>0.38265306122448983</v>
      </c>
      <c r="P2028" s="14">
        <f>IFERROR(L2028/G2028,0)</f>
        <v>0.32999999999999907</v>
      </c>
      <c r="Q2028" s="64">
        <v>2.35</v>
      </c>
    </row>
    <row r="2029" spans="1:17" x14ac:dyDescent="0.3">
      <c r="A2029" s="9" t="s">
        <v>4361</v>
      </c>
      <c r="B2029" s="9" t="s">
        <v>26</v>
      </c>
      <c r="C2029" s="9" t="s">
        <v>27</v>
      </c>
      <c r="D2029" s="52">
        <v>46226</v>
      </c>
      <c r="E2029" s="48">
        <v>0.61111111111111105</v>
      </c>
      <c r="F2029" s="48">
        <v>0.62361111111111112</v>
      </c>
      <c r="G2029" s="43">
        <f>(F2029-E2029)*1440</f>
        <v>18.000000000000096</v>
      </c>
      <c r="H2029" s="9" t="s">
        <v>4661</v>
      </c>
      <c r="I2029" s="9" t="s">
        <v>4662</v>
      </c>
      <c r="J2029" s="44">
        <v>9.6</v>
      </c>
      <c r="K2029" s="60">
        <v>7.98</v>
      </c>
      <c r="L2029" s="56">
        <v>5.98</v>
      </c>
      <c r="M2029" s="14">
        <f>K2029-L2029</f>
        <v>2</v>
      </c>
      <c r="N2029" s="15">
        <f>IFERROR(M2029/K2029,0)</f>
        <v>0.25062656641604009</v>
      </c>
      <c r="O2029" s="14">
        <f>IFERROR(L2029/J2029,0)</f>
        <v>0.62291666666666679</v>
      </c>
      <c r="P2029" s="14">
        <f>IFERROR(L2029/G2029,0)</f>
        <v>0.33222222222222048</v>
      </c>
    </row>
    <row r="2030" spans="1:17" x14ac:dyDescent="0.3">
      <c r="A2030" s="9" t="s">
        <v>4362</v>
      </c>
      <c r="B2030" s="9" t="s">
        <v>26</v>
      </c>
      <c r="C2030" s="9" t="s">
        <v>27</v>
      </c>
      <c r="D2030" s="52">
        <v>46226</v>
      </c>
      <c r="E2030" s="48">
        <v>0.68472222222222223</v>
      </c>
      <c r="F2030" s="48">
        <v>0.70000000000000007</v>
      </c>
      <c r="G2030" s="43">
        <f>(F2030-E2030)*1440</f>
        <v>22.000000000000082</v>
      </c>
      <c r="H2030" s="9" t="s">
        <v>4662</v>
      </c>
      <c r="I2030" s="9" t="s">
        <v>4663</v>
      </c>
      <c r="J2030" s="44">
        <v>8.1999999999999993</v>
      </c>
      <c r="K2030" s="60">
        <v>7.57</v>
      </c>
      <c r="L2030" s="56">
        <v>5.68</v>
      </c>
      <c r="M2030" s="14">
        <f>K2030-L2030</f>
        <v>1.8900000000000006</v>
      </c>
      <c r="N2030" s="15">
        <f>IFERROR(M2030/K2030,0)</f>
        <v>0.2496697490092471</v>
      </c>
      <c r="O2030" s="14">
        <f>IFERROR(L2030/J2030,0)</f>
        <v>0.69268292682926835</v>
      </c>
      <c r="P2030" s="14">
        <f>IFERROR(L2030/G2030,0)</f>
        <v>0.25818181818181724</v>
      </c>
    </row>
    <row r="2031" spans="1:17" x14ac:dyDescent="0.3">
      <c r="A2031" s="9" t="s">
        <v>4363</v>
      </c>
      <c r="B2031" s="9" t="s">
        <v>26</v>
      </c>
      <c r="C2031" s="9" t="s">
        <v>26</v>
      </c>
      <c r="D2031" s="52">
        <v>46226</v>
      </c>
      <c r="E2031" s="48">
        <v>0.70486111111111116</v>
      </c>
      <c r="F2031" s="48">
        <v>0.71388888888888891</v>
      </c>
      <c r="G2031" s="43">
        <f>(F2031-E2031)*1440</f>
        <v>12.999999999999954</v>
      </c>
      <c r="H2031" s="9" t="s">
        <v>2923</v>
      </c>
      <c r="I2031" s="9" t="s">
        <v>1316</v>
      </c>
      <c r="J2031" s="44">
        <v>6.8</v>
      </c>
      <c r="K2031" s="60">
        <v>6.97</v>
      </c>
      <c r="L2031" s="56">
        <v>6.05</v>
      </c>
      <c r="M2031" s="14">
        <f>K2031-L2031</f>
        <v>0.91999999999999993</v>
      </c>
      <c r="N2031" s="15">
        <f>IFERROR(M2031/K2031,0)</f>
        <v>0.13199426111908177</v>
      </c>
      <c r="O2031" s="14">
        <f>IFERROR(L2031/J2031,0)</f>
        <v>0.88970588235294112</v>
      </c>
      <c r="P2031" s="14">
        <f>IFERROR(L2031/G2031,0)</f>
        <v>0.46538461538461701</v>
      </c>
    </row>
    <row r="2032" spans="1:17" x14ac:dyDescent="0.3">
      <c r="A2032" s="9" t="s">
        <v>4364</v>
      </c>
      <c r="B2032" s="9" t="s">
        <v>26</v>
      </c>
      <c r="C2032" s="9" t="s">
        <v>26</v>
      </c>
      <c r="D2032" s="52">
        <v>46226</v>
      </c>
      <c r="E2032" s="48">
        <v>0.7270833333333333</v>
      </c>
      <c r="F2032" s="48">
        <v>0.7319444444444444</v>
      </c>
      <c r="G2032" s="43">
        <f>(F2032-E2032)*1440</f>
        <v>6.9999999999999751</v>
      </c>
      <c r="H2032" s="9" t="s">
        <v>827</v>
      </c>
      <c r="I2032" s="9" t="s">
        <v>3301</v>
      </c>
      <c r="J2032" s="44">
        <v>2.4</v>
      </c>
      <c r="K2032" s="60">
        <v>4.62</v>
      </c>
      <c r="L2032" s="56">
        <v>3.46</v>
      </c>
      <c r="M2032" s="14">
        <f>K2032-L2032</f>
        <v>1.1600000000000001</v>
      </c>
      <c r="N2032" s="15">
        <f>IFERROR(M2032/K2032,0)</f>
        <v>0.25108225108225113</v>
      </c>
      <c r="O2032" s="14">
        <f>IFERROR(L2032/J2032,0)</f>
        <v>1.4416666666666667</v>
      </c>
      <c r="P2032" s="14">
        <f>IFERROR(L2032/G2032,0)</f>
        <v>0.49428571428571605</v>
      </c>
    </row>
    <row r="2033" spans="1:16" x14ac:dyDescent="0.3">
      <c r="A2033" s="9" t="s">
        <v>4365</v>
      </c>
      <c r="B2033" s="9" t="s">
        <v>26</v>
      </c>
      <c r="C2033" s="9" t="s">
        <v>27</v>
      </c>
      <c r="D2033" s="52">
        <v>46226</v>
      </c>
      <c r="E2033" s="48">
        <v>0.7631944444444444</v>
      </c>
      <c r="F2033" s="48">
        <v>0.7729166666666667</v>
      </c>
      <c r="G2033" s="43">
        <f>(F2033-E2033)*1440</f>
        <v>14.00000000000011</v>
      </c>
      <c r="H2033" s="9" t="s">
        <v>1158</v>
      </c>
      <c r="I2033" s="9" t="s">
        <v>4664</v>
      </c>
      <c r="J2033" s="44">
        <v>8.6</v>
      </c>
      <c r="K2033" s="60">
        <v>7.32</v>
      </c>
      <c r="L2033" s="56">
        <v>5.49</v>
      </c>
      <c r="M2033" s="14">
        <f>K2033-L2033</f>
        <v>1.83</v>
      </c>
      <c r="N2033" s="15">
        <f>IFERROR(M2033/K2033,0)</f>
        <v>0.25</v>
      </c>
      <c r="O2033" s="14">
        <f>IFERROR(L2033/J2033,0)</f>
        <v>0.63837209302325582</v>
      </c>
      <c r="P2033" s="14">
        <f>IFERROR(L2033/G2033,0)</f>
        <v>0.39214285714285407</v>
      </c>
    </row>
    <row r="2034" spans="1:16" x14ac:dyDescent="0.3">
      <c r="A2034" s="9" t="s">
        <v>4366</v>
      </c>
      <c r="B2034" s="9" t="s">
        <v>26</v>
      </c>
      <c r="C2034" s="9" t="s">
        <v>26</v>
      </c>
      <c r="D2034" s="52">
        <v>46226</v>
      </c>
      <c r="E2034" s="48">
        <v>0.77430555555555547</v>
      </c>
      <c r="F2034" s="48">
        <v>0.79513888888888884</v>
      </c>
      <c r="G2034" s="43">
        <f>(F2034-E2034)*1440</f>
        <v>30.000000000000053</v>
      </c>
      <c r="H2034" s="9" t="s">
        <v>601</v>
      </c>
      <c r="I2034" s="9" t="s">
        <v>4665</v>
      </c>
      <c r="J2034" s="44">
        <v>15.6</v>
      </c>
      <c r="K2034" s="60">
        <v>9.92</v>
      </c>
      <c r="L2034" s="56">
        <v>9.3000000000000007</v>
      </c>
      <c r="M2034" s="14">
        <f>K2034-L2034</f>
        <v>0.61999999999999922</v>
      </c>
      <c r="N2034" s="15">
        <f>IFERROR(M2034/K2034,0)</f>
        <v>6.2499999999999924E-2</v>
      </c>
      <c r="O2034" s="14">
        <f>IFERROR(L2034/J2034,0)</f>
        <v>0.59615384615384626</v>
      </c>
      <c r="P2034" s="14">
        <f>IFERROR(L2034/G2034,0)</f>
        <v>0.3099999999999995</v>
      </c>
    </row>
    <row r="2035" spans="1:16" x14ac:dyDescent="0.3">
      <c r="A2035" s="9" t="s">
        <v>4367</v>
      </c>
      <c r="B2035" s="9" t="s">
        <v>26</v>
      </c>
      <c r="C2035" s="9" t="s">
        <v>27</v>
      </c>
      <c r="D2035" s="52">
        <v>46227</v>
      </c>
      <c r="E2035" s="48">
        <v>0.54375000000000007</v>
      </c>
      <c r="F2035" s="48">
        <v>0.54791666666666672</v>
      </c>
      <c r="G2035" s="43">
        <f>(F2035-E2035)*1440</f>
        <v>5.9999999999999787</v>
      </c>
      <c r="H2035" s="9" t="s">
        <v>829</v>
      </c>
      <c r="I2035" s="9" t="s">
        <v>4666</v>
      </c>
      <c r="J2035" s="44">
        <v>2.1</v>
      </c>
      <c r="K2035" s="60">
        <v>4.3</v>
      </c>
      <c r="L2035" s="56">
        <v>3.54</v>
      </c>
      <c r="M2035" s="14">
        <f>K2035-L2035</f>
        <v>0.75999999999999979</v>
      </c>
      <c r="N2035" s="15">
        <f>IFERROR(M2035/K2035,0)</f>
        <v>0.1767441860465116</v>
      </c>
      <c r="O2035" s="14">
        <f>IFERROR(L2035/J2035,0)</f>
        <v>1.6857142857142857</v>
      </c>
      <c r="P2035" s="14">
        <f>IFERROR(L2035/G2035,0)</f>
        <v>0.59000000000000208</v>
      </c>
    </row>
    <row r="2036" spans="1:16" x14ac:dyDescent="0.3">
      <c r="A2036" s="9" t="s">
        <v>4368</v>
      </c>
      <c r="B2036" s="9" t="s">
        <v>26</v>
      </c>
      <c r="C2036" s="9" t="s">
        <v>26</v>
      </c>
      <c r="D2036" s="52">
        <v>46227</v>
      </c>
      <c r="E2036" s="48">
        <v>0.58402777777777781</v>
      </c>
      <c r="F2036" s="48">
        <v>0.59236111111111112</v>
      </c>
      <c r="G2036" s="43">
        <f>(F2036-E2036)*1440</f>
        <v>11.999999999999957</v>
      </c>
      <c r="H2036" s="9" t="s">
        <v>4667</v>
      </c>
      <c r="I2036" s="9" t="s">
        <v>4668</v>
      </c>
      <c r="J2036" s="44">
        <v>5.7</v>
      </c>
      <c r="K2036" s="60">
        <v>5.53</v>
      </c>
      <c r="L2036" s="56">
        <v>4.3600000000000003</v>
      </c>
      <c r="M2036" s="14">
        <f>K2036-L2036</f>
        <v>1.17</v>
      </c>
      <c r="N2036" s="15">
        <f>IFERROR(M2036/K2036,0)</f>
        <v>0.21157323688969257</v>
      </c>
      <c r="O2036" s="14">
        <f>IFERROR(L2036/J2036,0)</f>
        <v>0.76491228070175443</v>
      </c>
      <c r="P2036" s="14">
        <f>IFERROR(L2036/G2036,0)</f>
        <v>0.36333333333333467</v>
      </c>
    </row>
    <row r="2037" spans="1:16" x14ac:dyDescent="0.3">
      <c r="A2037" s="9" t="s">
        <v>4369</v>
      </c>
      <c r="B2037" s="9" t="s">
        <v>26</v>
      </c>
      <c r="C2037" s="9" t="s">
        <v>27</v>
      </c>
      <c r="D2037" s="52">
        <v>46227</v>
      </c>
      <c r="E2037" s="48">
        <v>0.61944444444444446</v>
      </c>
      <c r="F2037" s="48">
        <v>0.62638888888888888</v>
      </c>
      <c r="G2037" s="43">
        <f>(F2037-E2037)*1440</f>
        <v>9.9999999999999645</v>
      </c>
      <c r="H2037" s="9" t="s">
        <v>1265</v>
      </c>
      <c r="I2037" s="9" t="s">
        <v>4669</v>
      </c>
      <c r="J2037" s="44">
        <v>2.2999999999999998</v>
      </c>
      <c r="K2037" s="60">
        <v>4.62</v>
      </c>
      <c r="L2037" s="56">
        <v>3.81</v>
      </c>
      <c r="M2037" s="14">
        <f>K2037-L2037</f>
        <v>0.81</v>
      </c>
      <c r="N2037" s="15">
        <f>IFERROR(M2037/K2037,0)</f>
        <v>0.17532467532467533</v>
      </c>
      <c r="O2037" s="14">
        <f>IFERROR(L2037/J2037,0)</f>
        <v>1.656521739130435</v>
      </c>
      <c r="P2037" s="14">
        <f>IFERROR(L2037/G2037,0)</f>
        <v>0.38100000000000134</v>
      </c>
    </row>
    <row r="2038" spans="1:16" x14ac:dyDescent="0.3">
      <c r="A2038" s="9" t="s">
        <v>4370</v>
      </c>
      <c r="B2038" s="9" t="s">
        <v>26</v>
      </c>
      <c r="C2038" s="9" t="s">
        <v>26</v>
      </c>
      <c r="D2038" s="52">
        <v>46227</v>
      </c>
      <c r="E2038" s="48">
        <v>0.62986111111111109</v>
      </c>
      <c r="F2038" s="48">
        <v>0.63750000000000007</v>
      </c>
      <c r="G2038" s="43">
        <f>(F2038-E2038)*1440</f>
        <v>11.000000000000121</v>
      </c>
      <c r="H2038" s="9" t="s">
        <v>4670</v>
      </c>
      <c r="I2038" s="9" t="s">
        <v>888</v>
      </c>
      <c r="J2038" s="44">
        <v>3.7</v>
      </c>
      <c r="K2038" s="60">
        <v>4.5999999999999996</v>
      </c>
      <c r="L2038" s="56">
        <v>4.08</v>
      </c>
      <c r="M2038" s="14">
        <f>K2038-L2038</f>
        <v>0.51999999999999957</v>
      </c>
      <c r="N2038" s="15">
        <f>IFERROR(M2038/K2038,0)</f>
        <v>0.11304347826086948</v>
      </c>
      <c r="O2038" s="14">
        <f>IFERROR(L2038/J2038,0)</f>
        <v>1.1027027027027028</v>
      </c>
      <c r="P2038" s="14">
        <f>IFERROR(L2038/G2038,0)</f>
        <v>0.37090909090908686</v>
      </c>
    </row>
    <row r="2039" spans="1:16" x14ac:dyDescent="0.3">
      <c r="A2039" s="9" t="s">
        <v>4371</v>
      </c>
      <c r="B2039" s="9" t="s">
        <v>26</v>
      </c>
      <c r="C2039" s="9" t="s">
        <v>26</v>
      </c>
      <c r="D2039" s="52">
        <v>46227</v>
      </c>
      <c r="E2039" s="48">
        <v>0.64027777777777783</v>
      </c>
      <c r="F2039" s="48">
        <v>0.65069444444444446</v>
      </c>
      <c r="G2039" s="43">
        <f>(F2039-E2039)*1440</f>
        <v>14.999999999999947</v>
      </c>
      <c r="H2039" s="9" t="s">
        <v>4671</v>
      </c>
      <c r="I2039" s="9" t="s">
        <v>4672</v>
      </c>
      <c r="J2039" s="44">
        <v>6.9</v>
      </c>
      <c r="K2039" s="60">
        <v>6.42</v>
      </c>
      <c r="L2039" s="56">
        <v>5.8</v>
      </c>
      <c r="M2039" s="14">
        <f>K2039-L2039</f>
        <v>0.62000000000000011</v>
      </c>
      <c r="N2039" s="15">
        <f>IFERROR(M2039/K2039,0)</f>
        <v>9.6573208722741458E-2</v>
      </c>
      <c r="O2039" s="14">
        <f>IFERROR(L2039/J2039,0)</f>
        <v>0.84057971014492749</v>
      </c>
      <c r="P2039" s="14">
        <f>IFERROR(L2039/G2039,0)</f>
        <v>0.38666666666666805</v>
      </c>
    </row>
    <row r="2040" spans="1:16" x14ac:dyDescent="0.3">
      <c r="A2040" s="9" t="s">
        <v>4372</v>
      </c>
      <c r="B2040" s="9" t="s">
        <v>26</v>
      </c>
      <c r="C2040" s="67" t="s">
        <v>26</v>
      </c>
      <c r="D2040" s="52">
        <v>46227</v>
      </c>
      <c r="E2040" s="48">
        <v>0.6958333333333333</v>
      </c>
      <c r="F2040" s="48">
        <v>0.70208333333333339</v>
      </c>
      <c r="G2040" s="43">
        <f>(F2040-E2040)*1440</f>
        <v>9.0000000000001279</v>
      </c>
      <c r="H2040" s="9" t="s">
        <v>2597</v>
      </c>
      <c r="I2040" s="9" t="s">
        <v>4673</v>
      </c>
      <c r="J2040" s="44">
        <v>5.7</v>
      </c>
      <c r="K2040" s="60">
        <v>5.78</v>
      </c>
      <c r="L2040" s="56">
        <v>4.33</v>
      </c>
      <c r="M2040" s="14">
        <f>K2040-L2040</f>
        <v>1.4500000000000002</v>
      </c>
      <c r="N2040" s="15">
        <f>IFERROR(M2040/K2040,0)</f>
        <v>0.2508650519031142</v>
      </c>
      <c r="O2040" s="14">
        <f>IFERROR(L2040/J2040,0)</f>
        <v>0.75964912280701757</v>
      </c>
      <c r="P2040" s="14">
        <f>IFERROR(L2040/G2040,0)</f>
        <v>0.48111111111110427</v>
      </c>
    </row>
    <row r="2041" spans="1:16" x14ac:dyDescent="0.3">
      <c r="A2041" s="9" t="s">
        <v>4373</v>
      </c>
      <c r="B2041" s="9" t="s">
        <v>26</v>
      </c>
      <c r="C2041" s="9" t="s">
        <v>26</v>
      </c>
      <c r="D2041" s="52">
        <v>46227</v>
      </c>
      <c r="E2041" s="48">
        <v>0.70486111111111116</v>
      </c>
      <c r="F2041" s="48">
        <v>0.71319444444444446</v>
      </c>
      <c r="G2041" s="43">
        <f>(F2041-E2041)*1440</f>
        <v>11.999999999999957</v>
      </c>
      <c r="H2041" s="9" t="s">
        <v>776</v>
      </c>
      <c r="I2041" s="9" t="s">
        <v>641</v>
      </c>
      <c r="J2041" s="44">
        <v>5.2</v>
      </c>
      <c r="K2041" s="60">
        <v>4.49</v>
      </c>
      <c r="L2041" s="56">
        <v>4.63</v>
      </c>
      <c r="M2041" s="14">
        <f>K2041-L2041</f>
        <v>-0.13999999999999968</v>
      </c>
      <c r="N2041" s="15">
        <f>IFERROR(M2041/K2041,0)</f>
        <v>-3.1180400890868525E-2</v>
      </c>
      <c r="O2041" s="14">
        <f>IFERROR(L2041/J2041,0)</f>
        <v>0.89038461538461533</v>
      </c>
      <c r="P2041" s="14">
        <f>IFERROR(L2041/G2041,0)</f>
        <v>0.38583333333333469</v>
      </c>
    </row>
    <row r="2042" spans="1:16" x14ac:dyDescent="0.3">
      <c r="A2042" s="9" t="s">
        <v>4374</v>
      </c>
      <c r="B2042" s="9" t="s">
        <v>26</v>
      </c>
      <c r="C2042" s="9" t="s">
        <v>27</v>
      </c>
      <c r="D2042" s="52">
        <v>46227</v>
      </c>
      <c r="E2042" s="48">
        <v>0.73749999999999993</v>
      </c>
      <c r="F2042" s="48">
        <v>0.74722222222222223</v>
      </c>
      <c r="G2042" s="43">
        <f>(F2042-E2042)*1440</f>
        <v>14.00000000000011</v>
      </c>
      <c r="H2042" s="9" t="s">
        <v>4674</v>
      </c>
      <c r="I2042" s="9" t="s">
        <v>4675</v>
      </c>
      <c r="J2042" s="44">
        <v>4.5</v>
      </c>
      <c r="K2042" s="60">
        <v>4.53</v>
      </c>
      <c r="L2042" s="56">
        <v>3.4</v>
      </c>
      <c r="M2042" s="14">
        <f>K2042-L2042</f>
        <v>1.1300000000000003</v>
      </c>
      <c r="N2042" s="15">
        <f>IFERROR(M2042/K2042,0)</f>
        <v>0.2494481236203091</v>
      </c>
      <c r="O2042" s="14">
        <f>IFERROR(L2042/J2042,0)</f>
        <v>0.75555555555555554</v>
      </c>
      <c r="P2042" s="14">
        <f>IFERROR(L2042/G2042,0)</f>
        <v>0.24285714285714094</v>
      </c>
    </row>
    <row r="2043" spans="1:16" x14ac:dyDescent="0.3">
      <c r="A2043" s="9" t="s">
        <v>4375</v>
      </c>
      <c r="B2043" s="9" t="s">
        <v>26</v>
      </c>
      <c r="C2043" s="9" t="s">
        <v>26</v>
      </c>
      <c r="D2043" s="52">
        <v>46227</v>
      </c>
      <c r="E2043" s="48">
        <v>0.74861111111111101</v>
      </c>
      <c r="F2043" s="48">
        <v>0.75694444444444453</v>
      </c>
      <c r="G2043" s="43">
        <f>(F2043-E2043)*1440</f>
        <v>12.000000000000277</v>
      </c>
      <c r="H2043" s="9" t="s">
        <v>4557</v>
      </c>
      <c r="I2043" s="9" t="s">
        <v>2683</v>
      </c>
      <c r="J2043" s="44">
        <v>6.5</v>
      </c>
      <c r="K2043" s="60">
        <v>5.99</v>
      </c>
      <c r="L2043" s="56">
        <v>4.83</v>
      </c>
      <c r="M2043" s="14">
        <f>K2043-L2043</f>
        <v>1.1600000000000001</v>
      </c>
      <c r="N2043" s="15">
        <f>IFERROR(M2043/K2043,0)</f>
        <v>0.19365609348914858</v>
      </c>
      <c r="O2043" s="14">
        <f>IFERROR(L2043/J2043,0)</f>
        <v>0.74307692307692308</v>
      </c>
      <c r="P2043" s="14">
        <f>IFERROR(L2043/G2043,0)</f>
        <v>0.4024999999999907</v>
      </c>
    </row>
    <row r="2044" spans="1:16" x14ac:dyDescent="0.3">
      <c r="A2044" s="9" t="s">
        <v>4376</v>
      </c>
      <c r="B2044" s="9" t="s">
        <v>26</v>
      </c>
      <c r="C2044" s="9" t="s">
        <v>26</v>
      </c>
      <c r="D2044" s="52">
        <v>46227</v>
      </c>
      <c r="E2044" s="48">
        <v>0.77430555555555547</v>
      </c>
      <c r="F2044" s="48">
        <v>0.78472222222222221</v>
      </c>
      <c r="G2044" s="43">
        <f>(F2044-E2044)*1440</f>
        <v>15.000000000000107</v>
      </c>
      <c r="H2044" s="9" t="s">
        <v>4676</v>
      </c>
      <c r="I2044" s="9" t="s">
        <v>4677</v>
      </c>
      <c r="J2044" s="44">
        <v>3.8</v>
      </c>
      <c r="K2044" s="60">
        <v>5.42</v>
      </c>
      <c r="L2044" s="56">
        <v>5.08</v>
      </c>
      <c r="M2044" s="14">
        <f>K2044-L2044</f>
        <v>0.33999999999999986</v>
      </c>
      <c r="N2044" s="15">
        <f>IFERROR(M2044/K2044,0)</f>
        <v>6.2730627306273032E-2</v>
      </c>
      <c r="O2044" s="14">
        <f>IFERROR(L2044/J2044,0)</f>
        <v>1.3368421052631581</v>
      </c>
      <c r="P2044" s="14">
        <f>IFERROR(L2044/G2044,0)</f>
        <v>0.33866666666666428</v>
      </c>
    </row>
    <row r="2045" spans="1:16" x14ac:dyDescent="0.3">
      <c r="A2045" s="9" t="s">
        <v>4377</v>
      </c>
      <c r="B2045" s="9" t="s">
        <v>26</v>
      </c>
      <c r="C2045" s="9" t="s">
        <v>27</v>
      </c>
      <c r="D2045" s="52">
        <v>46227</v>
      </c>
      <c r="E2045" s="48">
        <v>0.8305555555555556</v>
      </c>
      <c r="F2045" s="48">
        <v>0.84930555555555554</v>
      </c>
      <c r="G2045" s="43">
        <f>(F2045-E2045)*1440</f>
        <v>26.999999999999904</v>
      </c>
      <c r="H2045" s="9" t="s">
        <v>4678</v>
      </c>
      <c r="I2045" s="9" t="s">
        <v>4679</v>
      </c>
      <c r="J2045" s="44">
        <v>22</v>
      </c>
      <c r="K2045" s="60">
        <v>16.52</v>
      </c>
      <c r="L2045" s="56">
        <v>12.49</v>
      </c>
      <c r="M2045" s="14">
        <f>K2045-L2045</f>
        <v>4.0299999999999994</v>
      </c>
      <c r="N2045" s="15">
        <f>IFERROR(M2045/K2045,0)</f>
        <v>0.24394673123486679</v>
      </c>
      <c r="O2045" s="14">
        <f>IFERROR(L2045/J2045,0)</f>
        <v>0.56772727272727275</v>
      </c>
      <c r="P2045" s="14">
        <f>IFERROR(L2045/G2045,0)</f>
        <v>0.46259259259259422</v>
      </c>
    </row>
    <row r="2046" spans="1:16" x14ac:dyDescent="0.3">
      <c r="A2046" s="9" t="s">
        <v>4378</v>
      </c>
      <c r="B2046" s="9" t="s">
        <v>18</v>
      </c>
      <c r="C2046" s="9" t="s">
        <v>184</v>
      </c>
      <c r="D2046" s="52">
        <v>46227</v>
      </c>
      <c r="E2046" s="48">
        <v>0.54791666666666672</v>
      </c>
      <c r="F2046" s="48">
        <v>0.56180555555555556</v>
      </c>
      <c r="G2046" s="43">
        <f>(F2046-E2046)*1440</f>
        <v>19.999999999999929</v>
      </c>
      <c r="H2046" s="9" t="s">
        <v>4680</v>
      </c>
      <c r="I2046" s="9" t="s">
        <v>4681</v>
      </c>
      <c r="J2046" s="44">
        <v>21.88</v>
      </c>
      <c r="K2046" s="60">
        <v>16.98</v>
      </c>
      <c r="L2046" s="56">
        <v>11</v>
      </c>
      <c r="M2046" s="14">
        <f>K2046-L2046</f>
        <v>5.98</v>
      </c>
      <c r="N2046" s="15">
        <f>IFERROR(M2046/K2046,0)</f>
        <v>0.35217903415783275</v>
      </c>
      <c r="O2046" s="14">
        <f>IFERROR(L2046/J2046,0)</f>
        <v>0.50274223034734922</v>
      </c>
      <c r="P2046" s="14">
        <f>IFERROR(L2046/G2046,0)</f>
        <v>0.55000000000000193</v>
      </c>
    </row>
    <row r="2047" spans="1:16" x14ac:dyDescent="0.3">
      <c r="A2047" s="9" t="s">
        <v>4379</v>
      </c>
      <c r="B2047" s="9" t="s">
        <v>18</v>
      </c>
      <c r="C2047" s="9" t="s">
        <v>184</v>
      </c>
      <c r="D2047" s="52">
        <v>46227</v>
      </c>
      <c r="E2047" s="48">
        <v>0.56180555555555556</v>
      </c>
      <c r="F2047" s="48">
        <v>0.57291666666666663</v>
      </c>
      <c r="G2047" s="43">
        <f>(F2047-E2047)*1440</f>
        <v>15.999999999999943</v>
      </c>
      <c r="H2047" s="9" t="s">
        <v>2845</v>
      </c>
      <c r="I2047" s="9" t="s">
        <v>2492</v>
      </c>
      <c r="J2047" s="44">
        <v>9.86</v>
      </c>
      <c r="K2047" s="60">
        <v>6.95</v>
      </c>
      <c r="L2047" s="56">
        <v>5.42</v>
      </c>
      <c r="M2047" s="14">
        <f>K2047-L2047</f>
        <v>1.5300000000000002</v>
      </c>
      <c r="N2047" s="15">
        <f>IFERROR(M2047/K2047,0)</f>
        <v>0.22014388489208636</v>
      </c>
      <c r="O2047" s="14">
        <f>IFERROR(L2047/J2047,0)</f>
        <v>0.5496957403651116</v>
      </c>
      <c r="P2047" s="14">
        <f>IFERROR(L2047/G2047,0)</f>
        <v>0.33875000000000122</v>
      </c>
    </row>
    <row r="2048" spans="1:16" x14ac:dyDescent="0.3">
      <c r="A2048" s="9" t="s">
        <v>4380</v>
      </c>
      <c r="B2048" s="9" t="s">
        <v>18</v>
      </c>
      <c r="C2048" s="9" t="s">
        <v>184</v>
      </c>
      <c r="D2048" s="52">
        <v>46227</v>
      </c>
      <c r="E2048" s="48">
        <v>0.59583333333333333</v>
      </c>
      <c r="F2048" s="48">
        <v>0.60625000000000007</v>
      </c>
      <c r="G2048" s="43">
        <f>(F2048-E2048)*1440</f>
        <v>15.000000000000107</v>
      </c>
      <c r="H2048" s="9" t="s">
        <v>582</v>
      </c>
      <c r="I2048" s="9" t="s">
        <v>1186</v>
      </c>
      <c r="J2048" s="44">
        <v>8.18</v>
      </c>
      <c r="K2048" s="60">
        <v>9.9499999999999993</v>
      </c>
      <c r="L2048" s="56">
        <v>6.47</v>
      </c>
      <c r="M2048" s="14">
        <f>K2048-L2048</f>
        <v>3.4799999999999995</v>
      </c>
      <c r="N2048" s="15">
        <f>IFERROR(M2048/K2048,0)</f>
        <v>0.34974874371859294</v>
      </c>
      <c r="O2048" s="14">
        <f>IFERROR(L2048/J2048,0)</f>
        <v>0.79095354523227379</v>
      </c>
      <c r="P2048" s="14">
        <f>IFERROR(L2048/G2048,0)</f>
        <v>0.43133333333333024</v>
      </c>
    </row>
    <row r="2049" spans="1:17" x14ac:dyDescent="0.3">
      <c r="A2049" s="9" t="s">
        <v>4381</v>
      </c>
      <c r="B2049" s="9" t="s">
        <v>18</v>
      </c>
      <c r="C2049" s="9" t="s">
        <v>196</v>
      </c>
      <c r="D2049" s="52">
        <v>46227</v>
      </c>
      <c r="E2049" s="48">
        <v>0.65138888888888891</v>
      </c>
      <c r="F2049" s="48">
        <v>0.65972222222222221</v>
      </c>
      <c r="G2049" s="43">
        <f>(F2049-E2049)*1440</f>
        <v>11.999999999999957</v>
      </c>
      <c r="H2049" s="9" t="s">
        <v>4089</v>
      </c>
      <c r="I2049" s="9" t="s">
        <v>3431</v>
      </c>
      <c r="J2049" s="44">
        <v>8.3699999999999992</v>
      </c>
      <c r="K2049" s="60">
        <v>8.98</v>
      </c>
      <c r="L2049" s="56">
        <v>6.09</v>
      </c>
      <c r="M2049" s="14">
        <f>K2049-L2049</f>
        <v>2.8900000000000006</v>
      </c>
      <c r="N2049" s="15">
        <f>IFERROR(M2049/K2049,0)</f>
        <v>0.32182628062360807</v>
      </c>
      <c r="O2049" s="14">
        <f>IFERROR(L2049/J2049,0)</f>
        <v>0.72759856630824382</v>
      </c>
      <c r="P2049" s="14">
        <f>IFERROR(L2049/G2049,0)</f>
        <v>0.50750000000000184</v>
      </c>
    </row>
    <row r="2050" spans="1:17" x14ac:dyDescent="0.3">
      <c r="A2050" s="9" t="s">
        <v>4382</v>
      </c>
      <c r="B2050" s="9" t="s">
        <v>18</v>
      </c>
      <c r="C2050" s="9" t="s">
        <v>184</v>
      </c>
      <c r="D2050" s="52">
        <v>46227</v>
      </c>
      <c r="E2050" s="48">
        <v>0.6645833333333333</v>
      </c>
      <c r="F2050" s="48">
        <v>0.67291666666666661</v>
      </c>
      <c r="G2050" s="43">
        <f>(F2050-E2050)*1440</f>
        <v>11.999999999999957</v>
      </c>
      <c r="H2050" s="9" t="s">
        <v>3431</v>
      </c>
      <c r="I2050" s="9" t="s">
        <v>853</v>
      </c>
      <c r="J2050" s="44">
        <v>4.49</v>
      </c>
      <c r="K2050" s="60">
        <v>4.9400000000000004</v>
      </c>
      <c r="L2050" s="56">
        <v>4.3099999999999996</v>
      </c>
      <c r="M2050" s="14">
        <f>K2050-L2050</f>
        <v>0.63000000000000078</v>
      </c>
      <c r="N2050" s="15">
        <f>IFERROR(M2050/K2050,0)</f>
        <v>0.12753036437246978</v>
      </c>
      <c r="O2050" s="14">
        <f>IFERROR(L2050/J2050,0)</f>
        <v>0.95991091314031163</v>
      </c>
      <c r="P2050" s="14">
        <f>IFERROR(L2050/G2050,0)</f>
        <v>0.35916666666666791</v>
      </c>
    </row>
    <row r="2051" spans="1:17" x14ac:dyDescent="0.3">
      <c r="A2051" s="9" t="s">
        <v>4383</v>
      </c>
      <c r="B2051" s="9" t="s">
        <v>18</v>
      </c>
      <c r="C2051" s="9" t="s">
        <v>184</v>
      </c>
      <c r="D2051" s="52">
        <v>46227</v>
      </c>
      <c r="E2051" s="48">
        <v>0.71666666666666667</v>
      </c>
      <c r="F2051" s="48">
        <v>0.72986111111111107</v>
      </c>
      <c r="G2051" s="43">
        <f>(F2051-E2051)*1440</f>
        <v>18.999999999999932</v>
      </c>
      <c r="H2051" s="9" t="s">
        <v>4682</v>
      </c>
      <c r="I2051" s="9" t="s">
        <v>1759</v>
      </c>
      <c r="J2051" s="44">
        <v>10.84</v>
      </c>
      <c r="K2051" s="60">
        <v>8.93</v>
      </c>
      <c r="L2051" s="56">
        <v>6.36</v>
      </c>
      <c r="M2051" s="14">
        <f>K2051-L2051</f>
        <v>2.5699999999999994</v>
      </c>
      <c r="N2051" s="15">
        <f>IFERROR(M2051/K2051,0)</f>
        <v>0.28779395296752514</v>
      </c>
      <c r="O2051" s="14">
        <f>IFERROR(L2051/J2051,0)</f>
        <v>0.58671586715867163</v>
      </c>
      <c r="P2051" s="14">
        <f>IFERROR(L2051/G2051,0)</f>
        <v>0.33473684210526439</v>
      </c>
    </row>
    <row r="2052" spans="1:17" x14ac:dyDescent="0.3">
      <c r="A2052" s="9" t="s">
        <v>4384</v>
      </c>
      <c r="B2052" s="9" t="s">
        <v>18</v>
      </c>
      <c r="C2052" s="9" t="s">
        <v>184</v>
      </c>
      <c r="D2052" s="52">
        <v>46227</v>
      </c>
      <c r="E2052" s="48">
        <v>0.75624999999999998</v>
      </c>
      <c r="F2052" s="48">
        <v>0.76527777777777783</v>
      </c>
      <c r="G2052" s="43">
        <f>(F2052-E2052)*1440</f>
        <v>13.000000000000114</v>
      </c>
      <c r="H2052" s="9" t="s">
        <v>4683</v>
      </c>
      <c r="I2052" s="9" t="s">
        <v>4684</v>
      </c>
      <c r="J2052" s="44">
        <v>5.9</v>
      </c>
      <c r="K2052" s="60">
        <v>7.02</v>
      </c>
      <c r="L2052" s="56">
        <v>5.12</v>
      </c>
      <c r="M2052" s="14">
        <f>K2052-L2052</f>
        <v>1.8999999999999995</v>
      </c>
      <c r="N2052" s="15">
        <f>IFERROR(M2052/K2052,0)</f>
        <v>0.27065527065527062</v>
      </c>
      <c r="O2052" s="14">
        <f>IFERROR(L2052/J2052,0)</f>
        <v>0.8677966101694915</v>
      </c>
      <c r="P2052" s="14">
        <f>IFERROR(L2052/G2052,0)</f>
        <v>0.3938461538461504</v>
      </c>
    </row>
    <row r="2053" spans="1:17" x14ac:dyDescent="0.3">
      <c r="A2053" s="9" t="s">
        <v>4385</v>
      </c>
      <c r="B2053" s="9" t="s">
        <v>18</v>
      </c>
      <c r="C2053" s="9" t="s">
        <v>184</v>
      </c>
      <c r="D2053" s="52">
        <v>46227</v>
      </c>
      <c r="E2053" s="48">
        <v>0.78680555555555554</v>
      </c>
      <c r="F2053" s="48">
        <v>0.80208333333333337</v>
      </c>
      <c r="G2053" s="43">
        <f>(F2053-E2053)*1440</f>
        <v>22.000000000000082</v>
      </c>
      <c r="H2053" s="9" t="s">
        <v>4685</v>
      </c>
      <c r="I2053" s="9" t="s">
        <v>4686</v>
      </c>
      <c r="J2053" s="44">
        <v>17.059999999999999</v>
      </c>
      <c r="K2053" s="60">
        <v>11.93</v>
      </c>
      <c r="L2053" s="56">
        <v>7.49</v>
      </c>
      <c r="M2053" s="14">
        <f>K2053-L2053</f>
        <v>4.4399999999999995</v>
      </c>
      <c r="N2053" s="15">
        <f>IFERROR(M2053/K2053,0)</f>
        <v>0.37217099748533106</v>
      </c>
      <c r="O2053" s="14">
        <f>IFERROR(L2053/J2053,0)</f>
        <v>0.43903868698710441</v>
      </c>
      <c r="P2053" s="14">
        <f>IFERROR(L2053/G2053,0)</f>
        <v>0.34045454545454418</v>
      </c>
    </row>
    <row r="2054" spans="1:17" x14ac:dyDescent="0.3">
      <c r="A2054" s="9" t="s">
        <v>4386</v>
      </c>
      <c r="B2054" s="9" t="s">
        <v>18</v>
      </c>
      <c r="C2054" s="9" t="s">
        <v>184</v>
      </c>
      <c r="D2054" s="52">
        <v>46228</v>
      </c>
      <c r="E2054" s="48">
        <v>0.54166666666666663</v>
      </c>
      <c r="F2054" s="48">
        <v>0.54791666666666672</v>
      </c>
      <c r="G2054" s="43">
        <f>(F2054-E2054)*1440</f>
        <v>9.0000000000001279</v>
      </c>
      <c r="H2054" s="9" t="s">
        <v>1221</v>
      </c>
      <c r="I2054" s="9" t="s">
        <v>2618</v>
      </c>
      <c r="J2054" s="44">
        <v>2.72</v>
      </c>
      <c r="K2054" s="60">
        <v>3.96</v>
      </c>
      <c r="L2054" s="56">
        <v>3.6</v>
      </c>
      <c r="M2054" s="14">
        <f>K2054-L2054</f>
        <v>0.35999999999999988</v>
      </c>
      <c r="N2054" s="15">
        <f>IFERROR(M2054/K2054,0)</f>
        <v>9.0909090909090884E-2</v>
      </c>
      <c r="O2054" s="14">
        <f>IFERROR(L2054/J2054,0)</f>
        <v>1.3235294117647058</v>
      </c>
      <c r="P2054" s="14">
        <f>IFERROR(L2054/G2054,0)</f>
        <v>0.3999999999999943</v>
      </c>
    </row>
    <row r="2055" spans="1:17" x14ac:dyDescent="0.3">
      <c r="A2055" s="9" t="s">
        <v>4387</v>
      </c>
      <c r="B2055" s="9" t="s">
        <v>18</v>
      </c>
      <c r="C2055" s="9" t="s">
        <v>184</v>
      </c>
      <c r="D2055" s="52">
        <v>46228</v>
      </c>
      <c r="E2055" s="48">
        <v>0.55138888888888882</v>
      </c>
      <c r="F2055" s="48">
        <v>0.56666666666666665</v>
      </c>
      <c r="G2055" s="43">
        <f>(F2055-E2055)*1440</f>
        <v>22.000000000000082</v>
      </c>
      <c r="H2055" s="9" t="s">
        <v>2618</v>
      </c>
      <c r="I2055" s="9" t="s">
        <v>4687</v>
      </c>
      <c r="J2055" s="44">
        <v>17.27</v>
      </c>
      <c r="K2055" s="60">
        <v>11.95</v>
      </c>
      <c r="L2055" s="56">
        <v>8.1</v>
      </c>
      <c r="M2055" s="14">
        <f>K2055-L2055</f>
        <v>3.8499999999999996</v>
      </c>
      <c r="N2055" s="15">
        <f>IFERROR(M2055/K2055,0)</f>
        <v>0.32217573221757323</v>
      </c>
      <c r="O2055" s="14">
        <f>IFERROR(L2055/J2055,0)</f>
        <v>0.46902142443543715</v>
      </c>
      <c r="P2055" s="14">
        <f>IFERROR(L2055/G2055,0)</f>
        <v>0.36818181818181678</v>
      </c>
    </row>
    <row r="2056" spans="1:17" x14ac:dyDescent="0.3">
      <c r="A2056" s="9" t="s">
        <v>4388</v>
      </c>
      <c r="B2056" s="9" t="s">
        <v>18</v>
      </c>
      <c r="C2056" s="9" t="s">
        <v>184</v>
      </c>
      <c r="D2056" s="52">
        <v>46228</v>
      </c>
      <c r="E2056" s="48">
        <v>0.57361111111111118</v>
      </c>
      <c r="F2056" s="48">
        <v>0.58680555555555558</v>
      </c>
      <c r="G2056" s="43">
        <f>(F2056-E2056)*1440</f>
        <v>18.999999999999932</v>
      </c>
      <c r="H2056" s="9" t="s">
        <v>2482</v>
      </c>
      <c r="I2056" s="9" t="s">
        <v>2931</v>
      </c>
      <c r="J2056" s="44">
        <v>12.76</v>
      </c>
      <c r="K2056" s="60">
        <v>8.94</v>
      </c>
      <c r="L2056" s="56">
        <v>5.81</v>
      </c>
      <c r="M2056" s="14">
        <f>K2056-L2056</f>
        <v>3.13</v>
      </c>
      <c r="N2056" s="15">
        <f>IFERROR(M2056/K2056,0)</f>
        <v>0.35011185682326623</v>
      </c>
      <c r="O2056" s="14">
        <f>IFERROR(L2056/J2056,0)</f>
        <v>0.45532915360501564</v>
      </c>
      <c r="P2056" s="14">
        <f>IFERROR(L2056/G2056,0)</f>
        <v>0.30578947368421161</v>
      </c>
    </row>
    <row r="2057" spans="1:17" x14ac:dyDescent="0.3">
      <c r="A2057" s="9" t="s">
        <v>4389</v>
      </c>
      <c r="B2057" s="9" t="s">
        <v>18</v>
      </c>
      <c r="C2057" s="9" t="s">
        <v>184</v>
      </c>
      <c r="D2057" s="52">
        <v>46228</v>
      </c>
      <c r="E2057" s="48">
        <v>0.6069444444444444</v>
      </c>
      <c r="F2057" s="48">
        <v>0.61527777777777781</v>
      </c>
      <c r="G2057" s="43">
        <f>(F2057-E2057)*1440</f>
        <v>12.000000000000117</v>
      </c>
      <c r="H2057" s="9" t="s">
        <v>4688</v>
      </c>
      <c r="I2057" s="9" t="s">
        <v>4689</v>
      </c>
      <c r="J2057" s="44">
        <v>5.0199999999999996</v>
      </c>
      <c r="K2057" s="60">
        <v>3.94</v>
      </c>
      <c r="L2057" s="56">
        <v>3.37</v>
      </c>
      <c r="M2057" s="14">
        <f>K2057-L2057</f>
        <v>0.56999999999999984</v>
      </c>
      <c r="N2057" s="15">
        <f>IFERROR(M2057/K2057,0)</f>
        <v>0.14467005076142128</v>
      </c>
      <c r="O2057" s="14">
        <f>IFERROR(L2057/J2057,0)</f>
        <v>0.67131474103585664</v>
      </c>
      <c r="P2057" s="14">
        <f>IFERROR(L2057/G2057,0)</f>
        <v>0.2808333333333306</v>
      </c>
    </row>
    <row r="2058" spans="1:17" x14ac:dyDescent="0.3">
      <c r="A2058" s="9" t="s">
        <v>4390</v>
      </c>
      <c r="B2058" s="9" t="s">
        <v>18</v>
      </c>
      <c r="C2058" s="9" t="s">
        <v>184</v>
      </c>
      <c r="D2058" s="52">
        <v>46228</v>
      </c>
      <c r="E2058" s="48">
        <v>0.63263888888888886</v>
      </c>
      <c r="F2058" s="48">
        <v>0.6430555555555556</v>
      </c>
      <c r="G2058" s="43">
        <f>(F2058-E2058)*1440</f>
        <v>15.000000000000107</v>
      </c>
      <c r="H2058" s="9" t="s">
        <v>4690</v>
      </c>
      <c r="I2058" s="9" t="s">
        <v>4320</v>
      </c>
      <c r="J2058" s="44">
        <v>11.19</v>
      </c>
      <c r="K2058" s="60">
        <v>8.9499999999999993</v>
      </c>
      <c r="L2058" s="56">
        <v>5.82</v>
      </c>
      <c r="M2058" s="14">
        <f>K2058-L2058</f>
        <v>3.129999999999999</v>
      </c>
      <c r="N2058" s="15">
        <f>IFERROR(M2058/K2058,0)</f>
        <v>0.34972067039106136</v>
      </c>
      <c r="O2058" s="14">
        <f>IFERROR(L2058/J2058,0)</f>
        <v>0.52010723860589814</v>
      </c>
      <c r="P2058" s="14">
        <f>IFERROR(L2058/G2058,0)</f>
        <v>0.38799999999999724</v>
      </c>
    </row>
    <row r="2059" spans="1:17" x14ac:dyDescent="0.3">
      <c r="A2059" s="9" t="s">
        <v>4391</v>
      </c>
      <c r="B2059" s="9" t="s">
        <v>18</v>
      </c>
      <c r="C2059" s="9" t="s">
        <v>184</v>
      </c>
      <c r="D2059" s="52">
        <v>46228</v>
      </c>
      <c r="E2059" s="48">
        <v>0.66180555555555554</v>
      </c>
      <c r="F2059" s="48">
        <v>0.67569444444444438</v>
      </c>
      <c r="G2059" s="43">
        <f>(F2059-E2059)*1440</f>
        <v>19.999999999999929</v>
      </c>
      <c r="H2059" s="9" t="s">
        <v>4691</v>
      </c>
      <c r="I2059" s="9" t="s">
        <v>4692</v>
      </c>
      <c r="J2059" s="44">
        <v>14.23</v>
      </c>
      <c r="K2059" s="60">
        <v>10.96</v>
      </c>
      <c r="L2059" s="56">
        <v>7.32</v>
      </c>
      <c r="M2059" s="14">
        <f>K2059-L2059</f>
        <v>3.6400000000000006</v>
      </c>
      <c r="N2059" s="15">
        <f>IFERROR(M2059/K2059,0)</f>
        <v>0.33211678832116792</v>
      </c>
      <c r="O2059" s="14">
        <f>IFERROR(L2059/J2059,0)</f>
        <v>0.51440618411806049</v>
      </c>
      <c r="P2059" s="14">
        <f>IFERROR(L2059/G2059,0)</f>
        <v>0.36600000000000132</v>
      </c>
    </row>
    <row r="2060" spans="1:17" x14ac:dyDescent="0.3">
      <c r="A2060" s="9" t="s">
        <v>4392</v>
      </c>
      <c r="B2060" s="9" t="s">
        <v>18</v>
      </c>
      <c r="C2060" s="9" t="s">
        <v>184</v>
      </c>
      <c r="D2060" s="52">
        <v>46228</v>
      </c>
      <c r="E2060" s="48">
        <v>0.71458333333333324</v>
      </c>
      <c r="F2060" s="48">
        <v>0.72430555555555554</v>
      </c>
      <c r="G2060" s="43">
        <f>(F2060-E2060)*1440</f>
        <v>14.00000000000011</v>
      </c>
      <c r="H2060" s="9" t="s">
        <v>4693</v>
      </c>
      <c r="I2060" s="9" t="s">
        <v>214</v>
      </c>
      <c r="J2060" s="44">
        <v>15.27</v>
      </c>
      <c r="K2060" s="60">
        <v>9.51</v>
      </c>
      <c r="L2060" s="56">
        <v>7.74</v>
      </c>
      <c r="M2060" s="14">
        <f>K2060-L2060</f>
        <v>1.7699999999999996</v>
      </c>
      <c r="N2060" s="15">
        <f>IFERROR(M2060/K2060,0)</f>
        <v>0.18611987381703465</v>
      </c>
      <c r="O2060" s="14">
        <f>IFERROR(L2060/J2060,0)</f>
        <v>0.50687622789783893</v>
      </c>
      <c r="P2060" s="14">
        <f>IFERROR(L2060/G2060,0)</f>
        <v>0.55285714285713849</v>
      </c>
      <c r="Q2060" s="64">
        <v>0.4</v>
      </c>
    </row>
    <row r="2061" spans="1:17" x14ac:dyDescent="0.3">
      <c r="A2061" s="9" t="s">
        <v>4393</v>
      </c>
      <c r="B2061" s="9" t="s">
        <v>18</v>
      </c>
      <c r="C2061" s="9" t="s">
        <v>184</v>
      </c>
      <c r="D2061" s="52">
        <v>46228</v>
      </c>
      <c r="E2061" s="48">
        <v>0.73541666666666661</v>
      </c>
      <c r="F2061" s="48">
        <v>0.74583333333333324</v>
      </c>
      <c r="G2061" s="43">
        <f>(F2061-E2061)*1440</f>
        <v>14.999999999999947</v>
      </c>
      <c r="H2061" s="9" t="s">
        <v>214</v>
      </c>
      <c r="I2061" s="9" t="s">
        <v>4694</v>
      </c>
      <c r="J2061" s="44">
        <v>5.47</v>
      </c>
      <c r="K2061" s="60">
        <v>5.96</v>
      </c>
      <c r="L2061" s="56">
        <v>4.3899999999999997</v>
      </c>
      <c r="M2061" s="14">
        <f>K2061-L2061</f>
        <v>1.5700000000000003</v>
      </c>
      <c r="N2061" s="15">
        <f>IFERROR(M2061/K2061,0)</f>
        <v>0.26342281879194634</v>
      </c>
      <c r="O2061" s="14">
        <f>IFERROR(L2061/J2061,0)</f>
        <v>0.80255941499085925</v>
      </c>
      <c r="P2061" s="14">
        <f>IFERROR(L2061/G2061,0)</f>
        <v>0.29266666666666769</v>
      </c>
    </row>
    <row r="2062" spans="1:17" x14ac:dyDescent="0.3">
      <c r="A2062" s="9" t="s">
        <v>4394</v>
      </c>
      <c r="B2062" s="9" t="s">
        <v>18</v>
      </c>
      <c r="C2062" s="9" t="s">
        <v>184</v>
      </c>
      <c r="D2062" s="52">
        <v>46228</v>
      </c>
      <c r="E2062" s="48">
        <v>0.79791666666666661</v>
      </c>
      <c r="F2062" s="48">
        <v>0.81111111111111101</v>
      </c>
      <c r="G2062" s="43">
        <f>(F2062-E2062)*1440</f>
        <v>18.999999999999932</v>
      </c>
      <c r="H2062" s="9" t="s">
        <v>228</v>
      </c>
      <c r="I2062" s="9" t="s">
        <v>214</v>
      </c>
      <c r="J2062" s="44">
        <v>11.62</v>
      </c>
      <c r="K2062" s="60">
        <v>7.94</v>
      </c>
      <c r="L2062" s="56">
        <v>5.27</v>
      </c>
      <c r="M2062" s="14">
        <f>K2062-L2062</f>
        <v>2.6700000000000008</v>
      </c>
      <c r="N2062" s="15">
        <f>IFERROR(M2062/K2062,0)</f>
        <v>0.33627204030226709</v>
      </c>
      <c r="O2062" s="14">
        <f>IFERROR(L2062/J2062,0)</f>
        <v>0.45352839931153183</v>
      </c>
      <c r="P2062" s="14">
        <f>IFERROR(L2062/G2062,0)</f>
        <v>0.27736842105263254</v>
      </c>
    </row>
    <row r="2063" spans="1:17" x14ac:dyDescent="0.3">
      <c r="A2063" s="9" t="s">
        <v>4395</v>
      </c>
      <c r="B2063" s="9" t="s">
        <v>18</v>
      </c>
      <c r="C2063" s="9" t="s">
        <v>184</v>
      </c>
      <c r="D2063" s="52">
        <v>46228</v>
      </c>
      <c r="E2063" s="48">
        <v>0.81041666666666667</v>
      </c>
      <c r="F2063" s="48">
        <v>0.81944444444444453</v>
      </c>
      <c r="G2063" s="43">
        <f>(F2063-E2063)*1440</f>
        <v>13.000000000000114</v>
      </c>
      <c r="H2063" s="9" t="s">
        <v>214</v>
      </c>
      <c r="I2063" s="9" t="s">
        <v>4695</v>
      </c>
      <c r="J2063" s="44">
        <v>9.74</v>
      </c>
      <c r="K2063" s="60">
        <v>6.95</v>
      </c>
      <c r="L2063" s="56">
        <v>5.13</v>
      </c>
      <c r="M2063" s="14">
        <f>K2063-L2063</f>
        <v>1.8200000000000003</v>
      </c>
      <c r="N2063" s="15">
        <f>IFERROR(M2063/K2063,0)</f>
        <v>0.26187050359712233</v>
      </c>
      <c r="O2063" s="14">
        <f>IFERROR(L2063/J2063,0)</f>
        <v>0.52669404517453799</v>
      </c>
      <c r="P2063" s="14">
        <f>IFERROR(L2063/G2063,0)</f>
        <v>0.39461538461538115</v>
      </c>
    </row>
    <row r="2064" spans="1:17" x14ac:dyDescent="0.3">
      <c r="A2064" s="9" t="s">
        <v>4396</v>
      </c>
      <c r="B2064" s="9" t="s">
        <v>26</v>
      </c>
      <c r="C2064" s="9" t="s">
        <v>27</v>
      </c>
      <c r="D2064" s="52">
        <v>46228</v>
      </c>
      <c r="E2064" s="48">
        <v>0.59583333333333333</v>
      </c>
      <c r="F2064" s="48">
        <v>0.6069444444444444</v>
      </c>
      <c r="G2064" s="43">
        <f>(F2064-E2064)*1440</f>
        <v>15.999999999999943</v>
      </c>
      <c r="H2064" s="9" t="s">
        <v>4696</v>
      </c>
      <c r="I2064" s="9" t="s">
        <v>4697</v>
      </c>
      <c r="J2064" s="44">
        <v>9.1999999999999993</v>
      </c>
      <c r="K2064" s="60">
        <v>6.99</v>
      </c>
      <c r="L2064" s="56">
        <v>5.24</v>
      </c>
      <c r="M2064" s="14">
        <f>K2064-L2064</f>
        <v>1.75</v>
      </c>
      <c r="N2064" s="15">
        <f>IFERROR(M2064/K2064,0)</f>
        <v>0.25035765379113017</v>
      </c>
      <c r="O2064" s="14">
        <f>IFERROR(L2064/J2064,0)</f>
        <v>0.56956521739130439</v>
      </c>
      <c r="P2064" s="14">
        <f>IFERROR(L2064/G2064,0)</f>
        <v>0.32750000000000118</v>
      </c>
    </row>
    <row r="2065" spans="1:16" x14ac:dyDescent="0.3">
      <c r="A2065" s="9" t="s">
        <v>4397</v>
      </c>
      <c r="B2065" s="9" t="s">
        <v>26</v>
      </c>
      <c r="C2065" s="9" t="s">
        <v>27</v>
      </c>
      <c r="D2065" s="52">
        <v>46228</v>
      </c>
      <c r="E2065" s="48">
        <v>0.62013888888888891</v>
      </c>
      <c r="F2065" s="48">
        <v>0.62638888888888888</v>
      </c>
      <c r="G2065" s="43">
        <f>(F2065-E2065)*1440</f>
        <v>8.999999999999968</v>
      </c>
      <c r="H2065" s="9" t="s">
        <v>4698</v>
      </c>
      <c r="I2065" s="9" t="s">
        <v>4699</v>
      </c>
      <c r="J2065" s="44">
        <v>5.6</v>
      </c>
      <c r="K2065" s="60">
        <v>5.7</v>
      </c>
      <c r="L2065" s="56">
        <v>4.2699999999999996</v>
      </c>
      <c r="M2065" s="14">
        <f>K2065-L2065</f>
        <v>1.4300000000000006</v>
      </c>
      <c r="N2065" s="15">
        <f>IFERROR(M2065/K2065,0)</f>
        <v>0.25087719298245625</v>
      </c>
      <c r="O2065" s="14">
        <f>IFERROR(L2065/J2065,0)</f>
        <v>0.76249999999999996</v>
      </c>
      <c r="P2065" s="14">
        <f>IFERROR(L2065/G2065,0)</f>
        <v>0.47444444444444606</v>
      </c>
    </row>
    <row r="2066" spans="1:16" x14ac:dyDescent="0.3">
      <c r="A2066" s="9" t="s">
        <v>4398</v>
      </c>
      <c r="B2066" s="9" t="s">
        <v>26</v>
      </c>
      <c r="C2066" s="9" t="s">
        <v>26</v>
      </c>
      <c r="D2066" s="52">
        <v>46228</v>
      </c>
      <c r="E2066" s="48">
        <v>0.68472222222222223</v>
      </c>
      <c r="F2066" s="48">
        <v>0.69305555555555554</v>
      </c>
      <c r="G2066" s="43">
        <f>(F2066-E2066)*1440</f>
        <v>11.999999999999957</v>
      </c>
      <c r="H2066" s="9" t="s">
        <v>4699</v>
      </c>
      <c r="I2066" s="9" t="s">
        <v>2831</v>
      </c>
      <c r="J2066" s="44">
        <v>5.6</v>
      </c>
      <c r="K2066" s="60">
        <v>5.23</v>
      </c>
      <c r="L2066" s="56">
        <v>4.2300000000000004</v>
      </c>
      <c r="M2066" s="14">
        <f>K2066-L2066</f>
        <v>1</v>
      </c>
      <c r="N2066" s="15">
        <f>IFERROR(M2066/K2066,0)</f>
        <v>0.19120458891013384</v>
      </c>
      <c r="O2066" s="14">
        <f>IFERROR(L2066/J2066,0)</f>
        <v>0.75535714285714295</v>
      </c>
      <c r="P2066" s="14">
        <f>IFERROR(L2066/G2066,0)</f>
        <v>0.35250000000000131</v>
      </c>
    </row>
    <row r="2067" spans="1:16" x14ac:dyDescent="0.3">
      <c r="A2067" s="9" t="s">
        <v>4399</v>
      </c>
      <c r="B2067" s="9" t="s">
        <v>26</v>
      </c>
      <c r="C2067" s="9" t="s">
        <v>26</v>
      </c>
      <c r="D2067" s="52">
        <v>46228</v>
      </c>
      <c r="E2067" s="48">
        <v>0.7090277777777777</v>
      </c>
      <c r="F2067" s="48">
        <v>0.72083333333333333</v>
      </c>
      <c r="G2067" s="43">
        <f>(F2067-E2067)*1440</f>
        <v>17.000000000000099</v>
      </c>
      <c r="H2067" s="9" t="s">
        <v>2831</v>
      </c>
      <c r="I2067" s="9" t="s">
        <v>4700</v>
      </c>
      <c r="J2067" s="44">
        <v>13</v>
      </c>
      <c r="K2067" s="60">
        <v>7.98</v>
      </c>
      <c r="L2067" s="56">
        <v>7.48</v>
      </c>
      <c r="M2067" s="14">
        <f>K2067-L2067</f>
        <v>0.5</v>
      </c>
      <c r="N2067" s="15">
        <f>IFERROR(M2067/K2067,0)</f>
        <v>6.2656641604010022E-2</v>
      </c>
      <c r="O2067" s="14">
        <f>IFERROR(L2067/J2067,0)</f>
        <v>0.57538461538461538</v>
      </c>
      <c r="P2067" s="14">
        <f>IFERROR(L2067/G2067,0)</f>
        <v>0.43999999999999745</v>
      </c>
    </row>
    <row r="2068" spans="1:16" x14ac:dyDescent="0.3">
      <c r="A2068" s="9" t="s">
        <v>4400</v>
      </c>
      <c r="B2068" s="9" t="s">
        <v>26</v>
      </c>
      <c r="C2068" s="9" t="s">
        <v>27</v>
      </c>
      <c r="D2068" s="52">
        <v>46228</v>
      </c>
      <c r="E2068" s="48">
        <v>0.77986111111111101</v>
      </c>
      <c r="F2068" s="48">
        <v>0.7993055555555556</v>
      </c>
      <c r="G2068" s="43">
        <f>(F2068-E2068)*1440</f>
        <v>28.00000000000022</v>
      </c>
      <c r="H2068" s="9" t="s">
        <v>4701</v>
      </c>
      <c r="I2068" s="9" t="s">
        <v>1369</v>
      </c>
      <c r="J2068" s="44">
        <v>16.899999999999999</v>
      </c>
      <c r="K2068" s="60">
        <v>11.9</v>
      </c>
      <c r="L2068" s="56">
        <v>8.92</v>
      </c>
      <c r="M2068" s="14">
        <f>K2068-L2068</f>
        <v>2.9800000000000004</v>
      </c>
      <c r="N2068" s="15">
        <f>IFERROR(M2068/K2068,0)</f>
        <v>0.25042016806722694</v>
      </c>
      <c r="O2068" s="14">
        <f>IFERROR(L2068/J2068,0)</f>
        <v>0.52781065088757395</v>
      </c>
      <c r="P2068" s="14">
        <f>IFERROR(L2068/G2068,0)</f>
        <v>0.31857142857142606</v>
      </c>
    </row>
    <row r="2069" spans="1:16" x14ac:dyDescent="0.3">
      <c r="A2069" s="9" t="s">
        <v>4401</v>
      </c>
      <c r="B2069" s="9" t="s">
        <v>26</v>
      </c>
      <c r="C2069" s="9" t="s">
        <v>26</v>
      </c>
      <c r="D2069" s="52">
        <v>46228</v>
      </c>
      <c r="E2069" s="48">
        <v>0.83124999999999993</v>
      </c>
      <c r="F2069" s="48">
        <v>0.84027777777777779</v>
      </c>
      <c r="G2069" s="43">
        <f>(F2069-E2069)*1440</f>
        <v>13.000000000000114</v>
      </c>
      <c r="H2069" s="9" t="s">
        <v>4273</v>
      </c>
      <c r="I2069" s="9" t="s">
        <v>4702</v>
      </c>
      <c r="J2069" s="44">
        <v>4.8</v>
      </c>
      <c r="K2069" s="60">
        <v>4.99</v>
      </c>
      <c r="L2069" s="56">
        <v>4.1100000000000003</v>
      </c>
      <c r="M2069" s="14">
        <f>K2069-L2069</f>
        <v>0.87999999999999989</v>
      </c>
      <c r="N2069" s="15">
        <f>IFERROR(M2069/K2069,0)</f>
        <v>0.17635270541082163</v>
      </c>
      <c r="O2069" s="14">
        <f>IFERROR(L2069/J2069,0)</f>
        <v>0.85625000000000007</v>
      </c>
      <c r="P2069" s="14">
        <f>IFERROR(L2069/G2069,0)</f>
        <v>0.3161538461538434</v>
      </c>
    </row>
    <row r="2070" spans="1:16" x14ac:dyDescent="0.3">
      <c r="A2070" s="9" t="s">
        <v>4402</v>
      </c>
      <c r="B2070" s="9" t="s">
        <v>26</v>
      </c>
      <c r="C2070" s="9" t="s">
        <v>27</v>
      </c>
      <c r="D2070" s="52">
        <v>46228</v>
      </c>
      <c r="E2070" s="48">
        <v>0.84722222222222221</v>
      </c>
      <c r="F2070" s="48">
        <v>0.85763888888888884</v>
      </c>
      <c r="G2070" s="43">
        <f>(F2070-E2070)*1440</f>
        <v>14.999999999999947</v>
      </c>
      <c r="H2070" s="9" t="s">
        <v>4026</v>
      </c>
      <c r="I2070" s="9" t="s">
        <v>4703</v>
      </c>
      <c r="J2070" s="44">
        <v>10.6</v>
      </c>
      <c r="K2070" s="60">
        <v>7.53</v>
      </c>
      <c r="L2070" s="56">
        <v>5.65</v>
      </c>
      <c r="M2070" s="14">
        <f>K2070-L2070</f>
        <v>1.88</v>
      </c>
      <c r="N2070" s="15">
        <f>IFERROR(M2070/K2070,0)</f>
        <v>0.24966799468791498</v>
      </c>
      <c r="O2070" s="14">
        <f>IFERROR(L2070/J2070,0)</f>
        <v>0.53301886792452835</v>
      </c>
      <c r="P2070" s="14">
        <f>IFERROR(L2070/G2070,0)</f>
        <v>0.37666666666666804</v>
      </c>
    </row>
    <row r="2071" spans="1:16" x14ac:dyDescent="0.3">
      <c r="A2071" s="9" t="s">
        <v>4403</v>
      </c>
      <c r="B2071" s="9" t="s">
        <v>26</v>
      </c>
      <c r="C2071" s="9" t="s">
        <v>26</v>
      </c>
      <c r="D2071" s="52">
        <v>46228</v>
      </c>
      <c r="E2071" s="48">
        <v>0.86458333333333337</v>
      </c>
      <c r="F2071" s="48">
        <v>0.87847222222222221</v>
      </c>
      <c r="G2071" s="43">
        <f>(F2071-E2071)*1440</f>
        <v>19.999999999999929</v>
      </c>
      <c r="H2071" s="9" t="s">
        <v>1120</v>
      </c>
      <c r="I2071" s="9" t="s">
        <v>4704</v>
      </c>
      <c r="J2071" s="44">
        <v>17.899999999999999</v>
      </c>
      <c r="K2071" s="60">
        <v>11.41</v>
      </c>
      <c r="L2071" s="56">
        <v>10.69</v>
      </c>
      <c r="M2071" s="14">
        <f>K2071-L2071</f>
        <v>0.72000000000000064</v>
      </c>
      <c r="N2071" s="15">
        <f>IFERROR(M2071/K2071,0)</f>
        <v>6.3102541630149042E-2</v>
      </c>
      <c r="O2071" s="14">
        <f>IFERROR(L2071/J2071,0)</f>
        <v>0.59720670391061459</v>
      </c>
      <c r="P2071" s="14">
        <f>IFERROR(L2071/G2071,0)</f>
        <v>0.53450000000000186</v>
      </c>
    </row>
    <row r="2072" spans="1:16" x14ac:dyDescent="0.3">
      <c r="A2072" s="9" t="s">
        <v>4404</v>
      </c>
      <c r="B2072" s="9" t="s">
        <v>26</v>
      </c>
      <c r="C2072" s="9" t="s">
        <v>26</v>
      </c>
      <c r="D2072" s="52">
        <v>46229</v>
      </c>
      <c r="E2072" s="48">
        <v>0.57638888888888895</v>
      </c>
      <c r="F2072" s="48">
        <v>0.58263888888888882</v>
      </c>
      <c r="G2072" s="43">
        <f>(F2072-E2072)*1440</f>
        <v>8.9999999999998082</v>
      </c>
      <c r="H2072" s="9" t="s">
        <v>214</v>
      </c>
      <c r="I2072" s="9" t="s">
        <v>4705</v>
      </c>
      <c r="J2072" s="44">
        <v>5.6</v>
      </c>
      <c r="K2072" s="60">
        <v>4.9800000000000004</v>
      </c>
      <c r="L2072" s="56">
        <v>3.73</v>
      </c>
      <c r="M2072" s="14">
        <f>K2072-L2072</f>
        <v>1.2500000000000004</v>
      </c>
      <c r="N2072" s="15">
        <f>IFERROR(M2072/K2072,0)</f>
        <v>0.2510040160642571</v>
      </c>
      <c r="O2072" s="14">
        <f>IFERROR(L2072/J2072,0)</f>
        <v>0.66607142857142865</v>
      </c>
      <c r="P2072" s="14">
        <f>IFERROR(L2072/G2072,0)</f>
        <v>0.41444444444445327</v>
      </c>
    </row>
    <row r="2073" spans="1:16" x14ac:dyDescent="0.3">
      <c r="A2073" s="9" t="s">
        <v>4405</v>
      </c>
      <c r="B2073" s="9" t="s">
        <v>26</v>
      </c>
      <c r="C2073" s="9" t="s">
        <v>26</v>
      </c>
      <c r="D2073" s="52">
        <v>46229</v>
      </c>
      <c r="E2073" s="48">
        <v>0.58750000000000002</v>
      </c>
      <c r="F2073" s="48">
        <v>0.59444444444444444</v>
      </c>
      <c r="G2073" s="43">
        <f>(F2073-E2073)*1440</f>
        <v>9.9999999999999645</v>
      </c>
      <c r="H2073" s="9" t="s">
        <v>2888</v>
      </c>
      <c r="I2073" s="9" t="s">
        <v>1863</v>
      </c>
      <c r="J2073" s="44">
        <v>4.3</v>
      </c>
      <c r="K2073" s="60">
        <v>4.5999999999999996</v>
      </c>
      <c r="L2073" s="56">
        <v>3.63</v>
      </c>
      <c r="M2073" s="14">
        <f>K2073-L2073</f>
        <v>0.96999999999999975</v>
      </c>
      <c r="N2073" s="15">
        <f>IFERROR(M2073/K2073,0)</f>
        <v>0.21086956521739125</v>
      </c>
      <c r="O2073" s="14">
        <f>IFERROR(L2073/J2073,0)</f>
        <v>0.84418604651162787</v>
      </c>
      <c r="P2073" s="14">
        <f>IFERROR(L2073/G2073,0)</f>
        <v>0.36300000000000127</v>
      </c>
    </row>
    <row r="2074" spans="1:16" x14ac:dyDescent="0.3">
      <c r="A2074" s="9" t="s">
        <v>4406</v>
      </c>
      <c r="B2074" s="9" t="s">
        <v>26</v>
      </c>
      <c r="C2074" s="9" t="s">
        <v>27</v>
      </c>
      <c r="D2074" s="52">
        <v>46229</v>
      </c>
      <c r="E2074" s="48">
        <v>0.66805555555555562</v>
      </c>
      <c r="F2074" s="48">
        <v>0.68055555555555547</v>
      </c>
      <c r="G2074" s="43">
        <f>(F2074-E2074)*1440</f>
        <v>17.999999999999776</v>
      </c>
      <c r="H2074" s="9" t="s">
        <v>4706</v>
      </c>
      <c r="I2074" s="9" t="s">
        <v>4707</v>
      </c>
      <c r="J2074" s="44">
        <v>5.3</v>
      </c>
      <c r="K2074" s="60">
        <v>5.62</v>
      </c>
      <c r="L2074" s="56">
        <v>4.21</v>
      </c>
      <c r="M2074" s="14">
        <f>K2074-L2074</f>
        <v>1.4100000000000001</v>
      </c>
      <c r="N2074" s="15">
        <f>IFERROR(M2074/K2074,0)</f>
        <v>0.25088967971530252</v>
      </c>
      <c r="O2074" s="14">
        <f>IFERROR(L2074/J2074,0)</f>
        <v>0.79433962264150948</v>
      </c>
      <c r="P2074" s="14">
        <f>IFERROR(L2074/G2074,0)</f>
        <v>0.23388888888889178</v>
      </c>
    </row>
    <row r="2075" spans="1:16" x14ac:dyDescent="0.3">
      <c r="A2075" s="9" t="s">
        <v>4407</v>
      </c>
      <c r="B2075" s="9" t="s">
        <v>26</v>
      </c>
      <c r="C2075" s="9" t="s">
        <v>26</v>
      </c>
      <c r="D2075" s="52">
        <v>46229</v>
      </c>
      <c r="E2075" s="48">
        <v>0.74513888888888891</v>
      </c>
      <c r="F2075" s="48">
        <v>0.75624999999999998</v>
      </c>
      <c r="G2075" s="43">
        <f>(F2075-E2075)*1440</f>
        <v>15.999999999999943</v>
      </c>
      <c r="H2075" s="9" t="s">
        <v>4708</v>
      </c>
      <c r="I2075" s="9" t="s">
        <v>611</v>
      </c>
      <c r="J2075" s="44">
        <v>9.4</v>
      </c>
      <c r="K2075" s="60">
        <v>6.9</v>
      </c>
      <c r="L2075" s="56">
        <v>6.12</v>
      </c>
      <c r="M2075" s="14">
        <f>K2075-L2075</f>
        <v>0.78000000000000025</v>
      </c>
      <c r="N2075" s="15">
        <f>IFERROR(M2075/K2075,0)</f>
        <v>0.11304347826086959</v>
      </c>
      <c r="O2075" s="14">
        <f>IFERROR(L2075/J2075,0)</f>
        <v>0.65106382978723398</v>
      </c>
      <c r="P2075" s="14">
        <f>IFERROR(L2075/G2075,0)</f>
        <v>0.38250000000000134</v>
      </c>
    </row>
    <row r="2076" spans="1:16" x14ac:dyDescent="0.3">
      <c r="A2076" s="9" t="s">
        <v>4408</v>
      </c>
      <c r="B2076" s="9" t="s">
        <v>26</v>
      </c>
      <c r="C2076" s="9" t="s">
        <v>26</v>
      </c>
      <c r="D2076" s="52">
        <v>46229</v>
      </c>
      <c r="E2076" s="48">
        <v>0.77986111111111101</v>
      </c>
      <c r="F2076" s="48">
        <v>0.80138888888888893</v>
      </c>
      <c r="G2076" s="43">
        <f>(F2076-E2076)*1440</f>
        <v>31.00000000000021</v>
      </c>
      <c r="H2076" s="9" t="s">
        <v>1120</v>
      </c>
      <c r="I2076" s="9" t="s">
        <v>4709</v>
      </c>
      <c r="J2076" s="44">
        <v>8</v>
      </c>
      <c r="K2076" s="60">
        <v>11</v>
      </c>
      <c r="L2076" s="56">
        <v>9.52</v>
      </c>
      <c r="M2076" s="14">
        <f>K2076-L2076</f>
        <v>1.4800000000000004</v>
      </c>
      <c r="N2076" s="15">
        <f>IFERROR(M2076/K2076,0)</f>
        <v>0.13454545454545458</v>
      </c>
      <c r="O2076" s="14">
        <f>IFERROR(L2076/J2076,0)</f>
        <v>1.19</v>
      </c>
      <c r="P2076" s="14">
        <f>IFERROR(L2076/G2076,0)</f>
        <v>0.30709677419354631</v>
      </c>
    </row>
    <row r="2077" spans="1:16" x14ac:dyDescent="0.3">
      <c r="A2077" s="9" t="s">
        <v>4409</v>
      </c>
      <c r="B2077" s="9" t="s">
        <v>26</v>
      </c>
      <c r="C2077" s="67" t="s">
        <v>26</v>
      </c>
      <c r="D2077" s="52">
        <v>46229</v>
      </c>
      <c r="E2077" s="48">
        <v>0.83958333333333324</v>
      </c>
      <c r="F2077" s="48">
        <v>0.85138888888888886</v>
      </c>
      <c r="G2077" s="43">
        <f>(F2077-E2077)*1440</f>
        <v>17.000000000000099</v>
      </c>
      <c r="H2077" s="9" t="s">
        <v>4710</v>
      </c>
      <c r="I2077" s="9" t="s">
        <v>1120</v>
      </c>
      <c r="J2077" s="44">
        <v>12.1</v>
      </c>
      <c r="K2077" s="60">
        <v>7.93</v>
      </c>
      <c r="L2077" s="56">
        <v>6.55</v>
      </c>
      <c r="M2077" s="14">
        <f>K2077-L2077</f>
        <v>1.38</v>
      </c>
      <c r="N2077" s="15">
        <f>IFERROR(M2077/K2077,0)</f>
        <v>0.17402269861286254</v>
      </c>
      <c r="O2077" s="14">
        <f>IFERROR(L2077/J2077,0)</f>
        <v>0.54132231404958675</v>
      </c>
      <c r="P2077" s="14">
        <f>IFERROR(L2077/G2077,0)</f>
        <v>0.38529411764705657</v>
      </c>
    </row>
    <row r="2078" spans="1:16" x14ac:dyDescent="0.3">
      <c r="A2078" s="9" t="s">
        <v>4410</v>
      </c>
      <c r="B2078" s="9" t="s">
        <v>18</v>
      </c>
      <c r="C2078" s="9" t="s">
        <v>184</v>
      </c>
      <c r="D2078" s="52">
        <v>46229</v>
      </c>
      <c r="E2078" s="48">
        <v>0.5541666666666667</v>
      </c>
      <c r="F2078" s="48">
        <v>0.56805555555555554</v>
      </c>
      <c r="G2078" s="43">
        <f>(F2078-E2078)*1440</f>
        <v>19.999999999999929</v>
      </c>
      <c r="H2078" s="9" t="s">
        <v>1183</v>
      </c>
      <c r="I2078" s="9" t="s">
        <v>214</v>
      </c>
      <c r="J2078" s="44">
        <v>18.98</v>
      </c>
      <c r="K2078" s="60">
        <v>10.95</v>
      </c>
      <c r="L2078" s="56">
        <v>8.5299999999999994</v>
      </c>
      <c r="M2078" s="14">
        <f>K2078-L2078</f>
        <v>2.42</v>
      </c>
      <c r="N2078" s="15">
        <f>IFERROR(M2078/K2078,0)</f>
        <v>0.22100456621004566</v>
      </c>
      <c r="O2078" s="14">
        <f>IFERROR(L2078/J2078,0)</f>
        <v>0.44942044257112745</v>
      </c>
      <c r="P2078" s="14">
        <f>IFERROR(L2078/G2078,0)</f>
        <v>0.42650000000000149</v>
      </c>
    </row>
    <row r="2079" spans="1:16" x14ac:dyDescent="0.3">
      <c r="A2079" s="9" t="s">
        <v>4411</v>
      </c>
      <c r="B2079" s="9" t="s">
        <v>18</v>
      </c>
      <c r="C2079" s="9" t="s">
        <v>184</v>
      </c>
      <c r="D2079" s="52">
        <v>46229</v>
      </c>
      <c r="E2079" s="48">
        <v>0.59861111111111109</v>
      </c>
      <c r="F2079" s="48">
        <v>0.60625000000000007</v>
      </c>
      <c r="G2079" s="43">
        <f>(F2079-E2079)*1440</f>
        <v>11.000000000000121</v>
      </c>
      <c r="H2079" s="9" t="s">
        <v>2147</v>
      </c>
      <c r="I2079" s="9" t="s">
        <v>4711</v>
      </c>
      <c r="J2079" s="44">
        <v>5.35</v>
      </c>
      <c r="K2079" s="60">
        <v>4.9400000000000004</v>
      </c>
      <c r="L2079" s="56">
        <v>3.97</v>
      </c>
      <c r="M2079" s="14">
        <f>K2079-L2079</f>
        <v>0.9700000000000002</v>
      </c>
      <c r="N2079" s="15">
        <f>IFERROR(M2079/K2079,0)</f>
        <v>0.19635627530364375</v>
      </c>
      <c r="O2079" s="14">
        <f>IFERROR(L2079/J2079,0)</f>
        <v>0.74205607476635527</v>
      </c>
      <c r="P2079" s="14">
        <f>IFERROR(L2079/G2079,0)</f>
        <v>0.36090909090908696</v>
      </c>
    </row>
    <row r="2080" spans="1:16" x14ac:dyDescent="0.3">
      <c r="A2080" s="9" t="s">
        <v>4412</v>
      </c>
      <c r="B2080" s="9" t="s">
        <v>18</v>
      </c>
      <c r="C2080" s="9" t="s">
        <v>184</v>
      </c>
      <c r="D2080" s="52">
        <v>46229</v>
      </c>
      <c r="E2080" s="48">
        <v>0.61041666666666672</v>
      </c>
      <c r="F2080" s="48">
        <v>0.61805555555555558</v>
      </c>
      <c r="G2080" s="43">
        <f>(F2080-E2080)*1440</f>
        <v>10.999999999999961</v>
      </c>
      <c r="H2080" s="9" t="s">
        <v>4712</v>
      </c>
      <c r="I2080" s="9" t="s">
        <v>4713</v>
      </c>
      <c r="J2080" s="44">
        <v>4.8099999999999996</v>
      </c>
      <c r="K2080" s="60">
        <v>3.95</v>
      </c>
      <c r="L2080" s="56">
        <v>3.62</v>
      </c>
      <c r="M2080" s="14">
        <f>K2080-L2080</f>
        <v>0.33000000000000007</v>
      </c>
      <c r="N2080" s="15">
        <f>IFERROR(M2080/K2080,0)</f>
        <v>8.3544303797468369E-2</v>
      </c>
      <c r="O2080" s="14">
        <f>IFERROR(L2080/J2080,0)</f>
        <v>0.75259875259875264</v>
      </c>
      <c r="P2080" s="14">
        <f>IFERROR(L2080/G2080,0)</f>
        <v>0.32909090909091027</v>
      </c>
    </row>
    <row r="2081" spans="1:19" x14ac:dyDescent="0.3">
      <c r="A2081" s="9" t="s">
        <v>4413</v>
      </c>
      <c r="B2081" s="9" t="s">
        <v>18</v>
      </c>
      <c r="C2081" s="9" t="s">
        <v>184</v>
      </c>
      <c r="D2081" s="52">
        <v>46229</v>
      </c>
      <c r="E2081" s="48">
        <v>0.6333333333333333</v>
      </c>
      <c r="F2081" s="48">
        <v>0.63958333333333328</v>
      </c>
      <c r="G2081" s="43">
        <f>(F2081-E2081)*1440</f>
        <v>8.999999999999968</v>
      </c>
      <c r="H2081" s="9" t="s">
        <v>4714</v>
      </c>
      <c r="I2081" s="9" t="s">
        <v>4715</v>
      </c>
      <c r="J2081" s="44">
        <v>6.3</v>
      </c>
      <c r="K2081" s="60">
        <v>5.94</v>
      </c>
      <c r="L2081" s="56">
        <v>4.54</v>
      </c>
      <c r="M2081" s="14">
        <f>K2081-L2081</f>
        <v>1.4000000000000004</v>
      </c>
      <c r="N2081" s="15">
        <f>IFERROR(M2081/K2081,0)</f>
        <v>0.23569023569023573</v>
      </c>
      <c r="O2081" s="14">
        <f>IFERROR(L2081/J2081,0)</f>
        <v>0.72063492063492063</v>
      </c>
      <c r="P2081" s="14">
        <f>IFERROR(L2081/G2081,0)</f>
        <v>0.50444444444444625</v>
      </c>
    </row>
    <row r="2082" spans="1:19" x14ac:dyDescent="0.3">
      <c r="A2082" s="9" t="s">
        <v>4414</v>
      </c>
      <c r="B2082" s="9" t="s">
        <v>18</v>
      </c>
      <c r="C2082" s="9" t="s">
        <v>184</v>
      </c>
      <c r="D2082" s="52">
        <v>46229</v>
      </c>
      <c r="E2082" s="48">
        <v>0.6430555555555556</v>
      </c>
      <c r="F2082" s="48">
        <v>0.65277777777777779</v>
      </c>
      <c r="G2082" s="43">
        <f>(F2082-E2082)*1440</f>
        <v>13.99999999999995</v>
      </c>
      <c r="H2082" s="9" t="s">
        <v>4716</v>
      </c>
      <c r="I2082" s="9" t="s">
        <v>1361</v>
      </c>
      <c r="J2082" s="44">
        <v>10.199999999999999</v>
      </c>
      <c r="K2082" s="60">
        <v>6.93</v>
      </c>
      <c r="L2082" s="56">
        <v>4.5</v>
      </c>
      <c r="M2082" s="14">
        <f>K2082-L2082</f>
        <v>2.4299999999999997</v>
      </c>
      <c r="N2082" s="15">
        <f>IFERROR(M2082/K2082,0)</f>
        <v>0.3506493506493506</v>
      </c>
      <c r="O2082" s="14">
        <f>IFERROR(L2082/J2082,0)</f>
        <v>0.44117647058823534</v>
      </c>
      <c r="P2082" s="14">
        <f>IFERROR(L2082/G2082,0)</f>
        <v>0.32142857142857256</v>
      </c>
    </row>
    <row r="2083" spans="1:19" x14ac:dyDescent="0.3">
      <c r="A2083" s="9" t="s">
        <v>4415</v>
      </c>
      <c r="B2083" s="9" t="s">
        <v>18</v>
      </c>
      <c r="C2083" s="9" t="s">
        <v>184</v>
      </c>
      <c r="D2083" s="52">
        <v>46229</v>
      </c>
      <c r="E2083" s="48">
        <v>0.65486111111111112</v>
      </c>
      <c r="F2083" s="48">
        <v>0.66111111111111109</v>
      </c>
      <c r="G2083" s="43">
        <f>(F2083-E2083)*1440</f>
        <v>8.999999999999968</v>
      </c>
      <c r="H2083" s="9" t="s">
        <v>698</v>
      </c>
      <c r="I2083" s="9" t="s">
        <v>186</v>
      </c>
      <c r="J2083" s="44">
        <v>4.75</v>
      </c>
      <c r="K2083" s="60">
        <v>9.9499999999999993</v>
      </c>
      <c r="L2083" s="56">
        <v>6.47</v>
      </c>
      <c r="M2083" s="14">
        <f>K2083-L2083</f>
        <v>3.4799999999999995</v>
      </c>
      <c r="N2083" s="15">
        <f>IFERROR(M2083/K2083,0)</f>
        <v>0.34974874371859294</v>
      </c>
      <c r="O2083" s="14">
        <f>IFERROR(L2083/J2083,0)</f>
        <v>1.3621052631578947</v>
      </c>
      <c r="P2083" s="14">
        <f>IFERROR(L2083/G2083,0)</f>
        <v>0.71888888888889146</v>
      </c>
      <c r="S2083" s="61">
        <v>2</v>
      </c>
    </row>
    <row r="2084" spans="1:19" x14ac:dyDescent="0.3">
      <c r="A2084" s="9" t="s">
        <v>4416</v>
      </c>
      <c r="B2084" s="9" t="s">
        <v>18</v>
      </c>
      <c r="C2084" s="9" t="s">
        <v>184</v>
      </c>
      <c r="D2084" s="52">
        <v>46229</v>
      </c>
      <c r="E2084" s="48">
        <v>0.69236111111111109</v>
      </c>
      <c r="F2084" s="48">
        <v>0.70347222222222217</v>
      </c>
      <c r="G2084" s="43">
        <f>(F2084-E2084)*1440</f>
        <v>15.999999999999943</v>
      </c>
      <c r="H2084" s="9" t="s">
        <v>589</v>
      </c>
      <c r="I2084" s="9" t="s">
        <v>908</v>
      </c>
      <c r="J2084" s="44">
        <v>8.3699999999999992</v>
      </c>
      <c r="K2084" s="60">
        <v>6.96</v>
      </c>
      <c r="L2084" s="56">
        <v>5.0999999999999996</v>
      </c>
      <c r="M2084" s="14">
        <f>K2084-L2084</f>
        <v>1.8600000000000003</v>
      </c>
      <c r="N2084" s="15">
        <f>IFERROR(M2084/K2084,0)</f>
        <v>0.26724137931034486</v>
      </c>
      <c r="O2084" s="14">
        <f>IFERROR(L2084/J2084,0)</f>
        <v>0.60931899641577059</v>
      </c>
      <c r="P2084" s="14">
        <f>IFERROR(L2084/G2084,0)</f>
        <v>0.31875000000000109</v>
      </c>
    </row>
    <row r="2085" spans="1:19" x14ac:dyDescent="0.3">
      <c r="A2085" s="9" t="s">
        <v>4417</v>
      </c>
      <c r="B2085" s="9" t="s">
        <v>18</v>
      </c>
      <c r="C2085" s="9" t="s">
        <v>184</v>
      </c>
      <c r="D2085" s="52">
        <v>46229</v>
      </c>
      <c r="E2085" s="48">
        <v>0.71180555555555547</v>
      </c>
      <c r="F2085" s="48">
        <v>0.72013888888888899</v>
      </c>
      <c r="G2085" s="43">
        <f>(F2085-E2085)*1440</f>
        <v>12.000000000000277</v>
      </c>
      <c r="H2085" s="9" t="s">
        <v>3067</v>
      </c>
      <c r="I2085" s="9" t="s">
        <v>1690</v>
      </c>
      <c r="J2085" s="44">
        <v>8.33</v>
      </c>
      <c r="K2085" s="60">
        <v>6.96</v>
      </c>
      <c r="L2085" s="56">
        <v>4.5199999999999996</v>
      </c>
      <c r="M2085" s="14">
        <f>K2085-L2085</f>
        <v>2.4400000000000004</v>
      </c>
      <c r="N2085" s="15">
        <f>IFERROR(M2085/K2085,0)</f>
        <v>0.35057471264367823</v>
      </c>
      <c r="O2085" s="14">
        <f>IFERROR(L2085/J2085,0)</f>
        <v>0.54261704681872747</v>
      </c>
      <c r="P2085" s="14">
        <f>IFERROR(L2085/G2085,0)</f>
        <v>0.37666666666665793</v>
      </c>
      <c r="S2085" s="61">
        <v>2</v>
      </c>
    </row>
    <row r="2086" spans="1:19" x14ac:dyDescent="0.3">
      <c r="A2086" s="9" t="s">
        <v>4418</v>
      </c>
      <c r="B2086" s="9" t="s">
        <v>18</v>
      </c>
      <c r="C2086" s="9" t="s">
        <v>184</v>
      </c>
      <c r="D2086" s="52">
        <v>46229</v>
      </c>
      <c r="E2086" s="48">
        <v>0.72916666666666663</v>
      </c>
      <c r="F2086" s="48">
        <v>0.73541666666666661</v>
      </c>
      <c r="G2086" s="43">
        <f>(F2086-E2086)*1440</f>
        <v>8.999999999999968</v>
      </c>
      <c r="H2086" s="9" t="s">
        <v>827</v>
      </c>
      <c r="I2086" s="9" t="s">
        <v>4717</v>
      </c>
      <c r="J2086" s="44">
        <v>5.34</v>
      </c>
      <c r="K2086" s="60">
        <v>6.04</v>
      </c>
      <c r="L2086" s="56">
        <v>3.87</v>
      </c>
      <c r="M2086" s="14">
        <f>K2086-L2086</f>
        <v>2.17</v>
      </c>
      <c r="N2086" s="15">
        <f>IFERROR(M2086/K2086,0)</f>
        <v>0.35927152317880795</v>
      </c>
      <c r="O2086" s="14">
        <f>IFERROR(L2086/J2086,0)</f>
        <v>0.7247191011235955</v>
      </c>
      <c r="P2086" s="14">
        <f>IFERROR(L2086/G2086,0)</f>
        <v>0.43000000000000155</v>
      </c>
    </row>
    <row r="2087" spans="1:19" x14ac:dyDescent="0.3">
      <c r="A2087" s="9" t="s">
        <v>4419</v>
      </c>
      <c r="B2087" s="9" t="s">
        <v>18</v>
      </c>
      <c r="C2087" s="9" t="s">
        <v>196</v>
      </c>
      <c r="D2087" s="52">
        <v>46229</v>
      </c>
      <c r="E2087" s="48">
        <v>0.80763888888888891</v>
      </c>
      <c r="F2087" s="48">
        <v>0.81458333333333333</v>
      </c>
      <c r="G2087" s="43">
        <f>(F2087-E2087)*1440</f>
        <v>9.9999999999999645</v>
      </c>
      <c r="H2087" s="9" t="s">
        <v>241</v>
      </c>
      <c r="I2087" s="9" t="s">
        <v>1302</v>
      </c>
      <c r="J2087" s="44">
        <v>1.71</v>
      </c>
      <c r="K2087" s="60">
        <v>5.99</v>
      </c>
      <c r="L2087" s="56">
        <v>4.04</v>
      </c>
      <c r="M2087" s="14">
        <f>K2087-L2087</f>
        <v>1.9500000000000002</v>
      </c>
      <c r="N2087" s="15">
        <f>IFERROR(M2087/K2087,0)</f>
        <v>0.32554257095158601</v>
      </c>
      <c r="O2087" s="14">
        <f>IFERROR(L2087/J2087,0)</f>
        <v>2.3625730994152048</v>
      </c>
      <c r="P2087" s="14">
        <f>IFERROR(L2087/G2087,0)</f>
        <v>0.40400000000000141</v>
      </c>
    </row>
    <row r="2088" spans="1:19" x14ac:dyDescent="0.3">
      <c r="A2088" s="9" t="s">
        <v>4420</v>
      </c>
      <c r="B2088" s="9" t="s">
        <v>18</v>
      </c>
      <c r="C2088" s="9" t="s">
        <v>184</v>
      </c>
      <c r="D2088" s="52">
        <v>46229</v>
      </c>
      <c r="E2088" s="48">
        <v>0.81458333333333333</v>
      </c>
      <c r="F2088" s="48">
        <v>0.8208333333333333</v>
      </c>
      <c r="G2088" s="43">
        <f>(F2088-E2088)*1440</f>
        <v>8.999999999999968</v>
      </c>
      <c r="H2088" s="9" t="s">
        <v>1302</v>
      </c>
      <c r="I2088" s="9" t="s">
        <v>4718</v>
      </c>
      <c r="J2088" s="44">
        <v>2.67</v>
      </c>
      <c r="K2088" s="60">
        <v>4.96</v>
      </c>
      <c r="L2088" s="56">
        <v>3.3</v>
      </c>
      <c r="M2088" s="14">
        <f>K2088-L2088</f>
        <v>1.6600000000000001</v>
      </c>
      <c r="N2088" s="15">
        <f>IFERROR(M2088/K2088,0)</f>
        <v>0.33467741935483875</v>
      </c>
      <c r="O2088" s="14">
        <f>IFERROR(L2088/J2088,0)</f>
        <v>1.2359550561797752</v>
      </c>
      <c r="P2088" s="14">
        <f>IFERROR(L2088/G2088,0)</f>
        <v>0.36666666666666797</v>
      </c>
    </row>
    <row r="2089" spans="1:19" x14ac:dyDescent="0.3">
      <c r="A2089" s="9" t="s">
        <v>4421</v>
      </c>
      <c r="B2089" s="9" t="s">
        <v>18</v>
      </c>
      <c r="C2089" s="9" t="s">
        <v>184</v>
      </c>
      <c r="D2089" s="52">
        <v>46229</v>
      </c>
      <c r="E2089" s="48">
        <v>0.87916666666666676</v>
      </c>
      <c r="F2089" s="48">
        <v>0.88888888888888884</v>
      </c>
      <c r="G2089" s="43">
        <f>(F2089-E2089)*1440</f>
        <v>13.99999999999979</v>
      </c>
      <c r="H2089" s="9" t="s">
        <v>1905</v>
      </c>
      <c r="I2089" s="9" t="s">
        <v>1183</v>
      </c>
      <c r="J2089" s="44">
        <v>11.16</v>
      </c>
      <c r="K2089" s="60">
        <v>7.93</v>
      </c>
      <c r="L2089" s="56">
        <v>5.53</v>
      </c>
      <c r="M2089" s="14">
        <f>K2089-L2089</f>
        <v>2.3999999999999995</v>
      </c>
      <c r="N2089" s="15">
        <f>IFERROR(M2089/K2089,0)</f>
        <v>0.30264817150063045</v>
      </c>
      <c r="O2089" s="14">
        <f>IFERROR(L2089/J2089,0)</f>
        <v>0.49551971326164879</v>
      </c>
      <c r="P2089" s="14">
        <f>IFERROR(L2089/G2089,0)</f>
        <v>0.39500000000000596</v>
      </c>
    </row>
    <row r="2090" spans="1:19" x14ac:dyDescent="0.3">
      <c r="A2090" s="9" t="s">
        <v>4422</v>
      </c>
      <c r="B2090" s="9" t="s">
        <v>18</v>
      </c>
      <c r="C2090" s="9" t="s">
        <v>184</v>
      </c>
      <c r="D2090" s="52">
        <v>46230</v>
      </c>
      <c r="E2090" s="48">
        <v>0.61041666666666672</v>
      </c>
      <c r="F2090" s="48">
        <v>0.62222222222222223</v>
      </c>
      <c r="G2090" s="43">
        <f>(F2090-E2090)*1440</f>
        <v>16.99999999999994</v>
      </c>
      <c r="H2090" s="9" t="s">
        <v>2157</v>
      </c>
      <c r="I2090" s="9" t="s">
        <v>2167</v>
      </c>
      <c r="J2090" s="44">
        <v>11.18</v>
      </c>
      <c r="K2090" s="60">
        <v>7.44</v>
      </c>
      <c r="L2090" s="56">
        <v>7.23</v>
      </c>
      <c r="M2090" s="14">
        <f>K2090-L2090</f>
        <v>0.20999999999999996</v>
      </c>
      <c r="N2090" s="15">
        <f>IFERROR(M2090/K2090,0)</f>
        <v>2.8225806451612896E-2</v>
      </c>
      <c r="O2090" s="14">
        <f>IFERROR(L2090/J2090,0)</f>
        <v>0.64669051878354211</v>
      </c>
      <c r="P2090" s="14">
        <f>IFERROR(L2090/G2090,0)</f>
        <v>0.42529411764706038</v>
      </c>
    </row>
    <row r="2091" spans="1:19" x14ac:dyDescent="0.3">
      <c r="A2091" s="9" t="s">
        <v>4423</v>
      </c>
      <c r="B2091" s="9" t="s">
        <v>18</v>
      </c>
      <c r="C2091" s="9" t="s">
        <v>184</v>
      </c>
      <c r="D2091" s="52">
        <v>46230</v>
      </c>
      <c r="E2091" s="48">
        <v>0.67152777777777783</v>
      </c>
      <c r="F2091" s="48">
        <v>0.6777777777777777</v>
      </c>
      <c r="G2091" s="43">
        <f>(F2091-E2091)*1440</f>
        <v>8.9999999999998082</v>
      </c>
      <c r="H2091" s="9" t="s">
        <v>4719</v>
      </c>
      <c r="I2091" s="9" t="s">
        <v>4720</v>
      </c>
      <c r="J2091" s="44">
        <v>6.41</v>
      </c>
      <c r="K2091" s="60">
        <v>5.95</v>
      </c>
      <c r="L2091" s="56">
        <v>5.19</v>
      </c>
      <c r="M2091" s="14">
        <f>K2091-L2091</f>
        <v>0.75999999999999979</v>
      </c>
      <c r="N2091" s="15">
        <f>IFERROR(M2091/K2091,0)</f>
        <v>0.12773109243697475</v>
      </c>
      <c r="O2091" s="14">
        <f>IFERROR(L2091/J2091,0)</f>
        <v>0.80967238689547583</v>
      </c>
      <c r="P2091" s="14">
        <f>IFERROR(L2091/G2091,0)</f>
        <v>0.57666666666667898</v>
      </c>
    </row>
    <row r="2092" spans="1:19" x14ac:dyDescent="0.3">
      <c r="A2092" s="9" t="s">
        <v>4424</v>
      </c>
      <c r="B2092" s="9" t="s">
        <v>18</v>
      </c>
      <c r="C2092" s="9" t="s">
        <v>184</v>
      </c>
      <c r="D2092" s="52">
        <v>46230</v>
      </c>
      <c r="E2092" s="48">
        <v>0.68194444444444446</v>
      </c>
      <c r="F2092" s="48">
        <v>0.68958333333333333</v>
      </c>
      <c r="G2092" s="43">
        <f>(F2092-E2092)*1440</f>
        <v>10.999999999999961</v>
      </c>
      <c r="H2092" s="9" t="s">
        <v>2852</v>
      </c>
      <c r="I2092" s="9" t="s">
        <v>4721</v>
      </c>
      <c r="J2092" s="44">
        <v>4.38</v>
      </c>
      <c r="K2092" s="60">
        <v>4.43</v>
      </c>
      <c r="L2092" s="56">
        <v>4.3099999999999996</v>
      </c>
      <c r="M2092" s="14">
        <f>K2092-L2092</f>
        <v>0.12000000000000011</v>
      </c>
      <c r="N2092" s="15">
        <f>IFERROR(M2092/K2092,0)</f>
        <v>2.7088036117381517E-2</v>
      </c>
      <c r="O2092" s="14">
        <f>IFERROR(L2092/J2092,0)</f>
        <v>0.98401826484018262</v>
      </c>
      <c r="P2092" s="14">
        <f>IFERROR(L2092/G2092,0)</f>
        <v>0.39181818181818318</v>
      </c>
    </row>
    <row r="2093" spans="1:19" x14ac:dyDescent="0.3">
      <c r="A2093" s="9" t="s">
        <v>4425</v>
      </c>
      <c r="B2093" s="9" t="s">
        <v>18</v>
      </c>
      <c r="C2093" s="9" t="s">
        <v>184</v>
      </c>
      <c r="D2093" s="52">
        <v>46230</v>
      </c>
      <c r="E2093" s="48">
        <v>0.6972222222222223</v>
      </c>
      <c r="F2093" s="48">
        <v>0.70972222222222225</v>
      </c>
      <c r="G2093" s="43">
        <f>(F2093-E2093)*1440</f>
        <v>17.999999999999936</v>
      </c>
      <c r="H2093" s="9" t="s">
        <v>2891</v>
      </c>
      <c r="I2093" s="9" t="s">
        <v>536</v>
      </c>
      <c r="J2093" s="44">
        <v>9</v>
      </c>
      <c r="K2093" s="60">
        <v>7.94</v>
      </c>
      <c r="L2093" s="56">
        <v>5.16</v>
      </c>
      <c r="M2093" s="14">
        <f>K2093-L2093</f>
        <v>2.7800000000000002</v>
      </c>
      <c r="N2093" s="15">
        <f>IFERROR(M2093/K2093,0)</f>
        <v>0.3501259445843829</v>
      </c>
      <c r="O2093" s="14">
        <f>IFERROR(L2093/J2093,0)</f>
        <v>0.57333333333333336</v>
      </c>
      <c r="P2093" s="14">
        <f>IFERROR(L2093/G2093,0)</f>
        <v>0.28666666666666768</v>
      </c>
    </row>
    <row r="2094" spans="1:19" x14ac:dyDescent="0.3">
      <c r="A2094" s="9" t="s">
        <v>4426</v>
      </c>
      <c r="B2094" s="9" t="s">
        <v>26</v>
      </c>
      <c r="C2094" s="9" t="s">
        <v>26</v>
      </c>
      <c r="D2094" s="52">
        <v>46230</v>
      </c>
      <c r="E2094" s="48">
        <v>0.56111111111111112</v>
      </c>
      <c r="F2094" s="48">
        <v>0.57777777777777783</v>
      </c>
      <c r="G2094" s="43">
        <f>(F2094-E2094)*1440</f>
        <v>24.000000000000075</v>
      </c>
      <c r="H2094" s="9" t="s">
        <v>4722</v>
      </c>
      <c r="I2094" s="9" t="s">
        <v>1120</v>
      </c>
      <c r="J2094" s="44">
        <v>19</v>
      </c>
      <c r="K2094" s="60">
        <v>15.91</v>
      </c>
      <c r="L2094" s="56">
        <v>13.75</v>
      </c>
      <c r="M2094" s="14">
        <f>K2094-L2094</f>
        <v>2.16</v>
      </c>
      <c r="N2094" s="15">
        <f>IFERROR(M2094/K2094,0)</f>
        <v>0.13576367064739159</v>
      </c>
      <c r="O2094" s="14">
        <f>IFERROR(L2094/J2094,0)</f>
        <v>0.72368421052631582</v>
      </c>
      <c r="P2094" s="14">
        <f>IFERROR(L2094/G2094,0)</f>
        <v>0.57291666666666485</v>
      </c>
    </row>
    <row r="2095" spans="1:19" x14ac:dyDescent="0.3">
      <c r="A2095" s="9" t="s">
        <v>4427</v>
      </c>
      <c r="B2095" s="9" t="s">
        <v>26</v>
      </c>
      <c r="C2095" s="9" t="s">
        <v>26</v>
      </c>
      <c r="D2095" s="52">
        <v>46230</v>
      </c>
      <c r="E2095" s="48">
        <v>0.57777777777777783</v>
      </c>
      <c r="F2095" s="48">
        <v>0.58958333333333335</v>
      </c>
      <c r="G2095" s="43">
        <f>(F2095-E2095)*1440</f>
        <v>16.99999999999994</v>
      </c>
      <c r="H2095" s="9" t="s">
        <v>1120</v>
      </c>
      <c r="I2095" s="9" t="s">
        <v>1372</v>
      </c>
      <c r="J2095" s="44">
        <v>4.5999999999999996</v>
      </c>
      <c r="K2095" s="60">
        <v>7.91</v>
      </c>
      <c r="L2095" s="56">
        <v>5.93</v>
      </c>
      <c r="M2095" s="14">
        <f>K2095-L2095</f>
        <v>1.9800000000000004</v>
      </c>
      <c r="N2095" s="15">
        <f>IFERROR(M2095/K2095,0)</f>
        <v>0.25031605562579018</v>
      </c>
      <c r="O2095" s="14">
        <f>IFERROR(L2095/J2095,0)</f>
        <v>1.2891304347826087</v>
      </c>
      <c r="P2095" s="14">
        <f>IFERROR(L2095/G2095,0)</f>
        <v>0.34882352941176592</v>
      </c>
    </row>
    <row r="2096" spans="1:19" x14ac:dyDescent="0.3">
      <c r="A2096" s="9" t="s">
        <v>4428</v>
      </c>
      <c r="B2096" s="9" t="s">
        <v>26</v>
      </c>
      <c r="C2096" s="9" t="s">
        <v>26</v>
      </c>
      <c r="D2096" s="52">
        <v>46230</v>
      </c>
      <c r="E2096" s="48">
        <v>0.59166666666666667</v>
      </c>
      <c r="F2096" s="48">
        <v>0.60138888888888886</v>
      </c>
      <c r="G2096" s="43">
        <f>(F2096-E2096)*1440</f>
        <v>13.99999999999995</v>
      </c>
      <c r="H2096" s="9" t="s">
        <v>1372</v>
      </c>
      <c r="I2096" s="9" t="s">
        <v>1120</v>
      </c>
      <c r="J2096" s="44">
        <v>4.5</v>
      </c>
      <c r="K2096" s="60">
        <v>3.63</v>
      </c>
      <c r="L2096" s="56">
        <v>4.28</v>
      </c>
      <c r="M2096" s="14">
        <f>K2096-L2096</f>
        <v>-0.65000000000000036</v>
      </c>
      <c r="N2096" s="15">
        <f>IFERROR(M2096/K2096,0)</f>
        <v>-0.17906336088154282</v>
      </c>
      <c r="O2096" s="14">
        <f>IFERROR(L2096/J2096,0)</f>
        <v>0.95111111111111113</v>
      </c>
      <c r="P2096" s="14">
        <f>IFERROR(L2096/G2096,0)</f>
        <v>0.30571428571428683</v>
      </c>
    </row>
    <row r="2097" spans="1:18" x14ac:dyDescent="0.3">
      <c r="A2097" s="9" t="s">
        <v>4429</v>
      </c>
      <c r="B2097" s="9" t="s">
        <v>26</v>
      </c>
      <c r="C2097" s="9" t="s">
        <v>26</v>
      </c>
      <c r="D2097" s="52">
        <v>46230</v>
      </c>
      <c r="E2097" s="48">
        <v>0.62708333333333333</v>
      </c>
      <c r="F2097" s="48">
        <v>0.64027777777777783</v>
      </c>
      <c r="G2097" s="43">
        <f>(F2097-E2097)*1440</f>
        <v>19.000000000000092</v>
      </c>
      <c r="H2097" s="9" t="s">
        <v>4144</v>
      </c>
      <c r="I2097" s="9" t="s">
        <v>214</v>
      </c>
      <c r="J2097" s="44">
        <v>9.6</v>
      </c>
      <c r="K2097" s="60">
        <v>7.9</v>
      </c>
      <c r="L2097" s="56">
        <v>6.86</v>
      </c>
      <c r="M2097" s="14">
        <f>K2097-L2097</f>
        <v>1.04</v>
      </c>
      <c r="N2097" s="15">
        <f>IFERROR(M2097/K2097,0)</f>
        <v>0.13164556962025317</v>
      </c>
      <c r="O2097" s="14">
        <f>IFERROR(L2097/J2097,0)</f>
        <v>0.71458333333333335</v>
      </c>
      <c r="P2097" s="14">
        <f>IFERROR(L2097/G2097,0)</f>
        <v>0.36105263157894563</v>
      </c>
    </row>
    <row r="2098" spans="1:18" x14ac:dyDescent="0.3">
      <c r="A2098" s="9" t="s">
        <v>4430</v>
      </c>
      <c r="B2098" s="67" t="s">
        <v>26</v>
      </c>
      <c r="C2098" s="9" t="s">
        <v>27</v>
      </c>
      <c r="D2098" s="52">
        <v>46230</v>
      </c>
      <c r="E2098" s="48">
        <v>0.64097222222222217</v>
      </c>
      <c r="F2098" s="48">
        <v>0.65138888888888891</v>
      </c>
      <c r="G2098" s="43">
        <f>(F2098-E2098)*1440</f>
        <v>15.000000000000107</v>
      </c>
      <c r="H2098" s="9" t="s">
        <v>214</v>
      </c>
      <c r="I2098" s="9" t="s">
        <v>2009</v>
      </c>
      <c r="J2098" s="44">
        <v>9.1</v>
      </c>
      <c r="K2098" s="60">
        <v>6.63</v>
      </c>
      <c r="L2098" s="56">
        <v>4.97</v>
      </c>
      <c r="M2098" s="14">
        <f>K2098-L2098</f>
        <v>1.6600000000000001</v>
      </c>
      <c r="N2098" s="15">
        <f>IFERROR(M2098/K2098,0)</f>
        <v>0.25037707390648567</v>
      </c>
      <c r="O2098" s="14">
        <f>IFERROR(L2098/J2098,0)</f>
        <v>0.5461538461538461</v>
      </c>
      <c r="P2098" s="14">
        <f>IFERROR(L2098/G2098,0)</f>
        <v>0.33133333333333098</v>
      </c>
    </row>
    <row r="2099" spans="1:18" x14ac:dyDescent="0.3">
      <c r="A2099" s="9" t="s">
        <v>4431</v>
      </c>
      <c r="B2099" s="9" t="s">
        <v>26</v>
      </c>
      <c r="C2099" s="9" t="s">
        <v>27</v>
      </c>
      <c r="D2099" s="52">
        <v>46230</v>
      </c>
      <c r="E2099" s="48">
        <v>0.67013888888888884</v>
      </c>
      <c r="F2099" s="48">
        <v>0.67291666666666661</v>
      </c>
      <c r="G2099" s="43">
        <f>(F2099-E2099)*1440</f>
        <v>3.9999999999999858</v>
      </c>
      <c r="H2099" s="9" t="s">
        <v>2009</v>
      </c>
      <c r="I2099" s="9" t="s">
        <v>4222</v>
      </c>
      <c r="J2099" s="44">
        <v>0.7</v>
      </c>
      <c r="K2099" s="60">
        <v>4.62</v>
      </c>
      <c r="L2099" s="56">
        <v>3.81</v>
      </c>
      <c r="M2099" s="14">
        <f>K2099-L2099</f>
        <v>0.81</v>
      </c>
      <c r="N2099" s="15">
        <f>IFERROR(M2099/K2099,0)</f>
        <v>0.17532467532467533</v>
      </c>
      <c r="O2099" s="14">
        <f>IFERROR(L2099/J2099,0)</f>
        <v>5.4428571428571431</v>
      </c>
      <c r="P2099" s="14">
        <f>IFERROR(L2099/G2099,0)</f>
        <v>0.95250000000000334</v>
      </c>
    </row>
    <row r="2100" spans="1:18" x14ac:dyDescent="0.3">
      <c r="A2100" s="9" t="s">
        <v>4432</v>
      </c>
      <c r="B2100" s="9" t="s">
        <v>26</v>
      </c>
      <c r="C2100" s="9" t="s">
        <v>27</v>
      </c>
      <c r="D2100" s="52">
        <v>46230</v>
      </c>
      <c r="E2100" s="48">
        <v>0.71527777777777779</v>
      </c>
      <c r="F2100" s="48">
        <v>0.7270833333333333</v>
      </c>
      <c r="G2100" s="43">
        <f>(F2100-E2100)*1440</f>
        <v>16.99999999999994</v>
      </c>
      <c r="H2100" s="9" t="s">
        <v>1845</v>
      </c>
      <c r="I2100" s="9" t="s">
        <v>2861</v>
      </c>
      <c r="J2100" s="44">
        <v>8.6999999999999993</v>
      </c>
      <c r="K2100" s="60">
        <v>9.99</v>
      </c>
      <c r="L2100" s="56">
        <v>7.49</v>
      </c>
      <c r="M2100" s="14">
        <f>K2100-L2100</f>
        <v>2.5</v>
      </c>
      <c r="N2100" s="15">
        <f>IFERROR(M2100/K2100,0)</f>
        <v>0.25025025025025027</v>
      </c>
      <c r="O2100" s="14">
        <f>IFERROR(L2100/J2100,0)</f>
        <v>0.86091954022988515</v>
      </c>
      <c r="P2100" s="14">
        <f>IFERROR(L2100/G2100,0)</f>
        <v>0.44058823529411922</v>
      </c>
    </row>
    <row r="2101" spans="1:18" x14ac:dyDescent="0.3">
      <c r="A2101" s="9" t="s">
        <v>4433</v>
      </c>
      <c r="B2101" s="9" t="s">
        <v>26</v>
      </c>
      <c r="C2101" s="9" t="s">
        <v>26</v>
      </c>
      <c r="D2101" s="52">
        <v>46230</v>
      </c>
      <c r="E2101" s="48">
        <v>0.7416666666666667</v>
      </c>
      <c r="F2101" s="48">
        <v>0.75069444444444444</v>
      </c>
      <c r="G2101" s="43">
        <f>(F2101-E2101)*1440</f>
        <v>12.999999999999954</v>
      </c>
      <c r="H2101" s="9" t="s">
        <v>4723</v>
      </c>
      <c r="I2101" s="9" t="s">
        <v>818</v>
      </c>
      <c r="J2101" s="44">
        <v>5.0999999999999996</v>
      </c>
      <c r="K2101" s="60">
        <v>4.3899999999999997</v>
      </c>
      <c r="L2101" s="56">
        <v>3.54</v>
      </c>
      <c r="M2101" s="14">
        <f>K2101-L2101</f>
        <v>0.84999999999999964</v>
      </c>
      <c r="N2101" s="15">
        <f>IFERROR(M2101/K2101,0)</f>
        <v>0.19362186788154892</v>
      </c>
      <c r="O2101" s="14">
        <f>IFERROR(L2101/J2101,0)</f>
        <v>0.69411764705882362</v>
      </c>
      <c r="P2101" s="14">
        <f>IFERROR(L2101/G2101,0)</f>
        <v>0.27230769230769331</v>
      </c>
    </row>
    <row r="2102" spans="1:18" x14ac:dyDescent="0.3">
      <c r="A2102" s="9" t="s">
        <v>4434</v>
      </c>
      <c r="B2102" s="9" t="s">
        <v>26</v>
      </c>
      <c r="C2102" s="9" t="s">
        <v>27</v>
      </c>
      <c r="D2102" s="52">
        <v>46230</v>
      </c>
      <c r="E2102" s="48">
        <v>0.75347222222222221</v>
      </c>
      <c r="F2102" s="48">
        <v>0.76180555555555562</v>
      </c>
      <c r="G2102" s="43">
        <f>(F2102-E2102)*1440</f>
        <v>12.000000000000117</v>
      </c>
      <c r="H2102" s="9" t="s">
        <v>128</v>
      </c>
      <c r="I2102" s="9" t="s">
        <v>1167</v>
      </c>
      <c r="J2102" s="44">
        <v>7.8</v>
      </c>
      <c r="K2102" s="60">
        <v>5.99</v>
      </c>
      <c r="L2102" s="56">
        <v>4.49</v>
      </c>
      <c r="M2102" s="14">
        <f>K2102-L2102</f>
        <v>1.5</v>
      </c>
      <c r="N2102" s="15">
        <f>IFERROR(M2102/K2102,0)</f>
        <v>0.25041736227045075</v>
      </c>
      <c r="O2102" s="14">
        <f>IFERROR(L2102/J2102,0)</f>
        <v>0.57564102564102571</v>
      </c>
      <c r="P2102" s="14">
        <f>IFERROR(L2102/G2102,0)</f>
        <v>0.37416666666666304</v>
      </c>
    </row>
    <row r="2103" spans="1:18" x14ac:dyDescent="0.3">
      <c r="A2103" s="9" t="s">
        <v>4435</v>
      </c>
      <c r="B2103" s="9" t="s">
        <v>26</v>
      </c>
      <c r="C2103" s="9" t="s">
        <v>26</v>
      </c>
      <c r="D2103" s="52">
        <v>46230</v>
      </c>
      <c r="E2103" s="48">
        <v>0.76666666666666661</v>
      </c>
      <c r="F2103" s="48">
        <v>0.77847222222222223</v>
      </c>
      <c r="G2103" s="43">
        <f>(F2103-E2103)*1440</f>
        <v>17.000000000000099</v>
      </c>
      <c r="H2103" s="9" t="s">
        <v>1950</v>
      </c>
      <c r="I2103" s="9" t="s">
        <v>1903</v>
      </c>
      <c r="J2103" s="44">
        <v>8.4</v>
      </c>
      <c r="K2103" s="60">
        <v>7.43</v>
      </c>
      <c r="L2103" s="56">
        <v>7.67</v>
      </c>
      <c r="M2103" s="14">
        <f>K2103-L2103</f>
        <v>-0.24000000000000021</v>
      </c>
      <c r="N2103" s="15">
        <f>IFERROR(M2103/K2103,0)</f>
        <v>-3.2301480484522235E-2</v>
      </c>
      <c r="O2103" s="14">
        <f>IFERROR(L2103/J2103,0)</f>
        <v>0.91309523809523807</v>
      </c>
      <c r="P2103" s="14">
        <f>IFERROR(L2103/G2103,0)</f>
        <v>0.45117647058823263</v>
      </c>
    </row>
    <row r="2104" spans="1:18" x14ac:dyDescent="0.3">
      <c r="A2104" s="9" t="s">
        <v>4436</v>
      </c>
      <c r="B2104" s="9" t="s">
        <v>26</v>
      </c>
      <c r="C2104" s="9" t="s">
        <v>27</v>
      </c>
      <c r="D2104" s="52">
        <v>46230</v>
      </c>
      <c r="E2104" s="48">
        <v>0.80208333333333337</v>
      </c>
      <c r="F2104" s="48">
        <v>0.81388888888888899</v>
      </c>
      <c r="G2104" s="43">
        <f>(F2104-E2104)*1440</f>
        <v>17.000000000000099</v>
      </c>
      <c r="H2104" s="9" t="s">
        <v>739</v>
      </c>
      <c r="I2104" s="9" t="s">
        <v>4724</v>
      </c>
      <c r="J2104" s="44">
        <v>8.3000000000000007</v>
      </c>
      <c r="K2104" s="60">
        <v>6.97</v>
      </c>
      <c r="L2104" s="56">
        <v>5.23</v>
      </c>
      <c r="M2104" s="14">
        <f>K2104-L2104</f>
        <v>1.7399999999999993</v>
      </c>
      <c r="N2104" s="15">
        <f>IFERROR(M2104/K2104,0)</f>
        <v>0.2496413199426111</v>
      </c>
      <c r="O2104" s="14">
        <f>IFERROR(L2104/J2104,0)</f>
        <v>0.63012048192771086</v>
      </c>
      <c r="P2104" s="14">
        <f>IFERROR(L2104/G2104,0)</f>
        <v>0.30764705882352766</v>
      </c>
    </row>
    <row r="2105" spans="1:18" x14ac:dyDescent="0.3">
      <c r="A2105" s="9" t="s">
        <v>4437</v>
      </c>
      <c r="B2105" s="9" t="s">
        <v>26</v>
      </c>
      <c r="C2105" s="9" t="s">
        <v>26</v>
      </c>
      <c r="D2105" s="52">
        <v>46230</v>
      </c>
      <c r="E2105" s="48">
        <v>0.81666666666666676</v>
      </c>
      <c r="F2105" s="48">
        <v>0.8222222222222223</v>
      </c>
      <c r="G2105" s="43">
        <f>(F2105-E2105)*1440</f>
        <v>7.9999999999999716</v>
      </c>
      <c r="H2105" s="9" t="s">
        <v>4724</v>
      </c>
      <c r="I2105" s="9" t="s">
        <v>4725</v>
      </c>
      <c r="J2105" s="44">
        <v>2.9</v>
      </c>
      <c r="K2105" s="60">
        <v>4.28</v>
      </c>
      <c r="L2105" s="56">
        <v>3.37</v>
      </c>
      <c r="M2105" s="14">
        <f>K2105-L2105</f>
        <v>0.91000000000000014</v>
      </c>
      <c r="N2105" s="15">
        <f>IFERROR(M2105/K2105,0)</f>
        <v>0.21261682242990657</v>
      </c>
      <c r="O2105" s="14">
        <f>IFERROR(L2105/J2105,0)</f>
        <v>1.1620689655172414</v>
      </c>
      <c r="P2105" s="14">
        <f>IFERROR(L2105/G2105,0)</f>
        <v>0.42125000000000151</v>
      </c>
    </row>
    <row r="2106" spans="1:18" x14ac:dyDescent="0.3">
      <c r="A2106" s="9" t="s">
        <v>4438</v>
      </c>
      <c r="B2106" s="9" t="s">
        <v>26</v>
      </c>
      <c r="C2106" s="9" t="s">
        <v>26</v>
      </c>
      <c r="D2106" s="52">
        <v>46230</v>
      </c>
      <c r="E2106" s="48">
        <v>0.82708333333333339</v>
      </c>
      <c r="F2106" s="48">
        <v>0.83472222222222225</v>
      </c>
      <c r="G2106" s="43">
        <f>(F2106-E2106)*1440</f>
        <v>10.999999999999961</v>
      </c>
      <c r="H2106" s="9" t="s">
        <v>1301</v>
      </c>
      <c r="I2106" s="9" t="s">
        <v>611</v>
      </c>
      <c r="J2106" s="44">
        <v>4.4000000000000004</v>
      </c>
      <c r="K2106" s="60">
        <v>4.9000000000000004</v>
      </c>
      <c r="L2106" s="56">
        <v>5.0599999999999996</v>
      </c>
      <c r="M2106" s="14">
        <f>K2106-L2106</f>
        <v>-0.15999999999999925</v>
      </c>
      <c r="N2106" s="15">
        <f>IFERROR(M2106/K2106,0)</f>
        <v>-3.2653061224489639E-2</v>
      </c>
      <c r="O2106" s="14">
        <f>IFERROR(L2106/J2106,0)</f>
        <v>1.1499999999999999</v>
      </c>
      <c r="P2106" s="14">
        <f>IFERROR(L2106/G2106,0)</f>
        <v>0.46000000000000157</v>
      </c>
    </row>
    <row r="2107" spans="1:18" x14ac:dyDescent="0.3">
      <c r="A2107" s="9" t="s">
        <v>4439</v>
      </c>
      <c r="B2107" s="9" t="s">
        <v>26</v>
      </c>
      <c r="C2107" s="9" t="s">
        <v>26</v>
      </c>
      <c r="D2107" s="52">
        <v>46230</v>
      </c>
      <c r="E2107" s="48">
        <v>0.83958333333333324</v>
      </c>
      <c r="F2107" s="48">
        <v>0.85486111111111107</v>
      </c>
      <c r="G2107" s="43">
        <f>(F2107-E2107)*1440</f>
        <v>22.000000000000082</v>
      </c>
      <c r="H2107" s="9" t="s">
        <v>1120</v>
      </c>
      <c r="I2107" s="9" t="s">
        <v>4726</v>
      </c>
      <c r="J2107" s="44">
        <v>18.7</v>
      </c>
      <c r="K2107" s="60">
        <v>8.9700000000000006</v>
      </c>
      <c r="L2107" s="56">
        <v>8.41</v>
      </c>
      <c r="M2107" s="14">
        <f>K2107-L2107</f>
        <v>0.5600000000000005</v>
      </c>
      <c r="N2107" s="15">
        <f>IFERROR(M2107/K2107,0)</f>
        <v>6.2430323299888568E-2</v>
      </c>
      <c r="O2107" s="14">
        <f>IFERROR(L2107/J2107,0)</f>
        <v>0.44973262032085565</v>
      </c>
      <c r="P2107" s="14">
        <f>IFERROR(L2107/G2107,0)</f>
        <v>0.38227272727272588</v>
      </c>
    </row>
    <row r="2108" spans="1:18" x14ac:dyDescent="0.3">
      <c r="A2108" s="9" t="s">
        <v>4440</v>
      </c>
      <c r="B2108" s="9" t="s">
        <v>26</v>
      </c>
      <c r="C2108" s="9" t="s">
        <v>27</v>
      </c>
      <c r="D2108" s="52">
        <v>46234</v>
      </c>
      <c r="E2108" s="48">
        <v>0.59722222222222221</v>
      </c>
      <c r="F2108" s="48">
        <v>0.62013888888888891</v>
      </c>
      <c r="G2108" s="43">
        <f>(F2108-E2108)*1440</f>
        <v>33.000000000000043</v>
      </c>
      <c r="H2108" s="9" t="s">
        <v>4727</v>
      </c>
      <c r="I2108" s="9" t="s">
        <v>4728</v>
      </c>
      <c r="J2108" s="44">
        <v>25.5</v>
      </c>
      <c r="K2108" s="60">
        <v>17.989999999999998</v>
      </c>
      <c r="L2108" s="56">
        <v>13.49</v>
      </c>
      <c r="M2108" s="14">
        <f>K2108-L2108</f>
        <v>4.4999999999999982</v>
      </c>
      <c r="N2108" s="15">
        <f>IFERROR(M2108/K2108,0)</f>
        <v>0.25013896609227343</v>
      </c>
      <c r="O2108" s="14">
        <f>IFERROR(L2108/J2108,0)</f>
        <v>0.52901960784313729</v>
      </c>
      <c r="P2108" s="14">
        <f>IFERROR(L2108/G2108,0)</f>
        <v>0.40878787878787826</v>
      </c>
    </row>
    <row r="2109" spans="1:18" x14ac:dyDescent="0.3">
      <c r="A2109" s="9" t="s">
        <v>4441</v>
      </c>
      <c r="B2109" s="9" t="s">
        <v>26</v>
      </c>
      <c r="C2109" s="9" t="s">
        <v>27</v>
      </c>
      <c r="D2109" s="52">
        <v>46234</v>
      </c>
      <c r="E2109" s="48">
        <v>0.62569444444444444</v>
      </c>
      <c r="F2109" s="48">
        <v>0.63472222222222219</v>
      </c>
      <c r="G2109" s="43">
        <f>(F2109-E2109)*1440</f>
        <v>12.999999999999954</v>
      </c>
      <c r="H2109" s="9" t="s">
        <v>4729</v>
      </c>
      <c r="I2109" s="9" t="s">
        <v>242</v>
      </c>
      <c r="J2109" s="44">
        <v>7</v>
      </c>
      <c r="K2109" s="60">
        <v>4.97</v>
      </c>
      <c r="L2109" s="56">
        <v>4.66</v>
      </c>
      <c r="M2109" s="14">
        <f>K2109-L2109</f>
        <v>0.30999999999999961</v>
      </c>
      <c r="N2109" s="15">
        <f>IFERROR(M2109/K2109,0)</f>
        <v>6.2374245472836945E-2</v>
      </c>
      <c r="O2109" s="14">
        <f>IFERROR(L2109/J2109,0)</f>
        <v>0.6657142857142857</v>
      </c>
      <c r="P2109" s="14">
        <f>IFERROR(L2109/G2109,0)</f>
        <v>0.35846153846153972</v>
      </c>
    </row>
    <row r="2110" spans="1:18" x14ac:dyDescent="0.3">
      <c r="A2110" s="9" t="s">
        <v>4442</v>
      </c>
      <c r="B2110" s="9" t="s">
        <v>26</v>
      </c>
      <c r="C2110" s="9" t="s">
        <v>26</v>
      </c>
      <c r="D2110" s="52">
        <v>46234</v>
      </c>
      <c r="E2110" s="48">
        <v>0.71250000000000002</v>
      </c>
      <c r="F2110" s="48">
        <v>0.71666666666666667</v>
      </c>
      <c r="G2110" s="43">
        <f>(F2110-E2110)*1440</f>
        <v>5.9999999999999787</v>
      </c>
      <c r="H2110" s="9" t="s">
        <v>852</v>
      </c>
      <c r="I2110" s="9" t="s">
        <v>4730</v>
      </c>
      <c r="J2110" s="44">
        <v>2.1</v>
      </c>
      <c r="K2110" s="60">
        <v>6.91</v>
      </c>
      <c r="L2110" s="56">
        <v>5.18</v>
      </c>
      <c r="M2110" s="14">
        <f>K2110-L2110</f>
        <v>1.7300000000000004</v>
      </c>
      <c r="N2110" s="15">
        <f>IFERROR(M2110/K2110,0)</f>
        <v>0.25036179450072366</v>
      </c>
      <c r="O2110" s="14">
        <f>IFERROR(L2110/J2110,0)</f>
        <v>2.4666666666666663</v>
      </c>
      <c r="P2110" s="14">
        <f>IFERROR(L2110/G2110,0)</f>
        <v>0.86333333333333639</v>
      </c>
    </row>
    <row r="2111" spans="1:18" x14ac:dyDescent="0.3">
      <c r="A2111" s="9" t="s">
        <v>4443</v>
      </c>
      <c r="B2111" s="9" t="s">
        <v>26</v>
      </c>
      <c r="C2111" s="9" t="s">
        <v>26</v>
      </c>
      <c r="D2111" s="52">
        <v>46234</v>
      </c>
      <c r="E2111" s="48">
        <v>0.7368055555555556</v>
      </c>
      <c r="F2111" s="48">
        <v>0.74305555555555547</v>
      </c>
      <c r="G2111" s="43">
        <f>(F2111-E2111)*1440</f>
        <v>8.9999999999998082</v>
      </c>
      <c r="H2111" s="9" t="s">
        <v>4731</v>
      </c>
      <c r="I2111" s="9" t="s">
        <v>898</v>
      </c>
      <c r="J2111" s="44">
        <v>2</v>
      </c>
      <c r="K2111" s="60">
        <v>5.51</v>
      </c>
      <c r="L2111" s="56">
        <v>4.13</v>
      </c>
      <c r="M2111" s="14">
        <f>K2111-L2111</f>
        <v>1.38</v>
      </c>
      <c r="N2111" s="15">
        <f>IFERROR(M2111/K2111,0)</f>
        <v>0.25045372050816694</v>
      </c>
      <c r="O2111" s="14">
        <f>IFERROR(L2111/J2111,0)</f>
        <v>2.0649999999999999</v>
      </c>
      <c r="P2111" s="14">
        <f>IFERROR(L2111/G2111,0)</f>
        <v>0.45888888888889867</v>
      </c>
      <c r="R2111" s="57">
        <v>2.6</v>
      </c>
    </row>
    <row r="2112" spans="1:18" x14ac:dyDescent="0.3">
      <c r="A2112" s="9" t="s">
        <v>4444</v>
      </c>
      <c r="B2112" s="9" t="s">
        <v>26</v>
      </c>
      <c r="C2112" s="9" t="s">
        <v>27</v>
      </c>
      <c r="D2112" s="52">
        <v>46234</v>
      </c>
      <c r="E2112" s="48">
        <v>0.74652777777777779</v>
      </c>
      <c r="F2112" s="48">
        <v>0.75069444444444444</v>
      </c>
      <c r="G2112" s="43">
        <f>(F2112-E2112)*1440</f>
        <v>5.9999999999999787</v>
      </c>
      <c r="H2112" s="9" t="s">
        <v>898</v>
      </c>
      <c r="I2112" s="9" t="s">
        <v>4732</v>
      </c>
      <c r="J2112" s="44">
        <v>2</v>
      </c>
      <c r="K2112" s="60">
        <v>7.32</v>
      </c>
      <c r="L2112" s="56">
        <v>5.49</v>
      </c>
      <c r="M2112" s="14">
        <f>K2112-L2112</f>
        <v>1.83</v>
      </c>
      <c r="N2112" s="15">
        <f>IFERROR(M2112/K2112,0)</f>
        <v>0.25</v>
      </c>
      <c r="O2112" s="14">
        <f>IFERROR(L2112/J2112,0)</f>
        <v>2.7450000000000001</v>
      </c>
      <c r="P2112" s="14">
        <f>IFERROR(L2112/G2112,0)</f>
        <v>0.91500000000000326</v>
      </c>
      <c r="R2112" s="57">
        <v>3.47</v>
      </c>
    </row>
    <row r="2113" spans="1:19" x14ac:dyDescent="0.3">
      <c r="A2113" s="9" t="s">
        <v>4445</v>
      </c>
      <c r="B2113" s="9" t="s">
        <v>26</v>
      </c>
      <c r="C2113" s="9" t="s">
        <v>27</v>
      </c>
      <c r="D2113" s="52">
        <v>46234</v>
      </c>
      <c r="E2113" s="48">
        <v>0.75347222222222221</v>
      </c>
      <c r="F2113" s="48">
        <v>0.76736111111111116</v>
      </c>
      <c r="G2113" s="43">
        <f>(F2113-E2113)*1440</f>
        <v>20.000000000000089</v>
      </c>
      <c r="H2113" s="9" t="s">
        <v>4733</v>
      </c>
      <c r="I2113" s="9" t="s">
        <v>214</v>
      </c>
      <c r="J2113" s="44">
        <v>8.6</v>
      </c>
      <c r="K2113" s="60">
        <v>6.99</v>
      </c>
      <c r="L2113" s="56">
        <v>5.24</v>
      </c>
      <c r="M2113" s="14">
        <f>K2113-L2113</f>
        <v>1.75</v>
      </c>
      <c r="N2113" s="15">
        <f>IFERROR(M2113/K2113,0)</f>
        <v>0.25035765379113017</v>
      </c>
      <c r="O2113" s="14">
        <f>IFERROR(L2113/J2113,0)</f>
        <v>0.60930232558139541</v>
      </c>
      <c r="P2113" s="14">
        <f>IFERROR(L2113/G2113,0)</f>
        <v>0.26199999999999884</v>
      </c>
    </row>
    <row r="2114" spans="1:19" x14ac:dyDescent="0.3">
      <c r="A2114" s="9" t="s">
        <v>4446</v>
      </c>
      <c r="B2114" s="9" t="s">
        <v>26</v>
      </c>
      <c r="C2114" s="9" t="s">
        <v>27</v>
      </c>
      <c r="D2114" s="52">
        <v>46234</v>
      </c>
      <c r="E2114" s="48">
        <v>0.77013888888888893</v>
      </c>
      <c r="F2114" s="48">
        <v>0.78402777777777777</v>
      </c>
      <c r="G2114" s="43">
        <f>(F2114-E2114)*1440</f>
        <v>19.999999999999929</v>
      </c>
      <c r="H2114" s="9" t="s">
        <v>214</v>
      </c>
      <c r="I2114" s="9" t="s">
        <v>4734</v>
      </c>
      <c r="J2114" s="44">
        <v>12</v>
      </c>
      <c r="K2114" s="60">
        <v>9.9700000000000006</v>
      </c>
      <c r="L2114" s="56">
        <v>8.23</v>
      </c>
      <c r="M2114" s="14">
        <f>K2114-L2114</f>
        <v>1.7400000000000002</v>
      </c>
      <c r="N2114" s="15">
        <f>IFERROR(M2114/K2114,0)</f>
        <v>0.17452357071213642</v>
      </c>
      <c r="O2114" s="14">
        <f>IFERROR(L2114/J2114,0)</f>
        <v>0.68583333333333341</v>
      </c>
      <c r="P2114" s="14">
        <f>IFERROR(L2114/G2114,0)</f>
        <v>0.41150000000000148</v>
      </c>
    </row>
    <row r="2115" spans="1:19" x14ac:dyDescent="0.3">
      <c r="A2115" s="9" t="s">
        <v>4447</v>
      </c>
      <c r="B2115" s="9" t="s">
        <v>18</v>
      </c>
      <c r="C2115" s="9" t="s">
        <v>184</v>
      </c>
      <c r="D2115" s="52">
        <v>46234</v>
      </c>
      <c r="E2115" s="48">
        <v>0.54652777777777783</v>
      </c>
      <c r="F2115" s="48">
        <v>0.56041666666666667</v>
      </c>
      <c r="G2115" s="43">
        <f>(F2115-E2115)*1440</f>
        <v>19.999999999999929</v>
      </c>
      <c r="H2115" s="9" t="s">
        <v>4735</v>
      </c>
      <c r="I2115" s="9" t="s">
        <v>1207</v>
      </c>
      <c r="J2115" s="44">
        <v>13.41</v>
      </c>
      <c r="K2115" s="60">
        <v>8.9499999999999993</v>
      </c>
      <c r="L2115" s="56">
        <v>6.12</v>
      </c>
      <c r="M2115" s="14">
        <f>K2115-L2115</f>
        <v>2.8299999999999992</v>
      </c>
      <c r="N2115" s="15">
        <f>IFERROR(M2115/K2115,0)</f>
        <v>0.3162011173184357</v>
      </c>
      <c r="O2115" s="14">
        <f>IFERROR(L2115/J2115,0)</f>
        <v>0.4563758389261745</v>
      </c>
      <c r="P2115" s="14">
        <f>IFERROR(L2115/G2115,0)</f>
        <v>0.3060000000000011</v>
      </c>
      <c r="S2115" s="61">
        <v>0.5</v>
      </c>
    </row>
    <row r="2116" spans="1:19" x14ac:dyDescent="0.3">
      <c r="A2116" s="9" t="s">
        <v>4448</v>
      </c>
      <c r="B2116" s="9" t="s">
        <v>18</v>
      </c>
      <c r="C2116" s="9" t="s">
        <v>184</v>
      </c>
      <c r="D2116" s="52">
        <v>46234</v>
      </c>
      <c r="E2116" s="48">
        <v>0.56666666666666665</v>
      </c>
      <c r="F2116" s="48">
        <v>0.59097222222222223</v>
      </c>
      <c r="G2116" s="43">
        <f>(F2116-E2116)*1440</f>
        <v>35.000000000000036</v>
      </c>
      <c r="H2116" s="9" t="s">
        <v>584</v>
      </c>
      <c r="I2116" s="9" t="s">
        <v>4727</v>
      </c>
      <c r="J2116" s="44">
        <v>35.1</v>
      </c>
      <c r="K2116" s="60">
        <v>21.91</v>
      </c>
      <c r="L2116" s="56">
        <v>12.52</v>
      </c>
      <c r="M2116" s="14">
        <f>K2116-L2116</f>
        <v>9.39</v>
      </c>
      <c r="N2116" s="15">
        <f>IFERROR(M2116/K2116,0)</f>
        <v>0.4285714285714286</v>
      </c>
      <c r="O2116" s="14">
        <f>IFERROR(L2116/J2116,0)</f>
        <v>0.35669515669515667</v>
      </c>
      <c r="P2116" s="14">
        <f>IFERROR(L2116/G2116,0)</f>
        <v>0.35771428571428532</v>
      </c>
      <c r="S2116" s="61">
        <v>2.61</v>
      </c>
    </row>
    <row r="2117" spans="1:19" x14ac:dyDescent="0.3">
      <c r="A2117" s="9" t="s">
        <v>4449</v>
      </c>
      <c r="B2117" s="9" t="s">
        <v>18</v>
      </c>
      <c r="C2117" s="9" t="s">
        <v>184</v>
      </c>
      <c r="D2117" s="52">
        <v>46234</v>
      </c>
      <c r="E2117" s="48">
        <v>0.65416666666666667</v>
      </c>
      <c r="F2117" s="48">
        <v>0.6694444444444444</v>
      </c>
      <c r="G2117" s="43">
        <f>(F2117-E2117)*1440</f>
        <v>21.999999999999922</v>
      </c>
      <c r="H2117" s="9" t="s">
        <v>4736</v>
      </c>
      <c r="I2117" s="9" t="s">
        <v>4737</v>
      </c>
      <c r="J2117" s="44">
        <v>14.71</v>
      </c>
      <c r="K2117" s="60">
        <v>13.33</v>
      </c>
      <c r="L2117" s="56">
        <v>9.09</v>
      </c>
      <c r="M2117" s="14">
        <f>K2117-L2117</f>
        <v>4.24</v>
      </c>
      <c r="N2117" s="15">
        <f>IFERROR(M2117/K2117,0)</f>
        <v>0.31807951987997002</v>
      </c>
      <c r="O2117" s="14">
        <f>IFERROR(L2117/J2117,0)</f>
        <v>0.61794697484704275</v>
      </c>
      <c r="P2117" s="14">
        <f>IFERROR(L2117/G2117,0)</f>
        <v>0.41318181818181965</v>
      </c>
      <c r="S2117" s="61">
        <v>2</v>
      </c>
    </row>
    <row r="2118" spans="1:19" x14ac:dyDescent="0.3">
      <c r="A2118" s="9" t="s">
        <v>4450</v>
      </c>
      <c r="B2118" s="9" t="s">
        <v>18</v>
      </c>
      <c r="C2118" s="9" t="s">
        <v>184</v>
      </c>
      <c r="D2118" s="52">
        <v>46234</v>
      </c>
      <c r="E2118" s="48">
        <v>0.67083333333333339</v>
      </c>
      <c r="F2118" s="48">
        <v>0.68194444444444446</v>
      </c>
      <c r="G2118" s="43">
        <f>(F2118-E2118)*1440</f>
        <v>15.999999999999943</v>
      </c>
      <c r="H2118" s="9" t="s">
        <v>1166</v>
      </c>
      <c r="I2118" s="9" t="s">
        <v>4738</v>
      </c>
      <c r="J2118" s="44">
        <v>10.68</v>
      </c>
      <c r="K2118" s="60">
        <v>7.95</v>
      </c>
      <c r="L2118" s="56">
        <v>6.28</v>
      </c>
      <c r="M2118" s="14">
        <f>K2118-L2118</f>
        <v>1.67</v>
      </c>
      <c r="N2118" s="15">
        <f>IFERROR(M2118/K2118,0)</f>
        <v>0.21006289308176099</v>
      </c>
      <c r="O2118" s="14">
        <f>IFERROR(L2118/J2118,0)</f>
        <v>0.58801498127340823</v>
      </c>
      <c r="P2118" s="14">
        <f>IFERROR(L2118/G2118,0)</f>
        <v>0.3925000000000014</v>
      </c>
    </row>
    <row r="2119" spans="1:19" x14ac:dyDescent="0.3">
      <c r="A2119" s="9" t="s">
        <v>4451</v>
      </c>
      <c r="B2119" s="9" t="s">
        <v>18</v>
      </c>
      <c r="C2119" s="9" t="s">
        <v>184</v>
      </c>
      <c r="D2119" s="52">
        <v>46234</v>
      </c>
      <c r="E2119" s="48">
        <v>0.69305555555555554</v>
      </c>
      <c r="F2119" s="48">
        <v>0.70416666666666661</v>
      </c>
      <c r="G2119" s="43">
        <f>(F2119-E2119)*1440</f>
        <v>15.999999999999943</v>
      </c>
      <c r="H2119" s="9" t="s">
        <v>4739</v>
      </c>
      <c r="I2119" s="9" t="s">
        <v>775</v>
      </c>
      <c r="J2119" s="44">
        <v>8.36</v>
      </c>
      <c r="K2119" s="60">
        <v>6.26</v>
      </c>
      <c r="L2119" s="56">
        <v>6.08</v>
      </c>
      <c r="M2119" s="14">
        <f>K2119-L2119</f>
        <v>0.17999999999999972</v>
      </c>
      <c r="N2119" s="15">
        <f>IFERROR(M2119/K2119,0)</f>
        <v>2.8753993610223599E-2</v>
      </c>
      <c r="O2119" s="14">
        <f>IFERROR(L2119/J2119,0)</f>
        <v>0.72727272727272729</v>
      </c>
      <c r="P2119" s="14">
        <f>IFERROR(L2119/G2119,0)</f>
        <v>0.38000000000000134</v>
      </c>
    </row>
    <row r="2120" spans="1:19" x14ac:dyDescent="0.3">
      <c r="A2120" s="9" t="s">
        <v>4452</v>
      </c>
      <c r="B2120" s="9" t="s">
        <v>18</v>
      </c>
      <c r="C2120" s="9" t="s">
        <v>196</v>
      </c>
      <c r="D2120" s="52">
        <v>46234</v>
      </c>
      <c r="E2120" s="48">
        <v>0.71458333333333324</v>
      </c>
      <c r="F2120" s="48">
        <v>0.72638888888888886</v>
      </c>
      <c r="G2120" s="43">
        <f>(F2120-E2120)*1440</f>
        <v>17.000000000000099</v>
      </c>
      <c r="H2120" s="9" t="s">
        <v>554</v>
      </c>
      <c r="I2120" s="9" t="s">
        <v>4740</v>
      </c>
      <c r="J2120" s="44">
        <v>8.19</v>
      </c>
      <c r="K2120" s="60">
        <v>14.98</v>
      </c>
      <c r="L2120" s="56">
        <v>10.19</v>
      </c>
      <c r="M2120" s="14">
        <f>K2120-L2120</f>
        <v>4.7900000000000009</v>
      </c>
      <c r="N2120" s="15">
        <f>IFERROR(M2120/K2120,0)</f>
        <v>0.31975967957276374</v>
      </c>
      <c r="O2120" s="14">
        <f>IFERROR(L2120/J2120,0)</f>
        <v>1.2442002442002442</v>
      </c>
      <c r="P2120" s="14">
        <f>IFERROR(L2120/G2120,0)</f>
        <v>0.59941176470587887</v>
      </c>
    </row>
    <row r="2121" spans="1:19" x14ac:dyDescent="0.3">
      <c r="A2121" s="9" t="s">
        <v>4453</v>
      </c>
      <c r="B2121" s="9" t="s">
        <v>18</v>
      </c>
      <c r="C2121" s="9" t="s">
        <v>184</v>
      </c>
      <c r="D2121" s="52">
        <v>46234</v>
      </c>
      <c r="E2121" s="48">
        <v>0.80069444444444438</v>
      </c>
      <c r="F2121" s="48">
        <v>0.81180555555555556</v>
      </c>
      <c r="G2121" s="43">
        <f>(F2121-E2121)*1440</f>
        <v>16.000000000000103</v>
      </c>
      <c r="H2121" s="9" t="s">
        <v>126</v>
      </c>
      <c r="I2121" s="9" t="s">
        <v>4741</v>
      </c>
      <c r="J2121" s="44">
        <v>7.3</v>
      </c>
      <c r="K2121" s="60">
        <v>8.49</v>
      </c>
      <c r="L2121" s="56">
        <v>8.31</v>
      </c>
      <c r="M2121" s="14">
        <f>K2121-L2121</f>
        <v>0.17999999999999972</v>
      </c>
      <c r="N2121" s="15">
        <f>IFERROR(M2121/K2121,0)</f>
        <v>2.1201413427561804E-2</v>
      </c>
      <c r="O2121" s="14">
        <f>IFERROR(L2121/J2121,0)</f>
        <v>1.1383561643835618</v>
      </c>
      <c r="P2121" s="14">
        <f>IFERROR(L2121/G2121,0)</f>
        <v>0.5193749999999967</v>
      </c>
    </row>
    <row r="2122" spans="1:19" x14ac:dyDescent="0.3">
      <c r="A2122" s="9" t="s">
        <v>4454</v>
      </c>
      <c r="B2122" s="9" t="s">
        <v>18</v>
      </c>
      <c r="C2122" s="9" t="s">
        <v>196</v>
      </c>
      <c r="D2122" s="52">
        <v>46234</v>
      </c>
      <c r="E2122" s="48">
        <v>0.81666666666666676</v>
      </c>
      <c r="F2122" s="48">
        <v>0.83611111111111114</v>
      </c>
      <c r="G2122" s="43">
        <f>(F2122-E2122)*1440</f>
        <v>27.999999999999901</v>
      </c>
      <c r="H2122" s="9" t="s">
        <v>4742</v>
      </c>
      <c r="I2122" s="9" t="s">
        <v>531</v>
      </c>
      <c r="J2122" s="44">
        <v>15.79</v>
      </c>
      <c r="K2122" s="60">
        <v>13.97</v>
      </c>
      <c r="L2122" s="56">
        <v>9.92</v>
      </c>
      <c r="M2122" s="14">
        <f>K2122-L2122</f>
        <v>4.0500000000000007</v>
      </c>
      <c r="N2122" s="15">
        <f>IFERROR(M2122/K2122,0)</f>
        <v>0.28990694345025059</v>
      </c>
      <c r="O2122" s="14">
        <f>IFERROR(L2122/J2122,0)</f>
        <v>0.62824572514249533</v>
      </c>
      <c r="P2122" s="14">
        <f>IFERROR(L2122/G2122,0)</f>
        <v>0.35428571428571554</v>
      </c>
    </row>
    <row r="2123" spans="1:19" x14ac:dyDescent="0.3">
      <c r="A2123" s="9" t="s">
        <v>4455</v>
      </c>
      <c r="B2123" s="9" t="s">
        <v>18</v>
      </c>
      <c r="C2123" s="9" t="s">
        <v>196</v>
      </c>
      <c r="D2123" s="52">
        <v>46234</v>
      </c>
      <c r="E2123" s="48">
        <v>0.85277777777777775</v>
      </c>
      <c r="F2123" s="48">
        <v>0.85902777777777783</v>
      </c>
      <c r="G2123" s="43">
        <f>(F2123-E2123)*1440</f>
        <v>9.0000000000001279</v>
      </c>
      <c r="H2123" s="9" t="s">
        <v>584</v>
      </c>
      <c r="I2123" s="9" t="s">
        <v>1764</v>
      </c>
      <c r="J2123" s="44">
        <v>9.41</v>
      </c>
      <c r="K2123" s="60">
        <v>8.98</v>
      </c>
      <c r="L2123" s="56">
        <v>6.18</v>
      </c>
      <c r="M2123" s="14">
        <f>K2123-L2123</f>
        <v>2.8000000000000007</v>
      </c>
      <c r="N2123" s="15">
        <f>IFERROR(M2123/K2123,0)</f>
        <v>0.31180400890868604</v>
      </c>
      <c r="O2123" s="14">
        <f>IFERROR(L2123/J2123,0)</f>
        <v>0.6567481402763018</v>
      </c>
      <c r="P2123" s="14">
        <f>IFERROR(L2123/G2123,0)</f>
        <v>0.68666666666665688</v>
      </c>
    </row>
    <row r="2124" spans="1:19" x14ac:dyDescent="0.3">
      <c r="A2124" s="9" t="s">
        <v>4456</v>
      </c>
      <c r="B2124" s="9" t="s">
        <v>18</v>
      </c>
      <c r="C2124" s="9" t="s">
        <v>184</v>
      </c>
      <c r="D2124" s="52">
        <v>46235</v>
      </c>
      <c r="E2124" s="48">
        <v>0.58263888888888882</v>
      </c>
      <c r="F2124" s="48">
        <v>0.59444444444444444</v>
      </c>
      <c r="G2124" s="43">
        <f>(F2124-E2124)*1440</f>
        <v>17.000000000000099</v>
      </c>
      <c r="H2124" s="9" t="s">
        <v>4743</v>
      </c>
      <c r="I2124" s="9" t="s">
        <v>698</v>
      </c>
      <c r="J2124" s="44">
        <v>5.26</v>
      </c>
      <c r="K2124" s="60">
        <v>6.94</v>
      </c>
      <c r="L2124" s="56">
        <v>4.91</v>
      </c>
      <c r="M2124" s="14">
        <f>K2124-L2124</f>
        <v>2.0300000000000002</v>
      </c>
      <c r="N2124" s="15">
        <f>IFERROR(M2124/K2124,0)</f>
        <v>0.29250720461095103</v>
      </c>
      <c r="O2124" s="14">
        <f>IFERROR(L2124/J2124,0)</f>
        <v>0.93346007604562742</v>
      </c>
      <c r="P2124" s="14">
        <f>IFERROR(L2124/G2124,0)</f>
        <v>0.28882352941176304</v>
      </c>
    </row>
    <row r="2125" spans="1:19" x14ac:dyDescent="0.3">
      <c r="A2125" s="9" t="s">
        <v>4457</v>
      </c>
      <c r="B2125" s="9" t="s">
        <v>18</v>
      </c>
      <c r="C2125" s="9" t="s">
        <v>184</v>
      </c>
      <c r="D2125" s="52">
        <v>46235</v>
      </c>
      <c r="E2125" s="48">
        <v>0.80625000000000002</v>
      </c>
      <c r="F2125" s="48">
        <v>0.81527777777777777</v>
      </c>
      <c r="G2125" s="43">
        <f>(F2125-E2125)*1440</f>
        <v>12.999999999999954</v>
      </c>
      <c r="H2125" s="9" t="s">
        <v>4139</v>
      </c>
      <c r="I2125" s="9" t="s">
        <v>214</v>
      </c>
      <c r="J2125" s="44">
        <v>7.78</v>
      </c>
      <c r="K2125" s="60">
        <v>5.94</v>
      </c>
      <c r="L2125" s="56">
        <v>5.14</v>
      </c>
      <c r="M2125" s="14">
        <f>K2125-L2125</f>
        <v>0.80000000000000071</v>
      </c>
      <c r="N2125" s="15">
        <f>IFERROR(M2125/K2125,0)</f>
        <v>0.13468013468013479</v>
      </c>
      <c r="O2125" s="14">
        <f>IFERROR(L2125/J2125,0)</f>
        <v>0.66066838046272491</v>
      </c>
      <c r="P2125" s="14">
        <f>IFERROR(L2125/G2125,0)</f>
        <v>0.39538461538461678</v>
      </c>
    </row>
    <row r="2126" spans="1:19" x14ac:dyDescent="0.3">
      <c r="A2126" s="9" t="s">
        <v>4458</v>
      </c>
      <c r="B2126" s="9" t="s">
        <v>18</v>
      </c>
      <c r="C2126" s="9" t="s">
        <v>184</v>
      </c>
      <c r="D2126" s="52">
        <v>46235</v>
      </c>
      <c r="E2126" s="48">
        <v>0.84930555555555554</v>
      </c>
      <c r="F2126" s="48">
        <v>0.85972222222222217</v>
      </c>
      <c r="G2126" s="43">
        <f>(F2126-E2126)*1440</f>
        <v>14.999999999999947</v>
      </c>
      <c r="H2126" s="9" t="s">
        <v>225</v>
      </c>
      <c r="I2126" s="9" t="s">
        <v>1194</v>
      </c>
      <c r="J2126" s="44">
        <v>15.61</v>
      </c>
      <c r="K2126" s="60">
        <v>10.14</v>
      </c>
      <c r="L2126" s="56">
        <v>7.73</v>
      </c>
      <c r="M2126" s="14">
        <f>K2126-L2126</f>
        <v>2.41</v>
      </c>
      <c r="N2126" s="15">
        <f>IFERROR(M2126/K2126,0)</f>
        <v>0.23767258382642997</v>
      </c>
      <c r="O2126" s="14">
        <f>IFERROR(L2126/J2126,0)</f>
        <v>0.49519538757206921</v>
      </c>
      <c r="P2126" s="14">
        <f>IFERROR(L2126/G2126,0)</f>
        <v>0.5153333333333352</v>
      </c>
    </row>
    <row r="2127" spans="1:19" x14ac:dyDescent="0.3">
      <c r="A2127" s="9" t="s">
        <v>4459</v>
      </c>
      <c r="B2127" s="9" t="s">
        <v>26</v>
      </c>
      <c r="C2127" s="9" t="s">
        <v>26</v>
      </c>
      <c r="D2127" s="52">
        <v>46235</v>
      </c>
      <c r="E2127" s="48">
        <v>0.54999999999999993</v>
      </c>
      <c r="F2127" s="48">
        <v>0.55625000000000002</v>
      </c>
      <c r="G2127" s="43">
        <f>(F2127-E2127)*1440</f>
        <v>9.0000000000001279</v>
      </c>
      <c r="H2127" s="9" t="s">
        <v>2195</v>
      </c>
      <c r="I2127" s="9" t="s">
        <v>4014</v>
      </c>
      <c r="J2127" s="44">
        <v>3.8</v>
      </c>
      <c r="K2127" s="60">
        <v>7.84</v>
      </c>
      <c r="L2127" s="56">
        <v>5.88</v>
      </c>
      <c r="M2127" s="14">
        <f>K2127-L2127</f>
        <v>1.96</v>
      </c>
      <c r="N2127" s="15">
        <f>IFERROR(M2127/K2127,0)</f>
        <v>0.25</v>
      </c>
      <c r="O2127" s="14">
        <f>IFERROR(L2127/J2127,0)</f>
        <v>1.5473684210526317</v>
      </c>
      <c r="P2127" s="14">
        <f>IFERROR(L2127/G2127,0)</f>
        <v>0.653333333333324</v>
      </c>
      <c r="R2127" s="57">
        <v>2.94</v>
      </c>
    </row>
    <row r="2128" spans="1:19" x14ac:dyDescent="0.3">
      <c r="A2128" s="9" t="s">
        <v>4460</v>
      </c>
      <c r="B2128" s="9" t="s">
        <v>26</v>
      </c>
      <c r="C2128" s="9" t="s">
        <v>27</v>
      </c>
      <c r="D2128" s="52">
        <v>46235</v>
      </c>
      <c r="E2128" s="48">
        <v>0.56041666666666667</v>
      </c>
      <c r="F2128" s="48">
        <v>0.58194444444444449</v>
      </c>
      <c r="G2128" s="43">
        <f>(F2128-E2128)*1440</f>
        <v>31.00000000000005</v>
      </c>
      <c r="H2128" s="9" t="s">
        <v>2202</v>
      </c>
      <c r="I2128" s="9" t="s">
        <v>4744</v>
      </c>
      <c r="J2128" s="44">
        <v>24.4</v>
      </c>
      <c r="K2128" s="60">
        <v>15.9</v>
      </c>
      <c r="L2128" s="56">
        <v>11.92</v>
      </c>
      <c r="M2128" s="14">
        <f>K2128-L2128</f>
        <v>3.9800000000000004</v>
      </c>
      <c r="N2128" s="15">
        <f>IFERROR(M2128/K2128,0)</f>
        <v>0.25031446540880503</v>
      </c>
      <c r="O2128" s="14">
        <f>IFERROR(L2128/J2128,0)</f>
        <v>0.48852459016393446</v>
      </c>
      <c r="P2128" s="14">
        <f>IFERROR(L2128/G2128,0)</f>
        <v>0.38451612903225746</v>
      </c>
    </row>
    <row r="2129" spans="1:16" x14ac:dyDescent="0.3">
      <c r="A2129" s="9" t="s">
        <v>4461</v>
      </c>
      <c r="B2129" s="9" t="s">
        <v>26</v>
      </c>
      <c r="C2129" s="9" t="s">
        <v>26</v>
      </c>
      <c r="D2129" s="52">
        <v>46235</v>
      </c>
      <c r="E2129" s="48">
        <v>0.60277777777777775</v>
      </c>
      <c r="F2129" s="48">
        <v>0.60972222222222217</v>
      </c>
      <c r="G2129" s="43">
        <f>(F2129-E2129)*1440</f>
        <v>9.9999999999999645</v>
      </c>
      <c r="H2129" s="9" t="s">
        <v>4745</v>
      </c>
      <c r="I2129" s="9" t="s">
        <v>3992</v>
      </c>
      <c r="J2129" s="44">
        <v>4.2</v>
      </c>
      <c r="K2129" s="60">
        <v>5.63</v>
      </c>
      <c r="L2129" s="56">
        <v>4.22</v>
      </c>
      <c r="M2129" s="14">
        <f>K2129-L2129</f>
        <v>1.4100000000000001</v>
      </c>
      <c r="N2129" s="15">
        <f>IFERROR(M2129/K2129,0)</f>
        <v>0.25044404973357021</v>
      </c>
      <c r="O2129" s="14">
        <f>IFERROR(L2129/J2129,0)</f>
        <v>1.0047619047619047</v>
      </c>
      <c r="P2129" s="14">
        <f>IFERROR(L2129/G2129,0)</f>
        <v>0.42200000000000149</v>
      </c>
    </row>
    <row r="2130" spans="1:16" x14ac:dyDescent="0.3">
      <c r="A2130" s="9" t="s">
        <v>4462</v>
      </c>
      <c r="B2130" s="9" t="s">
        <v>26</v>
      </c>
      <c r="C2130" s="9" t="s">
        <v>26</v>
      </c>
      <c r="D2130" s="52">
        <v>46235</v>
      </c>
      <c r="E2130" s="48">
        <v>0.61111111111111105</v>
      </c>
      <c r="F2130" s="48">
        <v>0.62013888888888891</v>
      </c>
      <c r="G2130" s="43">
        <f>(F2130-E2130)*1440</f>
        <v>13.000000000000114</v>
      </c>
      <c r="H2130" s="9" t="s">
        <v>606</v>
      </c>
      <c r="I2130" s="9" t="s">
        <v>4746</v>
      </c>
      <c r="J2130" s="44">
        <v>4.0999999999999996</v>
      </c>
      <c r="K2130" s="60">
        <v>4.62</v>
      </c>
      <c r="L2130" s="56">
        <v>3.81</v>
      </c>
      <c r="M2130" s="14">
        <f>K2130-L2130</f>
        <v>0.81</v>
      </c>
      <c r="N2130" s="15">
        <f>IFERROR(M2130/K2130,0)</f>
        <v>0.17532467532467533</v>
      </c>
      <c r="O2130" s="14">
        <f>IFERROR(L2130/J2130,0)</f>
        <v>0.92926829268292688</v>
      </c>
      <c r="P2130" s="14">
        <f>IFERROR(L2130/G2130,0)</f>
        <v>0.29307692307692051</v>
      </c>
    </row>
    <row r="2131" spans="1:16" x14ac:dyDescent="0.3">
      <c r="A2131" s="9" t="s">
        <v>4463</v>
      </c>
      <c r="B2131" s="9" t="s">
        <v>26</v>
      </c>
      <c r="C2131" s="9" t="s">
        <v>27</v>
      </c>
      <c r="D2131" s="52">
        <v>46235</v>
      </c>
      <c r="E2131" s="48">
        <v>0.62361111111111112</v>
      </c>
      <c r="F2131" s="48">
        <v>0.63402777777777775</v>
      </c>
      <c r="G2131" s="43">
        <f>(F2131-E2131)*1440</f>
        <v>14.999999999999947</v>
      </c>
      <c r="H2131" s="9" t="s">
        <v>4747</v>
      </c>
      <c r="I2131" s="9" t="s">
        <v>4748</v>
      </c>
      <c r="J2131" s="44">
        <v>9.8000000000000007</v>
      </c>
      <c r="K2131" s="60">
        <v>5.71</v>
      </c>
      <c r="L2131" s="56">
        <v>4.28</v>
      </c>
      <c r="M2131" s="14">
        <f>K2131-L2131</f>
        <v>1.4299999999999997</v>
      </c>
      <c r="N2131" s="15">
        <f>IFERROR(M2131/K2131,0)</f>
        <v>0.25043782837127843</v>
      </c>
      <c r="O2131" s="14">
        <f>IFERROR(L2131/J2131,0)</f>
        <v>0.43673469387755104</v>
      </c>
      <c r="P2131" s="14">
        <f>IFERROR(L2131/G2131,0)</f>
        <v>0.28533333333333438</v>
      </c>
    </row>
    <row r="2132" spans="1:16" x14ac:dyDescent="0.3">
      <c r="A2132" s="9" t="s">
        <v>4464</v>
      </c>
      <c r="B2132" s="9" t="s">
        <v>26</v>
      </c>
      <c r="C2132" s="9" t="s">
        <v>26</v>
      </c>
      <c r="D2132" s="52">
        <v>46235</v>
      </c>
      <c r="E2132" s="48">
        <v>0.65347222222222223</v>
      </c>
      <c r="F2132" s="48">
        <v>0.65555555555555556</v>
      </c>
      <c r="G2132" s="43">
        <f>(F2132-E2132)*1440</f>
        <v>2.9999999999999893</v>
      </c>
      <c r="H2132" s="9" t="s">
        <v>1978</v>
      </c>
      <c r="I2132" s="9" t="s">
        <v>578</v>
      </c>
      <c r="J2132" s="44">
        <v>1.2</v>
      </c>
      <c r="K2132" s="60">
        <v>4.05</v>
      </c>
      <c r="L2132" s="56">
        <v>3.37</v>
      </c>
      <c r="M2132" s="14">
        <f>K2132-L2132</f>
        <v>0.67999999999999972</v>
      </c>
      <c r="N2132" s="15">
        <f>IFERROR(M2132/K2132,0)</f>
        <v>0.16790123456790118</v>
      </c>
      <c r="O2132" s="14">
        <f>IFERROR(L2132/J2132,0)</f>
        <v>2.8083333333333336</v>
      </c>
      <c r="P2132" s="14">
        <f>IFERROR(L2132/G2132,0)</f>
        <v>1.1233333333333373</v>
      </c>
    </row>
    <row r="2133" spans="1:16" x14ac:dyDescent="0.3">
      <c r="A2133" s="9" t="s">
        <v>4465</v>
      </c>
      <c r="B2133" s="9" t="s">
        <v>26</v>
      </c>
      <c r="C2133" s="9" t="s">
        <v>27</v>
      </c>
      <c r="D2133" s="52">
        <v>46235</v>
      </c>
      <c r="E2133" s="48">
        <v>0.66319444444444442</v>
      </c>
      <c r="F2133" s="48">
        <v>0.6743055555555556</v>
      </c>
      <c r="G2133" s="43">
        <f>(F2133-E2133)*1440</f>
        <v>16.000000000000103</v>
      </c>
      <c r="H2133" s="9" t="s">
        <v>2785</v>
      </c>
      <c r="I2133" s="9" t="s">
        <v>256</v>
      </c>
      <c r="J2133" s="44">
        <v>9.3000000000000007</v>
      </c>
      <c r="K2133" s="60">
        <v>6.9</v>
      </c>
      <c r="L2133" s="56">
        <v>5.17</v>
      </c>
      <c r="M2133" s="14">
        <f>K2133-L2133</f>
        <v>1.7300000000000004</v>
      </c>
      <c r="N2133" s="15">
        <f>IFERROR(M2133/K2133,0)</f>
        <v>0.25072463768115949</v>
      </c>
      <c r="O2133" s="14">
        <f>IFERROR(L2133/J2133,0)</f>
        <v>0.55591397849462365</v>
      </c>
      <c r="P2133" s="14">
        <f>IFERROR(L2133/G2133,0)</f>
        <v>0.32312499999999794</v>
      </c>
    </row>
    <row r="2134" spans="1:16" x14ac:dyDescent="0.3">
      <c r="A2134" s="9" t="s">
        <v>4466</v>
      </c>
      <c r="B2134" s="9" t="s">
        <v>26</v>
      </c>
      <c r="C2134" s="9" t="s">
        <v>27</v>
      </c>
      <c r="D2134" s="52">
        <v>46235</v>
      </c>
      <c r="E2134" s="48">
        <v>0.67708333333333337</v>
      </c>
      <c r="F2134" s="48">
        <v>0.68333333333333324</v>
      </c>
      <c r="G2134" s="43">
        <f>(F2134-E2134)*1440</f>
        <v>8.9999999999998082</v>
      </c>
      <c r="H2134" s="9" t="s">
        <v>4749</v>
      </c>
      <c r="I2134" s="9" t="s">
        <v>2787</v>
      </c>
      <c r="J2134" s="44">
        <v>6.1</v>
      </c>
      <c r="K2134" s="60">
        <v>6.31</v>
      </c>
      <c r="L2134" s="56">
        <v>4.7300000000000004</v>
      </c>
      <c r="M2134" s="14">
        <f>K2134-L2134</f>
        <v>1.5799999999999992</v>
      </c>
      <c r="N2134" s="15">
        <f>IFERROR(M2134/K2134,0)</f>
        <v>0.25039619651347056</v>
      </c>
      <c r="O2134" s="14">
        <f>IFERROR(L2134/J2134,0)</f>
        <v>0.7754098360655739</v>
      </c>
      <c r="P2134" s="14">
        <f>IFERROR(L2134/G2134,0)</f>
        <v>0.52555555555556677</v>
      </c>
    </row>
    <row r="2135" spans="1:16" x14ac:dyDescent="0.3">
      <c r="A2135" s="9" t="s">
        <v>4467</v>
      </c>
      <c r="B2135" s="9" t="s">
        <v>26</v>
      </c>
      <c r="C2135" s="9" t="s">
        <v>27</v>
      </c>
      <c r="D2135" s="52">
        <v>46235</v>
      </c>
      <c r="E2135" s="48">
        <v>0.68541666666666667</v>
      </c>
      <c r="F2135" s="48">
        <v>0.69374999999999998</v>
      </c>
      <c r="G2135" s="43">
        <f>(F2135-E2135)*1440</f>
        <v>11.999999999999957</v>
      </c>
      <c r="H2135" s="9" t="s">
        <v>1916</v>
      </c>
      <c r="I2135" s="9" t="s">
        <v>4750</v>
      </c>
      <c r="J2135" s="44">
        <v>8.6</v>
      </c>
      <c r="K2135" s="60">
        <v>5.91</v>
      </c>
      <c r="L2135" s="56">
        <v>4.43</v>
      </c>
      <c r="M2135" s="14">
        <f>K2135-L2135</f>
        <v>1.4800000000000004</v>
      </c>
      <c r="N2135" s="15">
        <f>IFERROR(M2135/K2135,0)</f>
        <v>0.25042301184433169</v>
      </c>
      <c r="O2135" s="14">
        <f>IFERROR(L2135/J2135,0)</f>
        <v>0.51511627906976742</v>
      </c>
      <c r="P2135" s="14">
        <f>IFERROR(L2135/G2135,0)</f>
        <v>0.36916666666666798</v>
      </c>
    </row>
    <row r="2136" spans="1:16" x14ac:dyDescent="0.3">
      <c r="A2136" s="9" t="s">
        <v>4468</v>
      </c>
      <c r="B2136" s="9" t="s">
        <v>26</v>
      </c>
      <c r="C2136" s="67" t="s">
        <v>26</v>
      </c>
      <c r="D2136" s="52">
        <v>46235</v>
      </c>
      <c r="E2136" s="48">
        <v>0.71388888888888891</v>
      </c>
      <c r="F2136" s="48">
        <v>0.71736111111111101</v>
      </c>
      <c r="G2136" s="43">
        <f>(F2136-E2136)*1440</f>
        <v>4.9999999999998224</v>
      </c>
      <c r="H2136" s="9" t="s">
        <v>4751</v>
      </c>
      <c r="I2136" s="9" t="s">
        <v>4752</v>
      </c>
      <c r="J2136" s="44">
        <v>1.9</v>
      </c>
      <c r="K2136" s="60">
        <v>4.62</v>
      </c>
      <c r="L2136" s="56">
        <v>3.46</v>
      </c>
      <c r="M2136" s="14">
        <f>K2136-L2136</f>
        <v>1.1600000000000001</v>
      </c>
      <c r="N2136" s="15">
        <f>IFERROR(M2136/K2136,0)</f>
        <v>0.25108225108225113</v>
      </c>
      <c r="O2136" s="14">
        <f>IFERROR(L2136/J2136,0)</f>
        <v>1.8210526315789475</v>
      </c>
      <c r="P2136" s="14">
        <f>IFERROR(L2136/G2136,0)</f>
        <v>0.6920000000000246</v>
      </c>
    </row>
    <row r="2137" spans="1:16" x14ac:dyDescent="0.3">
      <c r="A2137" s="9" t="s">
        <v>4469</v>
      </c>
      <c r="B2137" s="9" t="s">
        <v>26</v>
      </c>
      <c r="C2137" s="9" t="s">
        <v>27</v>
      </c>
      <c r="D2137" s="52">
        <v>46235</v>
      </c>
      <c r="E2137" s="48">
        <v>0.71875</v>
      </c>
      <c r="F2137" s="48">
        <v>0.73541666666666661</v>
      </c>
      <c r="G2137" s="43">
        <f>(F2137-E2137)*1440</f>
        <v>23.999999999999915</v>
      </c>
      <c r="H2137" s="9" t="s">
        <v>4753</v>
      </c>
      <c r="I2137" s="9" t="s">
        <v>4754</v>
      </c>
      <c r="J2137" s="44">
        <v>11.3</v>
      </c>
      <c r="K2137" s="60">
        <v>9.93</v>
      </c>
      <c r="L2137" s="56">
        <v>7.45</v>
      </c>
      <c r="M2137" s="14">
        <f>K2137-L2137</f>
        <v>2.4799999999999995</v>
      </c>
      <c r="N2137" s="15">
        <f>IFERROR(M2137/K2137,0)</f>
        <v>0.24974823766364548</v>
      </c>
      <c r="O2137" s="14">
        <f>IFERROR(L2137/J2137,0)</f>
        <v>0.65929203539823011</v>
      </c>
      <c r="P2137" s="14">
        <f>IFERROR(L2137/G2137,0)</f>
        <v>0.31041666666666778</v>
      </c>
    </row>
    <row r="2138" spans="1:16" x14ac:dyDescent="0.3">
      <c r="A2138" s="9" t="s">
        <v>4470</v>
      </c>
      <c r="B2138" s="9" t="s">
        <v>26</v>
      </c>
      <c r="C2138" s="9" t="s">
        <v>27</v>
      </c>
      <c r="D2138" s="52">
        <v>46235</v>
      </c>
      <c r="E2138" s="48">
        <v>0.74444444444444446</v>
      </c>
      <c r="F2138" s="48">
        <v>0.75416666666666676</v>
      </c>
      <c r="G2138" s="43">
        <f>(F2138-E2138)*1440</f>
        <v>14.00000000000011</v>
      </c>
      <c r="H2138" s="9" t="s">
        <v>4754</v>
      </c>
      <c r="I2138" s="9" t="s">
        <v>4755</v>
      </c>
      <c r="J2138" s="44">
        <v>3.8</v>
      </c>
      <c r="K2138" s="60">
        <v>4.84</v>
      </c>
      <c r="L2138" s="56">
        <v>3.63</v>
      </c>
      <c r="M2138" s="14">
        <f>K2138-L2138</f>
        <v>1.21</v>
      </c>
      <c r="N2138" s="15">
        <f>IFERROR(M2138/K2138,0)</f>
        <v>0.25</v>
      </c>
      <c r="O2138" s="14">
        <f>IFERROR(L2138/J2138,0)</f>
        <v>0.95526315789473681</v>
      </c>
      <c r="P2138" s="14">
        <f>IFERROR(L2138/G2138,0)</f>
        <v>0.25928571428571223</v>
      </c>
    </row>
    <row r="2139" spans="1:16" x14ac:dyDescent="0.3">
      <c r="A2139" s="9" t="s">
        <v>4471</v>
      </c>
      <c r="B2139" s="9" t="s">
        <v>26</v>
      </c>
      <c r="C2139" s="9" t="s">
        <v>26</v>
      </c>
      <c r="D2139" s="52">
        <v>46235</v>
      </c>
      <c r="E2139" s="48">
        <v>0.77500000000000002</v>
      </c>
      <c r="F2139" s="48">
        <v>0.77708333333333324</v>
      </c>
      <c r="G2139" s="43">
        <f>(F2139-E2139)*1440</f>
        <v>2.9999999999998295</v>
      </c>
      <c r="H2139" s="9" t="s">
        <v>4755</v>
      </c>
      <c r="I2139" s="9" t="s">
        <v>888</v>
      </c>
      <c r="J2139" s="44">
        <v>0.9</v>
      </c>
      <c r="K2139" s="60">
        <v>4.62</v>
      </c>
      <c r="L2139" s="56">
        <v>3.46</v>
      </c>
      <c r="M2139" s="14">
        <f>K2139-L2139</f>
        <v>1.1600000000000001</v>
      </c>
      <c r="N2139" s="15">
        <f>IFERROR(M2139/K2139,0)</f>
        <v>0.25108225108225113</v>
      </c>
      <c r="O2139" s="14">
        <f>IFERROR(L2139/J2139,0)</f>
        <v>3.8444444444444441</v>
      </c>
      <c r="P2139" s="14">
        <f>IFERROR(L2139/G2139,0)</f>
        <v>1.1533333333333988</v>
      </c>
    </row>
    <row r="2140" spans="1:16" x14ac:dyDescent="0.3">
      <c r="A2140" s="9" t="s">
        <v>4472</v>
      </c>
      <c r="B2140" s="9" t="s">
        <v>26</v>
      </c>
      <c r="C2140" s="9" t="s">
        <v>27</v>
      </c>
      <c r="D2140" s="52">
        <v>46235</v>
      </c>
      <c r="E2140" s="48">
        <v>0.78472222222222221</v>
      </c>
      <c r="F2140" s="48">
        <v>0.79305555555555562</v>
      </c>
      <c r="G2140" s="43">
        <f>(F2140-E2140)*1440</f>
        <v>12.000000000000117</v>
      </c>
      <c r="H2140" s="9" t="s">
        <v>4756</v>
      </c>
      <c r="I2140" s="9" t="s">
        <v>4173</v>
      </c>
      <c r="J2140" s="44">
        <v>7.1</v>
      </c>
      <c r="K2140" s="60">
        <v>5.91</v>
      </c>
      <c r="L2140" s="56">
        <v>4.43</v>
      </c>
      <c r="M2140" s="14">
        <f>K2140-L2140</f>
        <v>1.4800000000000004</v>
      </c>
      <c r="N2140" s="15">
        <f>IFERROR(M2140/K2140,0)</f>
        <v>0.25042301184433169</v>
      </c>
      <c r="O2140" s="14">
        <f>IFERROR(L2140/J2140,0)</f>
        <v>0.62394366197183093</v>
      </c>
      <c r="P2140" s="14">
        <f>IFERROR(L2140/G2140,0)</f>
        <v>0.36916666666666303</v>
      </c>
    </row>
    <row r="2141" spans="1:16" x14ac:dyDescent="0.3">
      <c r="A2141" s="9" t="s">
        <v>4473</v>
      </c>
      <c r="B2141" s="9" t="s">
        <v>26</v>
      </c>
      <c r="C2141" s="9" t="s">
        <v>27</v>
      </c>
      <c r="D2141" s="52">
        <v>46235</v>
      </c>
      <c r="E2141" s="48">
        <v>0.79583333333333339</v>
      </c>
      <c r="F2141" s="48">
        <v>0.8041666666666667</v>
      </c>
      <c r="G2141" s="43">
        <f>(F2141-E2141)*1440</f>
        <v>11.999999999999957</v>
      </c>
      <c r="H2141" s="9" t="s">
        <v>551</v>
      </c>
      <c r="I2141" s="9" t="s">
        <v>698</v>
      </c>
      <c r="J2141" s="44">
        <v>6.2</v>
      </c>
      <c r="K2141" s="60">
        <v>6.6</v>
      </c>
      <c r="L2141" s="56">
        <v>4.95</v>
      </c>
      <c r="M2141" s="14">
        <f>K2141-L2141</f>
        <v>1.6499999999999995</v>
      </c>
      <c r="N2141" s="15">
        <f>IFERROR(M2141/K2141,0)</f>
        <v>0.24999999999999994</v>
      </c>
      <c r="O2141" s="14">
        <f>IFERROR(L2141/J2141,0)</f>
        <v>0.79838709677419351</v>
      </c>
      <c r="P2141" s="14">
        <f>IFERROR(L2141/G2141,0)</f>
        <v>0.41250000000000148</v>
      </c>
    </row>
    <row r="2142" spans="1:16" x14ac:dyDescent="0.3">
      <c r="A2142" s="9" t="s">
        <v>4474</v>
      </c>
      <c r="B2142" s="9" t="s">
        <v>26</v>
      </c>
      <c r="C2142" s="9" t="s">
        <v>27</v>
      </c>
      <c r="D2142" s="52">
        <v>46235</v>
      </c>
      <c r="E2142" s="48">
        <v>0.82013888888888886</v>
      </c>
      <c r="F2142" s="48">
        <v>0.82708333333333339</v>
      </c>
      <c r="G2142" s="43">
        <f>(F2142-E2142)*1440</f>
        <v>10.000000000000124</v>
      </c>
      <c r="H2142" s="9" t="s">
        <v>214</v>
      </c>
      <c r="I2142" s="9" t="s">
        <v>874</v>
      </c>
      <c r="J2142" s="44">
        <v>8.1</v>
      </c>
      <c r="K2142" s="60">
        <v>7.93</v>
      </c>
      <c r="L2142" s="56">
        <v>5.95</v>
      </c>
      <c r="M2142" s="14">
        <f>K2142-L2142</f>
        <v>1.9799999999999995</v>
      </c>
      <c r="N2142" s="15">
        <f>IFERROR(M2142/K2142,0)</f>
        <v>0.24968474148802014</v>
      </c>
      <c r="O2142" s="14">
        <f>IFERROR(L2142/J2142,0)</f>
        <v>0.73456790123456794</v>
      </c>
      <c r="P2142" s="14">
        <f>IFERROR(L2142/G2142,0)</f>
        <v>0.59499999999999265</v>
      </c>
    </row>
    <row r="2143" spans="1:16" x14ac:dyDescent="0.3">
      <c r="A2143" s="9" t="s">
        <v>4475</v>
      </c>
      <c r="B2143" s="9" t="s">
        <v>26</v>
      </c>
      <c r="C2143" s="9" t="s">
        <v>27</v>
      </c>
      <c r="D2143" s="52">
        <v>46235</v>
      </c>
      <c r="E2143" s="48">
        <v>0.83194444444444438</v>
      </c>
      <c r="F2143" s="48">
        <v>0.84513888888888899</v>
      </c>
      <c r="G2143" s="43">
        <f>(F2143-E2143)*1440</f>
        <v>19.000000000000252</v>
      </c>
      <c r="H2143" s="9" t="s">
        <v>551</v>
      </c>
      <c r="I2143" s="9" t="s">
        <v>4757</v>
      </c>
      <c r="J2143" s="44">
        <v>9.6</v>
      </c>
      <c r="K2143" s="60">
        <v>7.9</v>
      </c>
      <c r="L2143" s="56">
        <v>5.92</v>
      </c>
      <c r="M2143" s="14">
        <f>K2143-L2143</f>
        <v>1.9800000000000004</v>
      </c>
      <c r="N2143" s="15">
        <f>IFERROR(M2143/K2143,0)</f>
        <v>0.25063291139240512</v>
      </c>
      <c r="O2143" s="14">
        <f>IFERROR(L2143/J2143,0)</f>
        <v>0.6166666666666667</v>
      </c>
      <c r="P2143" s="14">
        <f>IFERROR(L2143/G2143,0)</f>
        <v>0.3115789473684169</v>
      </c>
    </row>
    <row r="2144" spans="1:16" x14ac:dyDescent="0.3">
      <c r="A2144" s="9" t="s">
        <v>4476</v>
      </c>
      <c r="B2144" s="9" t="s">
        <v>26</v>
      </c>
      <c r="C2144" s="9" t="s">
        <v>26</v>
      </c>
      <c r="D2144" s="52">
        <v>46235</v>
      </c>
      <c r="E2144" s="48">
        <v>0.84930555555555554</v>
      </c>
      <c r="F2144" s="48">
        <v>0.85486111111111107</v>
      </c>
      <c r="G2144" s="43">
        <f>(F2144-E2144)*1440</f>
        <v>7.9999999999999716</v>
      </c>
      <c r="H2144" s="9" t="s">
        <v>4757</v>
      </c>
      <c r="I2144" s="9" t="s">
        <v>4758</v>
      </c>
      <c r="J2144" s="44">
        <v>3.8</v>
      </c>
      <c r="K2144" s="60">
        <v>4.92</v>
      </c>
      <c r="L2144" s="56">
        <v>4.0999999999999996</v>
      </c>
      <c r="M2144" s="14">
        <f>K2144-L2144</f>
        <v>0.82000000000000028</v>
      </c>
      <c r="N2144" s="15">
        <f>IFERROR(M2144/K2144,0)</f>
        <v>0.16666666666666674</v>
      </c>
      <c r="O2144" s="14">
        <f>IFERROR(L2144/J2144,0)</f>
        <v>1.0789473684210527</v>
      </c>
      <c r="P2144" s="14">
        <f>IFERROR(L2144/G2144,0)</f>
        <v>0.51250000000000173</v>
      </c>
    </row>
    <row r="2145" spans="1:18" x14ac:dyDescent="0.3">
      <c r="A2145" s="9" t="s">
        <v>4477</v>
      </c>
      <c r="B2145" s="9" t="s">
        <v>26</v>
      </c>
      <c r="C2145" s="9" t="s">
        <v>26</v>
      </c>
      <c r="D2145" s="52">
        <v>46236</v>
      </c>
      <c r="E2145" s="48">
        <v>0.54513888888888895</v>
      </c>
      <c r="F2145" s="48">
        <v>0.5493055555555556</v>
      </c>
      <c r="G2145" s="43">
        <f>(F2145-E2145)*1440</f>
        <v>5.9999999999999787</v>
      </c>
      <c r="H2145" s="9" t="s">
        <v>1338</v>
      </c>
      <c r="I2145" s="9" t="s">
        <v>4562</v>
      </c>
      <c r="J2145" s="44">
        <v>3.2</v>
      </c>
      <c r="K2145" s="60">
        <v>4.74</v>
      </c>
      <c r="L2145" s="56">
        <v>3.55</v>
      </c>
      <c r="M2145" s="14">
        <f>K2145-L2145</f>
        <v>1.1900000000000004</v>
      </c>
      <c r="N2145" s="15">
        <f>IFERROR(M2145/K2145,0)</f>
        <v>0.2510548523206752</v>
      </c>
      <c r="O2145" s="14">
        <f>IFERROR(L2145/J2145,0)</f>
        <v>1.1093749999999998</v>
      </c>
      <c r="P2145" s="14">
        <f>IFERROR(L2145/G2145,0)</f>
        <v>0.59166666666666878</v>
      </c>
    </row>
    <row r="2146" spans="1:18" x14ac:dyDescent="0.3">
      <c r="A2146" s="9" t="s">
        <v>4478</v>
      </c>
      <c r="B2146" s="9" t="s">
        <v>26</v>
      </c>
      <c r="C2146" s="9" t="s">
        <v>27</v>
      </c>
      <c r="D2146" s="52">
        <v>46236</v>
      </c>
      <c r="E2146" s="48">
        <v>0.57986111111111105</v>
      </c>
      <c r="F2146" s="48">
        <v>0.58611111111111114</v>
      </c>
      <c r="G2146" s="43">
        <f>(F2146-E2146)*1440</f>
        <v>9.0000000000001279</v>
      </c>
      <c r="H2146" s="9" t="s">
        <v>214</v>
      </c>
      <c r="I2146" s="9" t="s">
        <v>4692</v>
      </c>
      <c r="J2146" s="44">
        <v>5.6</v>
      </c>
      <c r="K2146" s="60">
        <v>5.97</v>
      </c>
      <c r="L2146" s="56">
        <v>4.4800000000000004</v>
      </c>
      <c r="M2146" s="14">
        <f>K2146-L2146</f>
        <v>1.4899999999999993</v>
      </c>
      <c r="N2146" s="15">
        <f>IFERROR(M2146/K2146,0)</f>
        <v>0.24958123953098818</v>
      </c>
      <c r="O2146" s="14">
        <f>IFERROR(L2146/J2146,0)</f>
        <v>0.80000000000000016</v>
      </c>
      <c r="P2146" s="14">
        <f>IFERROR(L2146/G2146,0)</f>
        <v>0.49777777777777077</v>
      </c>
    </row>
    <row r="2147" spans="1:18" x14ac:dyDescent="0.3">
      <c r="A2147" s="9" t="s">
        <v>4479</v>
      </c>
      <c r="B2147" s="9" t="s">
        <v>26</v>
      </c>
      <c r="C2147" s="9" t="s">
        <v>27</v>
      </c>
      <c r="D2147" s="52">
        <v>46236</v>
      </c>
      <c r="E2147" s="48">
        <v>0.58680555555555558</v>
      </c>
      <c r="F2147" s="48">
        <v>0.60486111111111118</v>
      </c>
      <c r="G2147" s="43">
        <f>(F2147-E2147)*1440</f>
        <v>26.000000000000068</v>
      </c>
      <c r="H2147" s="9" t="s">
        <v>4759</v>
      </c>
      <c r="I2147" s="9" t="s">
        <v>214</v>
      </c>
      <c r="J2147" s="44">
        <v>8</v>
      </c>
      <c r="K2147" s="60">
        <v>7.6</v>
      </c>
      <c r="L2147" s="56">
        <v>5.7</v>
      </c>
      <c r="M2147" s="14">
        <f>K2147-L2147</f>
        <v>1.8999999999999995</v>
      </c>
      <c r="N2147" s="15">
        <f>IFERROR(M2147/K2147,0)</f>
        <v>0.24999999999999994</v>
      </c>
      <c r="O2147" s="14">
        <f>IFERROR(L2147/J2147,0)</f>
        <v>0.71250000000000002</v>
      </c>
      <c r="P2147" s="14">
        <f>IFERROR(L2147/G2147,0)</f>
        <v>0.21923076923076867</v>
      </c>
    </row>
    <row r="2148" spans="1:18" x14ac:dyDescent="0.3">
      <c r="A2148" s="9" t="s">
        <v>4480</v>
      </c>
      <c r="B2148" s="9" t="s">
        <v>26</v>
      </c>
      <c r="C2148" s="9" t="s">
        <v>27</v>
      </c>
      <c r="D2148" s="52">
        <v>46236</v>
      </c>
      <c r="E2148" s="48">
        <v>0.6069444444444444</v>
      </c>
      <c r="F2148" s="48">
        <v>0.6166666666666667</v>
      </c>
      <c r="G2148" s="43">
        <f>(F2148-E2148)*1440</f>
        <v>14.00000000000011</v>
      </c>
      <c r="H2148" s="9" t="s">
        <v>2861</v>
      </c>
      <c r="I2148" s="9" t="s">
        <v>4107</v>
      </c>
      <c r="J2148" s="44">
        <v>8.6999999999999993</v>
      </c>
      <c r="K2148" s="60">
        <v>6.99</v>
      </c>
      <c r="L2148" s="56">
        <v>5.24</v>
      </c>
      <c r="M2148" s="14">
        <f>K2148-L2148</f>
        <v>1.75</v>
      </c>
      <c r="N2148" s="15">
        <f>IFERROR(M2148/K2148,0)</f>
        <v>0.25035765379113017</v>
      </c>
      <c r="O2148" s="14">
        <f>IFERROR(L2148/J2148,0)</f>
        <v>0.60229885057471266</v>
      </c>
      <c r="P2148" s="14">
        <f>IFERROR(L2148/G2148,0)</f>
        <v>0.37428571428571134</v>
      </c>
    </row>
    <row r="2149" spans="1:18" x14ac:dyDescent="0.3">
      <c r="A2149" s="9" t="s">
        <v>4481</v>
      </c>
      <c r="B2149" s="9" t="s">
        <v>26</v>
      </c>
      <c r="C2149" s="9" t="s">
        <v>27</v>
      </c>
      <c r="D2149" s="52">
        <v>46236</v>
      </c>
      <c r="E2149" s="48">
        <v>0.61944444444444446</v>
      </c>
      <c r="F2149" s="48">
        <v>0.62708333333333333</v>
      </c>
      <c r="G2149" s="43">
        <f>(F2149-E2149)*1440</f>
        <v>10.999999999999961</v>
      </c>
      <c r="H2149" s="9" t="s">
        <v>2614</v>
      </c>
      <c r="I2149" s="9" t="s">
        <v>214</v>
      </c>
      <c r="J2149" s="44">
        <v>7.3</v>
      </c>
      <c r="K2149" s="60">
        <v>5.92</v>
      </c>
      <c r="L2149" s="56">
        <v>4.4400000000000004</v>
      </c>
      <c r="M2149" s="14">
        <f>K2149-L2149</f>
        <v>1.4799999999999995</v>
      </c>
      <c r="N2149" s="15">
        <f>IFERROR(M2149/K2149,0)</f>
        <v>0.24999999999999992</v>
      </c>
      <c r="O2149" s="14">
        <f>IFERROR(L2149/J2149,0)</f>
        <v>0.60821917808219184</v>
      </c>
      <c r="P2149" s="14">
        <f>IFERROR(L2149/G2149,0)</f>
        <v>0.40363636363636513</v>
      </c>
    </row>
    <row r="2150" spans="1:18" x14ac:dyDescent="0.3">
      <c r="A2150" s="9" t="s">
        <v>4482</v>
      </c>
      <c r="B2150" s="9" t="s">
        <v>26</v>
      </c>
      <c r="C2150" s="9" t="s">
        <v>27</v>
      </c>
      <c r="D2150" s="52">
        <v>46236</v>
      </c>
      <c r="E2150" s="48">
        <v>0.62708333333333333</v>
      </c>
      <c r="F2150" s="48">
        <v>0.63263888888888886</v>
      </c>
      <c r="G2150" s="43">
        <f>(F2150-E2150)*1440</f>
        <v>7.9999999999999716</v>
      </c>
      <c r="H2150" s="9" t="s">
        <v>214</v>
      </c>
      <c r="I2150" s="9" t="s">
        <v>667</v>
      </c>
      <c r="J2150" s="44">
        <v>2.2000000000000002</v>
      </c>
      <c r="K2150" s="60">
        <v>4.3</v>
      </c>
      <c r="L2150" s="56">
        <v>3.22</v>
      </c>
      <c r="M2150" s="14">
        <f>K2150-L2150</f>
        <v>1.0799999999999996</v>
      </c>
      <c r="N2150" s="15">
        <f>IFERROR(M2150/K2150,0)</f>
        <v>0.25116279069767433</v>
      </c>
      <c r="O2150" s="14">
        <f>IFERROR(L2150/J2150,0)</f>
        <v>1.4636363636363636</v>
      </c>
      <c r="P2150" s="14">
        <f>IFERROR(L2150/G2150,0)</f>
        <v>0.40250000000000147</v>
      </c>
    </row>
    <row r="2151" spans="1:18" x14ac:dyDescent="0.3">
      <c r="A2151" s="9" t="s">
        <v>4483</v>
      </c>
      <c r="B2151" s="9" t="s">
        <v>26</v>
      </c>
      <c r="C2151" s="9" t="s">
        <v>26</v>
      </c>
      <c r="D2151" s="52">
        <v>46236</v>
      </c>
      <c r="E2151" s="48">
        <v>0.6381944444444444</v>
      </c>
      <c r="F2151" s="48">
        <v>0.64722222222222225</v>
      </c>
      <c r="G2151" s="43">
        <f>(F2151-E2151)*1440</f>
        <v>13.000000000000114</v>
      </c>
      <c r="H2151" s="9" t="s">
        <v>4760</v>
      </c>
      <c r="I2151" s="9" t="s">
        <v>4761</v>
      </c>
      <c r="J2151" s="44">
        <v>6.6</v>
      </c>
      <c r="K2151" s="60">
        <v>6.4</v>
      </c>
      <c r="L2151" s="56">
        <v>5.33</v>
      </c>
      <c r="M2151" s="14">
        <f>K2151-L2151</f>
        <v>1.0700000000000003</v>
      </c>
      <c r="N2151" s="15">
        <f>IFERROR(M2151/K2151,0)</f>
        <v>0.16718750000000004</v>
      </c>
      <c r="O2151" s="14">
        <f>IFERROR(L2151/J2151,0)</f>
        <v>0.80757575757575761</v>
      </c>
      <c r="P2151" s="14">
        <f>IFERROR(L2151/G2151,0)</f>
        <v>0.40999999999999642</v>
      </c>
    </row>
    <row r="2152" spans="1:18" x14ac:dyDescent="0.3">
      <c r="A2152" s="9" t="s">
        <v>4484</v>
      </c>
      <c r="B2152" s="9" t="s">
        <v>26</v>
      </c>
      <c r="C2152" s="9" t="s">
        <v>27</v>
      </c>
      <c r="D2152" s="52">
        <v>46236</v>
      </c>
      <c r="E2152" s="48">
        <v>0.65277777777777779</v>
      </c>
      <c r="F2152" s="48">
        <v>0.66041666666666665</v>
      </c>
      <c r="G2152" s="43">
        <f>(F2152-E2152)*1440</f>
        <v>10.999999999999961</v>
      </c>
      <c r="H2152" s="9" t="s">
        <v>698</v>
      </c>
      <c r="I2152" s="9" t="s">
        <v>242</v>
      </c>
      <c r="J2152" s="44">
        <v>4.8</v>
      </c>
      <c r="K2152" s="60">
        <v>6.99</v>
      </c>
      <c r="L2152" s="56">
        <v>5.76</v>
      </c>
      <c r="M2152" s="14">
        <f>K2152-L2152</f>
        <v>1.2300000000000004</v>
      </c>
      <c r="N2152" s="15">
        <f>IFERROR(M2152/K2152,0)</f>
        <v>0.17596566523605156</v>
      </c>
      <c r="O2152" s="14">
        <f>IFERROR(L2152/J2152,0)</f>
        <v>1.2</v>
      </c>
      <c r="P2152" s="14">
        <f>IFERROR(L2152/G2152,0)</f>
        <v>0.52363636363636545</v>
      </c>
      <c r="R2152" s="57">
        <v>1.54</v>
      </c>
    </row>
    <row r="2153" spans="1:18" x14ac:dyDescent="0.3">
      <c r="A2153" s="9" t="s">
        <v>4485</v>
      </c>
      <c r="B2153" s="9" t="s">
        <v>26</v>
      </c>
      <c r="C2153" s="9" t="s">
        <v>26</v>
      </c>
      <c r="D2153" s="52">
        <v>46236</v>
      </c>
      <c r="E2153" s="48">
        <v>0.66111111111111109</v>
      </c>
      <c r="F2153" s="48">
        <v>0.6694444444444444</v>
      </c>
      <c r="G2153" s="43">
        <f>(F2153-E2153)*1440</f>
        <v>11.999999999999957</v>
      </c>
      <c r="H2153" s="9" t="s">
        <v>242</v>
      </c>
      <c r="I2153" s="9" t="s">
        <v>854</v>
      </c>
      <c r="J2153" s="44">
        <v>5.2</v>
      </c>
      <c r="K2153" s="60">
        <v>5.91</v>
      </c>
      <c r="L2153" s="56">
        <v>4.43</v>
      </c>
      <c r="M2153" s="14">
        <f>K2153-L2153</f>
        <v>1.4800000000000004</v>
      </c>
      <c r="N2153" s="15">
        <f>IFERROR(M2153/K2153,0)</f>
        <v>0.25042301184433169</v>
      </c>
      <c r="O2153" s="14">
        <f>IFERROR(L2153/J2153,0)</f>
        <v>0.85192307692307689</v>
      </c>
      <c r="P2153" s="14">
        <f>IFERROR(L2153/G2153,0)</f>
        <v>0.36916666666666798</v>
      </c>
    </row>
    <row r="2154" spans="1:18" x14ac:dyDescent="0.3">
      <c r="A2154" s="9" t="s">
        <v>4486</v>
      </c>
      <c r="B2154" s="9" t="s">
        <v>26</v>
      </c>
      <c r="C2154" s="9" t="s">
        <v>26</v>
      </c>
      <c r="D2154" s="52">
        <v>46236</v>
      </c>
      <c r="E2154" s="48">
        <v>0.68888888888888899</v>
      </c>
      <c r="F2154" s="48">
        <v>0.69236111111111109</v>
      </c>
      <c r="G2154" s="43">
        <f>(F2154-E2154)*1440</f>
        <v>4.9999999999998224</v>
      </c>
      <c r="H2154" s="9" t="s">
        <v>4762</v>
      </c>
      <c r="I2154" s="9" t="s">
        <v>729</v>
      </c>
      <c r="J2154" s="44">
        <v>1.5</v>
      </c>
      <c r="K2154" s="60">
        <v>5.68</v>
      </c>
      <c r="L2154" s="56">
        <v>5.39</v>
      </c>
      <c r="M2154" s="14">
        <f>K2154-L2154</f>
        <v>0.29000000000000004</v>
      </c>
      <c r="N2154" s="15">
        <f>IFERROR(M2154/K2154,0)</f>
        <v>5.1056338028169022E-2</v>
      </c>
      <c r="O2154" s="14">
        <f>IFERROR(L2154/J2154,0)</f>
        <v>3.5933333333333333</v>
      </c>
      <c r="P2154" s="14">
        <f>IFERROR(L2154/G2154,0)</f>
        <v>1.0780000000000383</v>
      </c>
    </row>
    <row r="2155" spans="1:18" x14ac:dyDescent="0.3">
      <c r="A2155" s="9" t="s">
        <v>4487</v>
      </c>
      <c r="B2155" s="9" t="s">
        <v>26</v>
      </c>
      <c r="C2155" s="9" t="s">
        <v>27</v>
      </c>
      <c r="D2155" s="52">
        <v>46236</v>
      </c>
      <c r="E2155" s="48">
        <v>0.69513888888888886</v>
      </c>
      <c r="F2155" s="48">
        <v>0.70624999999999993</v>
      </c>
      <c r="G2155" s="43">
        <f>(F2155-E2155)*1440</f>
        <v>15.999999999999943</v>
      </c>
      <c r="H2155" s="9" t="s">
        <v>4763</v>
      </c>
      <c r="I2155" s="9" t="s">
        <v>690</v>
      </c>
      <c r="J2155" s="44">
        <v>11.8</v>
      </c>
      <c r="K2155" s="60">
        <v>9.93</v>
      </c>
      <c r="L2155" s="56">
        <v>7.45</v>
      </c>
      <c r="M2155" s="14">
        <f>K2155-L2155</f>
        <v>2.4799999999999995</v>
      </c>
      <c r="N2155" s="15">
        <f>IFERROR(M2155/K2155,0)</f>
        <v>0.24974823766364548</v>
      </c>
      <c r="O2155" s="14">
        <f>IFERROR(L2155/J2155,0)</f>
        <v>0.63135593220338981</v>
      </c>
      <c r="P2155" s="14">
        <f>IFERROR(L2155/G2155,0)</f>
        <v>0.46562500000000168</v>
      </c>
      <c r="R2155" s="57">
        <v>2.35</v>
      </c>
    </row>
    <row r="2156" spans="1:18" x14ac:dyDescent="0.3">
      <c r="A2156" s="9" t="s">
        <v>4488</v>
      </c>
      <c r="B2156" s="9" t="s">
        <v>26</v>
      </c>
      <c r="C2156" s="9" t="s">
        <v>26</v>
      </c>
      <c r="D2156" s="52">
        <v>46236</v>
      </c>
      <c r="E2156" s="48">
        <v>0.70833333333333337</v>
      </c>
      <c r="F2156" s="48">
        <v>0.71388888888888891</v>
      </c>
      <c r="G2156" s="43">
        <f>(F2156-E2156)*1440</f>
        <v>7.9999999999999716</v>
      </c>
      <c r="H2156" s="9" t="s">
        <v>4764</v>
      </c>
      <c r="I2156" s="9" t="s">
        <v>4246</v>
      </c>
      <c r="J2156" s="44">
        <v>4.3</v>
      </c>
      <c r="K2156" s="60">
        <v>4.92</v>
      </c>
      <c r="L2156" s="56">
        <v>4.0599999999999996</v>
      </c>
      <c r="M2156" s="14">
        <f>K2156-L2156</f>
        <v>0.86000000000000032</v>
      </c>
      <c r="N2156" s="15">
        <f>IFERROR(M2156/K2156,0)</f>
        <v>0.17479674796747974</v>
      </c>
      <c r="O2156" s="14">
        <f>IFERROR(L2156/J2156,0)</f>
        <v>0.94418604651162785</v>
      </c>
      <c r="P2156" s="14">
        <f>IFERROR(L2156/G2156,0)</f>
        <v>0.50750000000000173</v>
      </c>
    </row>
    <row r="2157" spans="1:18" x14ac:dyDescent="0.3">
      <c r="A2157" s="9" t="s">
        <v>4489</v>
      </c>
      <c r="B2157" s="9" t="s">
        <v>26</v>
      </c>
      <c r="C2157" s="9" t="s">
        <v>26</v>
      </c>
      <c r="D2157" s="52">
        <v>46236</v>
      </c>
      <c r="E2157" s="48">
        <v>0.71527777777777779</v>
      </c>
      <c r="F2157" s="48">
        <v>0.72291666666666676</v>
      </c>
      <c r="G2157" s="43">
        <f>(F2157-E2157)*1440</f>
        <v>11.000000000000121</v>
      </c>
      <c r="H2157" s="9" t="s">
        <v>878</v>
      </c>
      <c r="I2157" s="9" t="s">
        <v>4765</v>
      </c>
      <c r="J2157" s="44">
        <v>6.5</v>
      </c>
      <c r="K2157" s="60">
        <v>5.98</v>
      </c>
      <c r="L2157" s="56">
        <v>4.4800000000000004</v>
      </c>
      <c r="M2157" s="14">
        <f>K2157-L2157</f>
        <v>1.5</v>
      </c>
      <c r="N2157" s="15">
        <f>IFERROR(M2157/K2157,0)</f>
        <v>0.25083612040133779</v>
      </c>
      <c r="O2157" s="14">
        <f>IFERROR(L2157/J2157,0)</f>
        <v>0.68923076923076931</v>
      </c>
      <c r="P2157" s="14">
        <f>IFERROR(L2157/G2157,0)</f>
        <v>0.40727272727272285</v>
      </c>
    </row>
    <row r="2158" spans="1:18" x14ac:dyDescent="0.3">
      <c r="A2158" s="9" t="s">
        <v>4490</v>
      </c>
      <c r="B2158" s="9" t="s">
        <v>26</v>
      </c>
      <c r="C2158" s="9" t="s">
        <v>27</v>
      </c>
      <c r="D2158" s="52">
        <v>46236</v>
      </c>
      <c r="E2158" s="48">
        <v>0.73055555555555562</v>
      </c>
      <c r="F2158" s="48">
        <v>0.7402777777777777</v>
      </c>
      <c r="G2158" s="43">
        <f>(F2158-E2158)*1440</f>
        <v>13.99999999999979</v>
      </c>
      <c r="H2158" s="9" t="s">
        <v>4766</v>
      </c>
      <c r="I2158" s="9" t="s">
        <v>204</v>
      </c>
      <c r="J2158" s="44">
        <v>7.3</v>
      </c>
      <c r="K2158" s="60">
        <v>5.97</v>
      </c>
      <c r="L2158" s="56">
        <v>4.4800000000000004</v>
      </c>
      <c r="M2158" s="14">
        <f>K2158-L2158</f>
        <v>1.4899999999999993</v>
      </c>
      <c r="N2158" s="15">
        <f>IFERROR(M2158/K2158,0)</f>
        <v>0.24958123953098818</v>
      </c>
      <c r="O2158" s="14">
        <f>IFERROR(L2158/J2158,0)</f>
        <v>0.61369863013698633</v>
      </c>
      <c r="P2158" s="14">
        <f>IFERROR(L2158/G2158,0)</f>
        <v>0.32000000000000484</v>
      </c>
    </row>
    <row r="2159" spans="1:18" x14ac:dyDescent="0.3">
      <c r="A2159" s="9" t="s">
        <v>4491</v>
      </c>
      <c r="B2159" s="9" t="s">
        <v>26</v>
      </c>
      <c r="C2159" s="9" t="s">
        <v>26</v>
      </c>
      <c r="D2159" s="52">
        <v>46236</v>
      </c>
      <c r="E2159" s="48">
        <v>0.7416666666666667</v>
      </c>
      <c r="F2159" s="48">
        <v>0.74930555555555556</v>
      </c>
      <c r="G2159" s="43">
        <f>(F2159-E2159)*1440</f>
        <v>10.999999999999961</v>
      </c>
      <c r="H2159" s="9" t="s">
        <v>698</v>
      </c>
      <c r="I2159" s="9" t="s">
        <v>242</v>
      </c>
      <c r="J2159" s="44">
        <v>5</v>
      </c>
      <c r="K2159" s="60">
        <v>4.93</v>
      </c>
      <c r="L2159" s="56">
        <v>4.62</v>
      </c>
      <c r="M2159" s="14">
        <f>K2159-L2159</f>
        <v>0.30999999999999961</v>
      </c>
      <c r="N2159" s="15">
        <f>IFERROR(M2159/K2159,0)</f>
        <v>6.2880324543610477E-2</v>
      </c>
      <c r="O2159" s="14">
        <f>IFERROR(L2159/J2159,0)</f>
        <v>0.92400000000000004</v>
      </c>
      <c r="P2159" s="14">
        <f>IFERROR(L2159/G2159,0)</f>
        <v>0.42000000000000148</v>
      </c>
    </row>
    <row r="2160" spans="1:18" x14ac:dyDescent="0.3">
      <c r="A2160" s="9" t="s">
        <v>4492</v>
      </c>
      <c r="B2160" s="9" t="s">
        <v>26</v>
      </c>
      <c r="C2160" s="9" t="s">
        <v>26</v>
      </c>
      <c r="D2160" s="52">
        <v>46236</v>
      </c>
      <c r="E2160" s="48">
        <v>0.76736111111111116</v>
      </c>
      <c r="F2160" s="48">
        <v>0.78194444444444444</v>
      </c>
      <c r="G2160" s="43">
        <f>(F2160-E2160)*1440</f>
        <v>20.999999999999925</v>
      </c>
      <c r="H2160" s="9" t="s">
        <v>4767</v>
      </c>
      <c r="I2160" s="9" t="s">
        <v>1120</v>
      </c>
      <c r="J2160" s="44">
        <v>7.5</v>
      </c>
      <c r="K2160" s="60">
        <v>9.98</v>
      </c>
      <c r="L2160" s="56">
        <v>7.48</v>
      </c>
      <c r="M2160" s="14">
        <f>K2160-L2160</f>
        <v>2.5</v>
      </c>
      <c r="N2160" s="15">
        <f>IFERROR(M2160/K2160,0)</f>
        <v>0.25050100200400799</v>
      </c>
      <c r="O2160" s="14">
        <f>IFERROR(L2160/J2160,0)</f>
        <v>0.9973333333333334</v>
      </c>
      <c r="P2160" s="14">
        <f>IFERROR(L2160/G2160,0)</f>
        <v>0.3561904761904775</v>
      </c>
      <c r="R2160" s="57">
        <v>1.67</v>
      </c>
    </row>
    <row r="2161" spans="1:19" x14ac:dyDescent="0.3">
      <c r="A2161" s="9" t="s">
        <v>4493</v>
      </c>
      <c r="B2161" s="9" t="s">
        <v>26</v>
      </c>
      <c r="C2161" s="9" t="s">
        <v>26</v>
      </c>
      <c r="D2161" s="52">
        <v>46236</v>
      </c>
      <c r="E2161" s="48">
        <v>0.80763888888888891</v>
      </c>
      <c r="F2161" s="48">
        <v>0.81874999999999998</v>
      </c>
      <c r="G2161" s="43">
        <f>(F2161-E2161)*1440</f>
        <v>15.999999999999943</v>
      </c>
      <c r="H2161" s="9" t="s">
        <v>4096</v>
      </c>
      <c r="I2161" s="9" t="s">
        <v>4768</v>
      </c>
      <c r="J2161" s="44">
        <v>9.8000000000000007</v>
      </c>
      <c r="K2161" s="60">
        <v>9.91</v>
      </c>
      <c r="L2161" s="56">
        <v>7.43</v>
      </c>
      <c r="M2161" s="14">
        <f>K2161-L2161</f>
        <v>2.4800000000000004</v>
      </c>
      <c r="N2161" s="15">
        <f>IFERROR(M2161/K2161,0)</f>
        <v>0.25025227043390519</v>
      </c>
      <c r="O2161" s="14">
        <f>IFERROR(L2161/J2161,0)</f>
        <v>0.75816326530612232</v>
      </c>
      <c r="P2161" s="14">
        <f>IFERROR(L2161/G2161,0)</f>
        <v>0.46437500000000165</v>
      </c>
    </row>
    <row r="2162" spans="1:19" x14ac:dyDescent="0.3">
      <c r="A2162" s="9" t="s">
        <v>4494</v>
      </c>
      <c r="B2162" s="9" t="s">
        <v>26</v>
      </c>
      <c r="C2162" s="9" t="s">
        <v>26</v>
      </c>
      <c r="D2162" s="52">
        <v>46236</v>
      </c>
      <c r="E2162" s="48">
        <v>0.82361111111111107</v>
      </c>
      <c r="F2162" s="48">
        <v>0.83680555555555547</v>
      </c>
      <c r="G2162" s="43">
        <f>(F2162-E2162)*1440</f>
        <v>18.999999999999932</v>
      </c>
      <c r="H2162" s="9" t="s">
        <v>4768</v>
      </c>
      <c r="I2162" s="9" t="s">
        <v>611</v>
      </c>
      <c r="J2162" s="44">
        <v>11.9</v>
      </c>
      <c r="K2162" s="60">
        <v>8.98</v>
      </c>
      <c r="L2162" s="56">
        <v>6.73</v>
      </c>
      <c r="M2162" s="14">
        <f>K2162-L2162</f>
        <v>2.25</v>
      </c>
      <c r="N2162" s="15">
        <f>IFERROR(M2162/K2162,0)</f>
        <v>0.25055679287305122</v>
      </c>
      <c r="O2162" s="14">
        <f>IFERROR(L2162/J2162,0)</f>
        <v>0.56554621848739495</v>
      </c>
      <c r="P2162" s="14">
        <f>IFERROR(L2162/G2162,0)</f>
        <v>0.35421052631579075</v>
      </c>
    </row>
    <row r="2163" spans="1:19" x14ac:dyDescent="0.3">
      <c r="A2163" s="9" t="s">
        <v>4495</v>
      </c>
      <c r="B2163" s="9" t="s">
        <v>26</v>
      </c>
      <c r="C2163" s="9" t="s">
        <v>26</v>
      </c>
      <c r="D2163" s="52">
        <v>46236</v>
      </c>
      <c r="E2163" s="48">
        <v>0.84166666666666667</v>
      </c>
      <c r="F2163" s="48">
        <v>0.85833333333333339</v>
      </c>
      <c r="G2163" s="43">
        <f>(F2163-E2163)*1440</f>
        <v>24.000000000000075</v>
      </c>
      <c r="H2163" s="9" t="s">
        <v>1120</v>
      </c>
      <c r="I2163" s="9" t="s">
        <v>4769</v>
      </c>
      <c r="J2163" s="44">
        <v>16.7</v>
      </c>
      <c r="K2163" s="60">
        <v>11.65</v>
      </c>
      <c r="L2163" s="56">
        <v>12.01</v>
      </c>
      <c r="M2163" s="14">
        <f>K2163-L2163</f>
        <v>-0.35999999999999943</v>
      </c>
      <c r="N2163" s="15">
        <f>IFERROR(M2163/K2163,0)</f>
        <v>-3.0901287553648019E-2</v>
      </c>
      <c r="O2163" s="14">
        <f>IFERROR(L2163/J2163,0)</f>
        <v>0.7191616766467066</v>
      </c>
      <c r="P2163" s="14">
        <f>IFERROR(L2163/G2163,0)</f>
        <v>0.50041666666666507</v>
      </c>
    </row>
    <row r="2164" spans="1:19" x14ac:dyDescent="0.3">
      <c r="A2164" s="9" t="s">
        <v>4496</v>
      </c>
      <c r="B2164" s="9" t="s">
        <v>18</v>
      </c>
      <c r="C2164" s="9" t="s">
        <v>184</v>
      </c>
      <c r="D2164" s="52">
        <v>46236</v>
      </c>
      <c r="E2164" s="48">
        <v>0.54722222222222217</v>
      </c>
      <c r="F2164" s="48">
        <v>0.55902777777777779</v>
      </c>
      <c r="G2164" s="43">
        <f>(F2164-E2164)*1440</f>
        <v>17.000000000000099</v>
      </c>
      <c r="H2164" s="9" t="s">
        <v>4770</v>
      </c>
      <c r="I2164" s="9" t="s">
        <v>1207</v>
      </c>
      <c r="J2164" s="44">
        <v>13.38</v>
      </c>
      <c r="K2164" s="60">
        <v>8.93</v>
      </c>
      <c r="L2164" s="56">
        <v>6.18</v>
      </c>
      <c r="M2164" s="14">
        <f>K2164-L2164</f>
        <v>2.75</v>
      </c>
      <c r="N2164" s="15">
        <f>IFERROR(M2164/K2164,0)</f>
        <v>0.30795072788353867</v>
      </c>
      <c r="O2164" s="14">
        <f>IFERROR(L2164/J2164,0)</f>
        <v>0.46188340807174882</v>
      </c>
      <c r="P2164" s="14">
        <f>IFERROR(L2164/G2164,0)</f>
        <v>0.36352941176470371</v>
      </c>
    </row>
    <row r="2165" spans="1:19" x14ac:dyDescent="0.3">
      <c r="A2165" s="9" t="s">
        <v>4497</v>
      </c>
      <c r="B2165" s="9" t="s">
        <v>18</v>
      </c>
      <c r="C2165" s="9" t="s">
        <v>184</v>
      </c>
      <c r="D2165" s="52">
        <v>46236</v>
      </c>
      <c r="E2165" s="48">
        <v>0.56527777777777777</v>
      </c>
      <c r="F2165" s="48">
        <v>0.57291666666666663</v>
      </c>
      <c r="G2165" s="43">
        <f>(F2165-E2165)*1440</f>
        <v>10.999999999999961</v>
      </c>
      <c r="H2165" s="9" t="s">
        <v>261</v>
      </c>
      <c r="I2165" s="9" t="s">
        <v>214</v>
      </c>
      <c r="J2165" s="44">
        <v>8.59</v>
      </c>
      <c r="K2165" s="60">
        <v>7.94</v>
      </c>
      <c r="L2165" s="56">
        <v>5.9</v>
      </c>
      <c r="M2165" s="14">
        <f>K2165-L2165</f>
        <v>2.04</v>
      </c>
      <c r="N2165" s="15">
        <f>IFERROR(M2165/K2165,0)</f>
        <v>0.25692695214105793</v>
      </c>
      <c r="O2165" s="14">
        <f>IFERROR(L2165/J2165,0)</f>
        <v>0.68684516880093138</v>
      </c>
      <c r="P2165" s="14">
        <f>IFERROR(L2165/G2165,0)</f>
        <v>0.53636363636363826</v>
      </c>
    </row>
    <row r="2166" spans="1:19" x14ac:dyDescent="0.3">
      <c r="A2166" s="9" t="s">
        <v>4498</v>
      </c>
      <c r="B2166" s="9" t="s">
        <v>18</v>
      </c>
      <c r="C2166" s="9" t="s">
        <v>196</v>
      </c>
      <c r="D2166" s="52">
        <v>46236</v>
      </c>
      <c r="E2166" s="48">
        <v>0.75486111111111109</v>
      </c>
      <c r="F2166" s="48">
        <v>0.76180555555555562</v>
      </c>
      <c r="G2166" s="43">
        <f>(F2166-E2166)*1440</f>
        <v>10.000000000000124</v>
      </c>
      <c r="H2166" s="9" t="s">
        <v>233</v>
      </c>
      <c r="I2166" s="9" t="s">
        <v>1174</v>
      </c>
      <c r="J2166" s="44">
        <v>5.8</v>
      </c>
      <c r="K2166" s="60">
        <v>8.98</v>
      </c>
      <c r="L2166" s="56">
        <v>5.84</v>
      </c>
      <c r="M2166" s="14">
        <f>K2166-L2166</f>
        <v>3.1400000000000006</v>
      </c>
      <c r="N2166" s="15">
        <f>IFERROR(M2166/K2166,0)</f>
        <v>0.34966592427616933</v>
      </c>
      <c r="O2166" s="14">
        <f>IFERROR(L2166/J2166,0)</f>
        <v>1.0068965517241379</v>
      </c>
      <c r="P2166" s="14">
        <f>IFERROR(L2166/G2166,0)</f>
        <v>0.58399999999999275</v>
      </c>
    </row>
    <row r="2167" spans="1:19" x14ac:dyDescent="0.3">
      <c r="A2167" s="9" t="s">
        <v>4499</v>
      </c>
      <c r="B2167" s="9" t="s">
        <v>18</v>
      </c>
      <c r="C2167" s="9" t="s">
        <v>184</v>
      </c>
      <c r="D2167" s="52">
        <v>46237</v>
      </c>
      <c r="E2167" s="48">
        <v>0.54166666666666663</v>
      </c>
      <c r="F2167" s="48">
        <v>0.55486111111111114</v>
      </c>
      <c r="G2167" s="43">
        <f>(F2167-E2167)*1440</f>
        <v>19.000000000000092</v>
      </c>
      <c r="H2167" s="9" t="s">
        <v>4771</v>
      </c>
      <c r="I2167" s="9" t="s">
        <v>4589</v>
      </c>
      <c r="J2167" s="44">
        <v>19.329999999999998</v>
      </c>
      <c r="K2167" s="60">
        <v>10.95</v>
      </c>
      <c r="L2167" s="56">
        <v>8.5299999999999994</v>
      </c>
      <c r="M2167" s="14">
        <f>K2167-L2167</f>
        <v>2.42</v>
      </c>
      <c r="N2167" s="15">
        <f>IFERROR(M2167/K2167,0)</f>
        <v>0.22100456621004566</v>
      </c>
      <c r="O2167" s="14">
        <f>IFERROR(L2167/J2167,0)</f>
        <v>0.44128297982410764</v>
      </c>
      <c r="P2167" s="14">
        <f>IFERROR(L2167/G2167,0)</f>
        <v>0.44894736842105043</v>
      </c>
    </row>
    <row r="2168" spans="1:19" x14ac:dyDescent="0.3">
      <c r="A2168" s="9" t="s">
        <v>4500</v>
      </c>
      <c r="B2168" s="9" t="s">
        <v>18</v>
      </c>
      <c r="C2168" s="9" t="s">
        <v>184</v>
      </c>
      <c r="D2168" s="52">
        <v>46237</v>
      </c>
      <c r="E2168" s="48">
        <v>0.59583333333333333</v>
      </c>
      <c r="F2168" s="48">
        <v>0.60972222222222217</v>
      </c>
      <c r="G2168" s="43">
        <f>(F2168-E2168)*1440</f>
        <v>19.999999999999929</v>
      </c>
      <c r="H2168" s="9" t="s">
        <v>528</v>
      </c>
      <c r="I2168" s="9" t="s">
        <v>1230</v>
      </c>
      <c r="J2168" s="44">
        <v>13.5</v>
      </c>
      <c r="K2168" s="60">
        <v>7.94</v>
      </c>
      <c r="L2168" s="56">
        <v>6.48</v>
      </c>
      <c r="M2168" s="14">
        <f>K2168-L2168</f>
        <v>1.46</v>
      </c>
      <c r="N2168" s="15">
        <f>IFERROR(M2168/K2168,0)</f>
        <v>0.18387909319899243</v>
      </c>
      <c r="O2168" s="14">
        <f>IFERROR(L2168/J2168,0)</f>
        <v>0.48000000000000004</v>
      </c>
      <c r="P2168" s="14">
        <f>IFERROR(L2168/G2168,0)</f>
        <v>0.32400000000000118</v>
      </c>
    </row>
    <row r="2169" spans="1:19" x14ac:dyDescent="0.3">
      <c r="A2169" s="9" t="s">
        <v>4501</v>
      </c>
      <c r="B2169" s="9" t="s">
        <v>18</v>
      </c>
      <c r="C2169" s="9" t="s">
        <v>184</v>
      </c>
      <c r="D2169" s="52">
        <v>46237</v>
      </c>
      <c r="E2169" s="48">
        <v>0.61458333333333337</v>
      </c>
      <c r="F2169" s="48">
        <v>0.625</v>
      </c>
      <c r="G2169" s="43">
        <f>(F2169-E2169)*1440</f>
        <v>14.999999999999947</v>
      </c>
      <c r="H2169" s="9" t="s">
        <v>1230</v>
      </c>
      <c r="I2169" s="9" t="s">
        <v>214</v>
      </c>
      <c r="J2169" s="44">
        <v>8.68</v>
      </c>
      <c r="K2169" s="60">
        <v>5.94</v>
      </c>
      <c r="L2169" s="56">
        <v>5.58</v>
      </c>
      <c r="M2169" s="14">
        <f>K2169-L2169</f>
        <v>0.36000000000000032</v>
      </c>
      <c r="N2169" s="15">
        <f>IFERROR(M2169/K2169,0)</f>
        <v>6.0606060606060656E-2</v>
      </c>
      <c r="O2169" s="14">
        <f>IFERROR(L2169/J2169,0)</f>
        <v>0.6428571428571429</v>
      </c>
      <c r="P2169" s="14">
        <f>IFERROR(L2169/G2169,0)</f>
        <v>0.37200000000000133</v>
      </c>
    </row>
    <row r="2170" spans="1:19" x14ac:dyDescent="0.3">
      <c r="A2170" s="9" t="s">
        <v>4502</v>
      </c>
      <c r="B2170" s="9" t="s">
        <v>18</v>
      </c>
      <c r="C2170" s="9" t="s">
        <v>230</v>
      </c>
      <c r="D2170" s="52">
        <v>46237</v>
      </c>
      <c r="E2170" s="48">
        <v>0.68055555555555547</v>
      </c>
      <c r="F2170" s="48">
        <v>0.68958333333333333</v>
      </c>
      <c r="G2170" s="43">
        <f>(F2170-E2170)*1440</f>
        <v>13.000000000000114</v>
      </c>
      <c r="H2170" s="9" t="s">
        <v>4772</v>
      </c>
      <c r="I2170" s="9" t="s">
        <v>2484</v>
      </c>
      <c r="J2170" s="44">
        <v>7.63</v>
      </c>
      <c r="K2170" s="60">
        <v>5.07</v>
      </c>
      <c r="L2170" s="56">
        <v>4.92</v>
      </c>
      <c r="M2170" s="14">
        <f>K2170-L2170</f>
        <v>0.15000000000000036</v>
      </c>
      <c r="N2170" s="15">
        <f>IFERROR(M2170/K2170,0)</f>
        <v>2.9585798816568115E-2</v>
      </c>
      <c r="O2170" s="14">
        <f>IFERROR(L2170/J2170,0)</f>
        <v>0.64482306684141544</v>
      </c>
      <c r="P2170" s="14">
        <f>IFERROR(L2170/G2170,0)</f>
        <v>0.37846153846153513</v>
      </c>
    </row>
    <row r="2171" spans="1:19" x14ac:dyDescent="0.3">
      <c r="A2171" s="9" t="s">
        <v>4503</v>
      </c>
      <c r="B2171" s="9" t="s">
        <v>18</v>
      </c>
      <c r="C2171" s="9" t="s">
        <v>230</v>
      </c>
      <c r="D2171" s="52">
        <v>46237</v>
      </c>
      <c r="E2171" s="48">
        <v>0.73819444444444438</v>
      </c>
      <c r="F2171" s="48">
        <v>0.75</v>
      </c>
      <c r="G2171" s="43">
        <f>(F2171-E2171)*1440</f>
        <v>17.000000000000099</v>
      </c>
      <c r="H2171" s="9" t="s">
        <v>2484</v>
      </c>
      <c r="I2171" s="9" t="s">
        <v>4773</v>
      </c>
      <c r="J2171" s="44">
        <v>8.23</v>
      </c>
      <c r="K2171" s="60">
        <v>6.14</v>
      </c>
      <c r="L2171" s="56">
        <v>5.59</v>
      </c>
      <c r="M2171" s="14">
        <f>K2171-L2171</f>
        <v>0.54999999999999982</v>
      </c>
      <c r="N2171" s="15">
        <f>IFERROR(M2171/K2171,0)</f>
        <v>8.9576547231270329E-2</v>
      </c>
      <c r="O2171" s="14">
        <f>IFERROR(L2171/J2171,0)</f>
        <v>0.67922235722964763</v>
      </c>
      <c r="P2171" s="14">
        <f>IFERROR(L2171/G2171,0)</f>
        <v>0.32882352941176279</v>
      </c>
    </row>
    <row r="2172" spans="1:19" x14ac:dyDescent="0.3">
      <c r="A2172" s="9" t="s">
        <v>4504</v>
      </c>
      <c r="B2172" s="9" t="s">
        <v>18</v>
      </c>
      <c r="C2172" s="9" t="s">
        <v>2184</v>
      </c>
      <c r="D2172" s="52">
        <v>46237</v>
      </c>
      <c r="E2172" s="48">
        <v>0.77083333333333337</v>
      </c>
      <c r="F2172" s="48">
        <v>0.77986111111111101</v>
      </c>
      <c r="G2172" s="43">
        <f>(F2172-E2172)*1440</f>
        <v>12.999999999999794</v>
      </c>
      <c r="H2172" s="9" t="s">
        <v>4774</v>
      </c>
      <c r="I2172" s="9" t="s">
        <v>1758</v>
      </c>
      <c r="J2172" s="44">
        <v>5.92</v>
      </c>
      <c r="K2172" s="60">
        <v>5.73</v>
      </c>
      <c r="L2172" s="56">
        <v>4.9400000000000004</v>
      </c>
      <c r="M2172" s="14">
        <f>K2172-L2172</f>
        <v>0.79</v>
      </c>
      <c r="N2172" s="15">
        <f>IFERROR(M2172/K2172,0)</f>
        <v>0.13787085514834205</v>
      </c>
      <c r="O2172" s="14">
        <f>IFERROR(L2172/J2172,0)</f>
        <v>0.83445945945945954</v>
      </c>
      <c r="P2172" s="14">
        <f>IFERROR(L2172/G2172,0)</f>
        <v>0.38000000000000606</v>
      </c>
      <c r="S2172" s="61">
        <v>1</v>
      </c>
    </row>
    <row r="2173" spans="1:19" x14ac:dyDescent="0.3">
      <c r="A2173" s="9" t="s">
        <v>4505</v>
      </c>
      <c r="B2173" s="9" t="s">
        <v>18</v>
      </c>
      <c r="C2173" s="9" t="s">
        <v>184</v>
      </c>
      <c r="D2173" s="52">
        <v>46237</v>
      </c>
      <c r="E2173" s="48">
        <v>0.78472222222222221</v>
      </c>
      <c r="F2173" s="48">
        <v>0.7909722222222223</v>
      </c>
      <c r="G2173" s="43">
        <f>(F2173-E2173)*1440</f>
        <v>9.0000000000001279</v>
      </c>
      <c r="H2173" s="9" t="s">
        <v>187</v>
      </c>
      <c r="I2173" s="9" t="s">
        <v>4775</v>
      </c>
      <c r="J2173" s="44">
        <v>2.2200000000000002</v>
      </c>
      <c r="K2173" s="60">
        <v>3.95</v>
      </c>
      <c r="L2173" s="56">
        <v>3.3</v>
      </c>
      <c r="M2173" s="14">
        <f>K2173-L2173</f>
        <v>0.65000000000000036</v>
      </c>
      <c r="N2173" s="15">
        <f>IFERROR(M2173/K2173,0)</f>
        <v>0.16455696202531653</v>
      </c>
      <c r="O2173" s="14">
        <f>IFERROR(L2173/J2173,0)</f>
        <v>1.4864864864864862</v>
      </c>
      <c r="P2173" s="14">
        <f>IFERROR(L2173/G2173,0)</f>
        <v>0.36666666666666142</v>
      </c>
    </row>
    <row r="2174" spans="1:19" x14ac:dyDescent="0.3">
      <c r="A2174" s="9" t="s">
        <v>4506</v>
      </c>
      <c r="B2174" s="9" t="s">
        <v>18</v>
      </c>
      <c r="C2174" s="9" t="s">
        <v>184</v>
      </c>
      <c r="D2174" s="52">
        <v>46237</v>
      </c>
      <c r="E2174" s="48">
        <v>0.81388888888888899</v>
      </c>
      <c r="F2174" s="48">
        <v>0.8256944444444444</v>
      </c>
      <c r="G2174" s="43">
        <f>(F2174-E2174)*1440</f>
        <v>16.99999999999978</v>
      </c>
      <c r="H2174" s="9" t="s">
        <v>645</v>
      </c>
      <c r="I2174" s="9" t="s">
        <v>4577</v>
      </c>
      <c r="J2174" s="44">
        <v>6.68</v>
      </c>
      <c r="K2174" s="60">
        <v>6.96</v>
      </c>
      <c r="L2174" s="56">
        <v>5.37</v>
      </c>
      <c r="M2174" s="14">
        <f>K2174-L2174</f>
        <v>1.5899999999999999</v>
      </c>
      <c r="N2174" s="15">
        <f>IFERROR(M2174/K2174,0)</f>
        <v>0.22844827586206895</v>
      </c>
      <c r="O2174" s="14">
        <f>IFERROR(L2174/J2174,0)</f>
        <v>0.80389221556886237</v>
      </c>
      <c r="P2174" s="14">
        <f>IFERROR(L2174/G2174,0)</f>
        <v>0.31588235294118056</v>
      </c>
    </row>
    <row r="2175" spans="1:19" x14ac:dyDescent="0.3">
      <c r="A2175" s="9" t="s">
        <v>4507</v>
      </c>
      <c r="B2175" s="9" t="s">
        <v>26</v>
      </c>
      <c r="C2175" s="9" t="s">
        <v>26</v>
      </c>
      <c r="D2175" s="52">
        <v>46237</v>
      </c>
      <c r="E2175" s="48">
        <v>0.56388888888888888</v>
      </c>
      <c r="F2175" s="48">
        <v>0.57222222222222219</v>
      </c>
      <c r="G2175" s="43">
        <f>(F2175-E2175)*1440</f>
        <v>11.999999999999957</v>
      </c>
      <c r="H2175" s="9" t="s">
        <v>4776</v>
      </c>
      <c r="I2175" s="9" t="s">
        <v>1120</v>
      </c>
      <c r="J2175" s="44">
        <v>2.7</v>
      </c>
      <c r="K2175" s="60">
        <v>5.4</v>
      </c>
      <c r="L2175" s="56">
        <v>4.46</v>
      </c>
      <c r="M2175" s="14">
        <f>K2175-L2175</f>
        <v>0.94000000000000039</v>
      </c>
      <c r="N2175" s="15">
        <f>IFERROR(M2175/K2175,0)</f>
        <v>0.17407407407407413</v>
      </c>
      <c r="O2175" s="14">
        <f>IFERROR(L2175/J2175,0)</f>
        <v>1.6518518518518517</v>
      </c>
      <c r="P2175" s="14">
        <f>IFERROR(L2175/G2175,0)</f>
        <v>0.37166666666666798</v>
      </c>
    </row>
    <row r="2176" spans="1:19" x14ac:dyDescent="0.3">
      <c r="A2176" s="9" t="s">
        <v>4508</v>
      </c>
      <c r="B2176" s="9" t="s">
        <v>26</v>
      </c>
      <c r="C2176" s="9" t="s">
        <v>26</v>
      </c>
      <c r="D2176" s="52">
        <v>46237</v>
      </c>
      <c r="E2176" s="48">
        <v>0.57708333333333328</v>
      </c>
      <c r="F2176" s="48">
        <v>0.59166666666666667</v>
      </c>
      <c r="G2176" s="43">
        <f>(F2176-E2176)*1440</f>
        <v>21.000000000000085</v>
      </c>
      <c r="H2176" s="9" t="s">
        <v>1120</v>
      </c>
      <c r="I2176" s="9" t="s">
        <v>4777</v>
      </c>
      <c r="J2176" s="44">
        <v>9.4</v>
      </c>
      <c r="K2176" s="60">
        <v>9.52</v>
      </c>
      <c r="L2176" s="56">
        <v>7.01</v>
      </c>
      <c r="M2176" s="14">
        <f>K2176-L2176</f>
        <v>2.5099999999999998</v>
      </c>
      <c r="N2176" s="15">
        <f>IFERROR(M2176/K2176,0)</f>
        <v>0.26365546218487396</v>
      </c>
      <c r="O2176" s="14">
        <f>IFERROR(L2176/J2176,0)</f>
        <v>0.74574468085106382</v>
      </c>
      <c r="P2176" s="14">
        <f>IFERROR(L2176/G2176,0)</f>
        <v>0.33380952380952245</v>
      </c>
    </row>
    <row r="2177" spans="1:16" x14ac:dyDescent="0.3">
      <c r="A2177" s="9" t="s">
        <v>4509</v>
      </c>
      <c r="B2177" s="9" t="s">
        <v>26</v>
      </c>
      <c r="C2177" s="9" t="s">
        <v>26</v>
      </c>
      <c r="D2177" s="52">
        <v>46237</v>
      </c>
      <c r="E2177" s="48">
        <v>0.63263888888888886</v>
      </c>
      <c r="F2177" s="48">
        <v>0.6430555555555556</v>
      </c>
      <c r="G2177" s="43">
        <f>(F2177-E2177)*1440</f>
        <v>15.000000000000107</v>
      </c>
      <c r="H2177" s="9" t="s">
        <v>569</v>
      </c>
      <c r="I2177" s="9" t="s">
        <v>4778</v>
      </c>
      <c r="J2177" s="44">
        <v>9</v>
      </c>
      <c r="K2177" s="60">
        <v>7.9</v>
      </c>
      <c r="L2177" s="56">
        <v>6.17</v>
      </c>
      <c r="M2177" s="14">
        <f>K2177-L2177</f>
        <v>1.7300000000000004</v>
      </c>
      <c r="N2177" s="15">
        <f>IFERROR(M2177/K2177,0)</f>
        <v>0.21898734177215196</v>
      </c>
      <c r="O2177" s="14">
        <f>IFERROR(L2177/J2177,0)</f>
        <v>0.68555555555555558</v>
      </c>
      <c r="P2177" s="14">
        <f>IFERROR(L2177/G2177,0)</f>
        <v>0.41133333333333039</v>
      </c>
    </row>
    <row r="2178" spans="1:16" x14ac:dyDescent="0.3">
      <c r="A2178" s="9" t="s">
        <v>4510</v>
      </c>
      <c r="B2178" s="9" t="s">
        <v>26</v>
      </c>
      <c r="C2178" s="67" t="s">
        <v>27</v>
      </c>
      <c r="D2178" s="52">
        <v>46237</v>
      </c>
      <c r="E2178" s="48">
        <v>0.64513888888888882</v>
      </c>
      <c r="F2178" s="48">
        <v>0.65208333333333335</v>
      </c>
      <c r="G2178" s="43">
        <f>(F2178-E2178)*1440</f>
        <v>10.000000000000124</v>
      </c>
      <c r="H2178" s="9" t="s">
        <v>4778</v>
      </c>
      <c r="I2178" s="9" t="s">
        <v>4779</v>
      </c>
      <c r="J2178" s="44">
        <v>5.8</v>
      </c>
      <c r="K2178" s="60">
        <v>5.41</v>
      </c>
      <c r="L2178" s="56">
        <v>4.0599999999999996</v>
      </c>
      <c r="M2178" s="14">
        <f>K2178-L2178</f>
        <v>1.3500000000000005</v>
      </c>
      <c r="N2178" s="15">
        <f>IFERROR(M2178/K2178,0)</f>
        <v>0.24953789279112765</v>
      </c>
      <c r="O2178" s="14">
        <f>IFERROR(L2178/J2178,0)</f>
        <v>0.7</v>
      </c>
      <c r="P2178" s="14">
        <f>IFERROR(L2178/G2178,0)</f>
        <v>0.40599999999999492</v>
      </c>
    </row>
    <row r="2179" spans="1:16" x14ac:dyDescent="0.3">
      <c r="A2179" s="9" t="s">
        <v>4511</v>
      </c>
      <c r="B2179" s="9" t="s">
        <v>26</v>
      </c>
      <c r="C2179" s="9" t="s">
        <v>27</v>
      </c>
      <c r="D2179" s="52">
        <v>46237</v>
      </c>
      <c r="E2179" s="48">
        <v>0.67291666666666661</v>
      </c>
      <c r="F2179" s="48">
        <v>0.67708333333333337</v>
      </c>
      <c r="G2179" s="43">
        <f>(F2179-E2179)*1440</f>
        <v>6.0000000000001386</v>
      </c>
      <c r="H2179" s="9" t="s">
        <v>4780</v>
      </c>
      <c r="I2179" s="9" t="s">
        <v>818</v>
      </c>
      <c r="J2179" s="44">
        <v>3.6</v>
      </c>
      <c r="K2179" s="60">
        <v>5.01</v>
      </c>
      <c r="L2179" s="56">
        <v>4.1399999999999997</v>
      </c>
      <c r="M2179" s="14">
        <f>K2179-L2179</f>
        <v>0.87000000000000011</v>
      </c>
      <c r="N2179" s="15">
        <f>IFERROR(M2179/K2179,0)</f>
        <v>0.17365269461077848</v>
      </c>
      <c r="O2179" s="14">
        <f>IFERROR(L2179/J2179,0)</f>
        <v>1.1499999999999999</v>
      </c>
      <c r="P2179" s="14">
        <f>IFERROR(L2179/G2179,0)</f>
        <v>0.68999999999998396</v>
      </c>
    </row>
    <row r="2180" spans="1:16" x14ac:dyDescent="0.3">
      <c r="A2180" s="9" t="s">
        <v>4512</v>
      </c>
      <c r="B2180" s="9" t="s">
        <v>26</v>
      </c>
      <c r="C2180" s="9" t="s">
        <v>27</v>
      </c>
      <c r="D2180" s="52">
        <v>46237</v>
      </c>
      <c r="E2180" s="48">
        <v>0.70208333333333339</v>
      </c>
      <c r="F2180" s="48">
        <v>0.71597222222222223</v>
      </c>
      <c r="G2180" s="43">
        <f>(F2180-E2180)*1440</f>
        <v>19.999999999999929</v>
      </c>
      <c r="H2180" s="9" t="s">
        <v>565</v>
      </c>
      <c r="I2180" s="9" t="s">
        <v>852</v>
      </c>
      <c r="J2180" s="44">
        <v>9</v>
      </c>
      <c r="K2180" s="60">
        <v>7.97</v>
      </c>
      <c r="L2180" s="56">
        <v>5.98</v>
      </c>
      <c r="M2180" s="14">
        <f>K2180-L2180</f>
        <v>1.9899999999999993</v>
      </c>
      <c r="N2180" s="15">
        <f>IFERROR(M2180/K2180,0)</f>
        <v>0.24968632371392716</v>
      </c>
      <c r="O2180" s="14">
        <f>IFERROR(L2180/J2180,0)</f>
        <v>0.6644444444444445</v>
      </c>
      <c r="P2180" s="14">
        <f>IFERROR(L2180/G2180,0)</f>
        <v>0.2990000000000011</v>
      </c>
    </row>
    <row r="2181" spans="1:16" x14ac:dyDescent="0.3">
      <c r="A2181" s="9" t="s">
        <v>4513</v>
      </c>
      <c r="B2181" s="9" t="s">
        <v>26</v>
      </c>
      <c r="C2181" s="9" t="s">
        <v>27</v>
      </c>
      <c r="D2181" s="52">
        <v>46237</v>
      </c>
      <c r="E2181" s="48">
        <v>0.72499999999999998</v>
      </c>
      <c r="F2181" s="48">
        <v>0.73541666666666661</v>
      </c>
      <c r="G2181" s="43">
        <f>(F2181-E2181)*1440</f>
        <v>14.999999999999947</v>
      </c>
      <c r="H2181" s="9" t="s">
        <v>2152</v>
      </c>
      <c r="I2181" s="9" t="s">
        <v>2850</v>
      </c>
      <c r="J2181" s="44">
        <v>8.4</v>
      </c>
      <c r="K2181" s="60">
        <v>6.97</v>
      </c>
      <c r="L2181" s="56">
        <v>5.23</v>
      </c>
      <c r="M2181" s="14">
        <f>K2181-L2181</f>
        <v>1.7399999999999993</v>
      </c>
      <c r="N2181" s="15">
        <f>IFERROR(M2181/K2181,0)</f>
        <v>0.2496413199426111</v>
      </c>
      <c r="O2181" s="14">
        <f>IFERROR(L2181/J2181,0)</f>
        <v>0.62261904761904763</v>
      </c>
      <c r="P2181" s="14">
        <f>IFERROR(L2181/G2181,0)</f>
        <v>0.34866666666666796</v>
      </c>
    </row>
    <row r="2182" spans="1:16" x14ac:dyDescent="0.3">
      <c r="A2182" s="9" t="s">
        <v>4514</v>
      </c>
      <c r="B2182" s="9" t="s">
        <v>26</v>
      </c>
      <c r="C2182" s="9" t="s">
        <v>27</v>
      </c>
      <c r="D2182" s="52">
        <v>46237</v>
      </c>
      <c r="E2182" s="48">
        <v>0.79999999999999993</v>
      </c>
      <c r="F2182" s="48">
        <v>0.80972222222222223</v>
      </c>
      <c r="G2182" s="43">
        <f>(F2182-E2182)*1440</f>
        <v>14.00000000000011</v>
      </c>
      <c r="H2182" s="9" t="s">
        <v>642</v>
      </c>
      <c r="I2182" s="9" t="s">
        <v>742</v>
      </c>
      <c r="J2182" s="44">
        <v>7.1</v>
      </c>
      <c r="K2182" s="60">
        <v>6.31</v>
      </c>
      <c r="L2182" s="56">
        <v>4.7300000000000004</v>
      </c>
      <c r="M2182" s="14">
        <f>K2182-L2182</f>
        <v>1.5799999999999992</v>
      </c>
      <c r="N2182" s="15">
        <f>IFERROR(M2182/K2182,0)</f>
        <v>0.25039619651347056</v>
      </c>
      <c r="O2182" s="14">
        <f>IFERROR(L2182/J2182,0)</f>
        <v>0.66619718309859166</v>
      </c>
      <c r="P2182" s="14">
        <f>IFERROR(L2182/G2182,0)</f>
        <v>0.33785714285714025</v>
      </c>
    </row>
    <row r="2183" spans="1:16" x14ac:dyDescent="0.3">
      <c r="A2183" s="9" t="s">
        <v>4515</v>
      </c>
      <c r="B2183" s="9" t="s">
        <v>26</v>
      </c>
      <c r="C2183" s="9" t="s">
        <v>26</v>
      </c>
      <c r="D2183" s="52">
        <v>46237</v>
      </c>
      <c r="E2183" s="48">
        <v>0.83472222222222225</v>
      </c>
      <c r="F2183" s="48">
        <v>0.84027777777777779</v>
      </c>
      <c r="G2183" s="43">
        <f>(F2183-E2183)*1440</f>
        <v>7.9999999999999716</v>
      </c>
      <c r="H2183" s="9" t="s">
        <v>4781</v>
      </c>
      <c r="I2183" s="9" t="s">
        <v>1736</v>
      </c>
      <c r="J2183" s="44">
        <v>3.6</v>
      </c>
      <c r="K2183" s="60">
        <v>3.69</v>
      </c>
      <c r="L2183" s="56">
        <v>3.46</v>
      </c>
      <c r="M2183" s="14">
        <f>K2183-L2183</f>
        <v>0.22999999999999998</v>
      </c>
      <c r="N2183" s="15">
        <f>IFERROR(M2183/K2183,0)</f>
        <v>6.2330623306233061E-2</v>
      </c>
      <c r="O2183" s="14">
        <f>IFERROR(L2183/J2183,0)</f>
        <v>0.96111111111111103</v>
      </c>
      <c r="P2183" s="14">
        <f>IFERROR(L2183/G2183,0)</f>
        <v>0.43250000000000155</v>
      </c>
    </row>
    <row r="2184" spans="1:16" x14ac:dyDescent="0.3">
      <c r="A2184" s="9" t="s">
        <v>4516</v>
      </c>
      <c r="B2184" s="9" t="s">
        <v>26</v>
      </c>
      <c r="C2184" s="9" t="s">
        <v>27</v>
      </c>
      <c r="D2184" s="52">
        <v>46237</v>
      </c>
      <c r="E2184" s="48">
        <v>0.84305555555555556</v>
      </c>
      <c r="F2184" s="48">
        <v>0.85138888888888886</v>
      </c>
      <c r="G2184" s="43">
        <f>(F2184-E2184)*1440</f>
        <v>11.999999999999957</v>
      </c>
      <c r="H2184" s="9" t="s">
        <v>1725</v>
      </c>
      <c r="I2184" s="9" t="s">
        <v>4782</v>
      </c>
      <c r="J2184" s="44">
        <v>6.1</v>
      </c>
      <c r="K2184" s="60">
        <v>5.21</v>
      </c>
      <c r="L2184" s="56">
        <v>3.91</v>
      </c>
      <c r="M2184" s="14">
        <f>K2184-L2184</f>
        <v>1.2999999999999998</v>
      </c>
      <c r="N2184" s="15">
        <f>IFERROR(M2184/K2184,0)</f>
        <v>0.24952015355086368</v>
      </c>
      <c r="O2184" s="14">
        <f>IFERROR(L2184/J2184,0)</f>
        <v>0.64098360655737707</v>
      </c>
      <c r="P2184" s="14">
        <f>IFERROR(L2184/G2184,0)</f>
        <v>0.32583333333333453</v>
      </c>
    </row>
    <row r="2185" spans="1:16" x14ac:dyDescent="0.3">
      <c r="A2185" s="9" t="s">
        <v>4517</v>
      </c>
      <c r="B2185" s="9" t="s">
        <v>26</v>
      </c>
      <c r="C2185" s="9" t="s">
        <v>27</v>
      </c>
      <c r="D2185" s="52">
        <v>46237</v>
      </c>
      <c r="E2185" s="48">
        <v>0.87291666666666667</v>
      </c>
      <c r="F2185" s="48">
        <v>0.88541666666666663</v>
      </c>
      <c r="G2185" s="43">
        <f>(F2185-E2185)*1440</f>
        <v>17.999999999999936</v>
      </c>
      <c r="H2185" s="9" t="s">
        <v>721</v>
      </c>
      <c r="I2185" s="9" t="s">
        <v>4783</v>
      </c>
      <c r="J2185" s="44">
        <v>18.3</v>
      </c>
      <c r="K2185" s="60">
        <v>10.97</v>
      </c>
      <c r="L2185" s="56">
        <v>8.23</v>
      </c>
      <c r="M2185" s="14">
        <f>K2185-L2185</f>
        <v>2.74</v>
      </c>
      <c r="N2185" s="15">
        <f>IFERROR(M2185/K2185,0)</f>
        <v>0.24977210574293529</v>
      </c>
      <c r="O2185" s="14">
        <f>IFERROR(L2185/J2185,0)</f>
        <v>0.44972677595628419</v>
      </c>
      <c r="P2185" s="14">
        <f>IFERROR(L2185/G2185,0)</f>
        <v>0.45722222222222386</v>
      </c>
    </row>
    <row r="2186" spans="1:16" x14ac:dyDescent="0.3">
      <c r="A2186" s="9" t="s">
        <v>4518</v>
      </c>
      <c r="B2186" s="9" t="s">
        <v>26</v>
      </c>
      <c r="C2186" s="9" t="s">
        <v>27</v>
      </c>
      <c r="D2186" s="52">
        <v>46238</v>
      </c>
      <c r="E2186" s="48">
        <v>0.55277777777777781</v>
      </c>
      <c r="F2186" s="48">
        <v>0.57152777777777775</v>
      </c>
      <c r="G2186" s="43">
        <f>(F2186-E2186)*1440</f>
        <v>26.999999999999904</v>
      </c>
      <c r="H2186" s="9" t="s">
        <v>4784</v>
      </c>
      <c r="I2186" s="9" t="s">
        <v>4785</v>
      </c>
      <c r="J2186" s="44">
        <v>22.6</v>
      </c>
      <c r="K2186" s="60">
        <v>16.5</v>
      </c>
      <c r="L2186" s="56">
        <v>12.37</v>
      </c>
      <c r="M2186" s="14">
        <f>K2186-L2186</f>
        <v>4.1300000000000008</v>
      </c>
      <c r="N2186" s="15">
        <f>IFERROR(M2186/K2186,0)</f>
        <v>0.25030303030303036</v>
      </c>
      <c r="O2186" s="14">
        <f>IFERROR(L2186/J2186,0)</f>
        <v>0.54734513274336272</v>
      </c>
      <c r="P2186" s="14">
        <f>IFERROR(L2186/G2186,0)</f>
        <v>0.45814814814814975</v>
      </c>
    </row>
    <row r="2187" spans="1:16" x14ac:dyDescent="0.3">
      <c r="A2187" s="9" t="s">
        <v>4519</v>
      </c>
      <c r="B2187" s="9" t="s">
        <v>26</v>
      </c>
      <c r="C2187" s="9" t="s">
        <v>27</v>
      </c>
      <c r="D2187" s="52">
        <v>46238</v>
      </c>
      <c r="E2187" s="48">
        <v>0.5756944444444444</v>
      </c>
      <c r="F2187" s="48">
        <v>0.59097222222222223</v>
      </c>
      <c r="G2187" s="43">
        <f>(F2187-E2187)*1440</f>
        <v>22.000000000000082</v>
      </c>
      <c r="H2187" s="9" t="s">
        <v>4786</v>
      </c>
      <c r="I2187" s="9" t="s">
        <v>2487</v>
      </c>
      <c r="J2187" s="44">
        <v>11.5</v>
      </c>
      <c r="K2187" s="60">
        <v>8.9700000000000006</v>
      </c>
      <c r="L2187" s="56">
        <v>6.73</v>
      </c>
      <c r="M2187" s="14">
        <f>K2187-L2187</f>
        <v>2.2400000000000002</v>
      </c>
      <c r="N2187" s="15">
        <f>IFERROR(M2187/K2187,0)</f>
        <v>0.24972129319955408</v>
      </c>
      <c r="O2187" s="14">
        <f>IFERROR(L2187/J2187,0)</f>
        <v>0.58521739130434791</v>
      </c>
      <c r="P2187" s="14">
        <f>IFERROR(L2187/G2187,0)</f>
        <v>0.3059090909090898</v>
      </c>
    </row>
    <row r="2188" spans="1:16" x14ac:dyDescent="0.3">
      <c r="A2188" s="9" t="s">
        <v>4520</v>
      </c>
      <c r="B2188" s="9" t="s">
        <v>26</v>
      </c>
      <c r="C2188" s="9" t="s">
        <v>26</v>
      </c>
      <c r="D2188" s="52">
        <v>46238</v>
      </c>
      <c r="E2188" s="48">
        <v>0.59791666666666665</v>
      </c>
      <c r="F2188" s="48">
        <v>0.61388888888888882</v>
      </c>
      <c r="G2188" s="43">
        <f>(F2188-E2188)*1440</f>
        <v>22.999999999999918</v>
      </c>
      <c r="H2188" s="9" t="s">
        <v>4787</v>
      </c>
      <c r="I2188" s="9" t="s">
        <v>852</v>
      </c>
      <c r="J2188" s="44">
        <v>11.5</v>
      </c>
      <c r="K2188" s="60">
        <v>6.92</v>
      </c>
      <c r="L2188" s="56">
        <v>7.42</v>
      </c>
      <c r="M2188" s="14">
        <f>K2188-L2188</f>
        <v>-0.5</v>
      </c>
      <c r="N2188" s="15">
        <f>IFERROR(M2188/K2188,0)</f>
        <v>-7.2254335260115612E-2</v>
      </c>
      <c r="O2188" s="14">
        <f>IFERROR(L2188/J2188,0)</f>
        <v>0.64521739130434785</v>
      </c>
      <c r="P2188" s="14">
        <f>IFERROR(L2188/G2188,0)</f>
        <v>0.32260869565217504</v>
      </c>
    </row>
    <row r="2189" spans="1:16" x14ac:dyDescent="0.3">
      <c r="A2189" s="9" t="s">
        <v>4521</v>
      </c>
      <c r="B2189" s="9" t="s">
        <v>26</v>
      </c>
      <c r="C2189" s="9" t="s">
        <v>26</v>
      </c>
      <c r="D2189" s="52">
        <v>46238</v>
      </c>
      <c r="E2189" s="48">
        <v>0.63541666666666663</v>
      </c>
      <c r="F2189" s="48">
        <v>0.64236111111111105</v>
      </c>
      <c r="G2189" s="43">
        <f>(F2189-E2189)*1440</f>
        <v>9.9999999999999645</v>
      </c>
      <c r="H2189" s="9" t="s">
        <v>4788</v>
      </c>
      <c r="I2189" s="9" t="s">
        <v>4172</v>
      </c>
      <c r="J2189" s="44">
        <v>6.5</v>
      </c>
      <c r="K2189" s="60">
        <v>5.73</v>
      </c>
      <c r="L2189" s="56">
        <v>4.3</v>
      </c>
      <c r="M2189" s="14">
        <f>K2189-L2189</f>
        <v>1.4300000000000006</v>
      </c>
      <c r="N2189" s="15">
        <f>IFERROR(M2189/K2189,0)</f>
        <v>0.24956369982548002</v>
      </c>
      <c r="O2189" s="14">
        <f>IFERROR(L2189/J2189,0)</f>
        <v>0.66153846153846152</v>
      </c>
      <c r="P2189" s="14">
        <f>IFERROR(L2189/G2189,0)</f>
        <v>0.43000000000000149</v>
      </c>
    </row>
    <row r="2190" spans="1:16" x14ac:dyDescent="0.3">
      <c r="A2190" s="9" t="s">
        <v>4522</v>
      </c>
      <c r="B2190" s="9" t="s">
        <v>26</v>
      </c>
      <c r="C2190" s="9" t="s">
        <v>26</v>
      </c>
      <c r="D2190" s="52">
        <v>46238</v>
      </c>
      <c r="E2190" s="48">
        <v>0.72361111111111109</v>
      </c>
      <c r="F2190" s="48">
        <v>0.73125000000000007</v>
      </c>
      <c r="G2190" s="43">
        <f>(F2190-E2190)*1440</f>
        <v>11.000000000000121</v>
      </c>
      <c r="H2190" s="9" t="s">
        <v>2465</v>
      </c>
      <c r="I2190" s="9" t="s">
        <v>242</v>
      </c>
      <c r="J2190" s="44">
        <v>4.5999999999999996</v>
      </c>
      <c r="K2190" s="60">
        <v>5.72</v>
      </c>
      <c r="L2190" s="56">
        <v>4.29</v>
      </c>
      <c r="M2190" s="14">
        <f>K2190-L2190</f>
        <v>1.4299999999999997</v>
      </c>
      <c r="N2190" s="15">
        <f>IFERROR(M2190/K2190,0)</f>
        <v>0.24999999999999997</v>
      </c>
      <c r="O2190" s="14">
        <f>IFERROR(L2190/J2190,0)</f>
        <v>0.93260869565217397</v>
      </c>
      <c r="P2190" s="14">
        <f>IFERROR(L2190/G2190,0)</f>
        <v>0.38999999999999574</v>
      </c>
    </row>
    <row r="2191" spans="1:16" x14ac:dyDescent="0.3">
      <c r="A2191" s="9" t="s">
        <v>4523</v>
      </c>
      <c r="B2191" s="9" t="s">
        <v>26</v>
      </c>
      <c r="C2191" s="9" t="s">
        <v>26</v>
      </c>
      <c r="D2191" s="52">
        <v>46238</v>
      </c>
      <c r="E2191" s="48">
        <v>0.77847222222222223</v>
      </c>
      <c r="F2191" s="48">
        <v>0.79305555555555562</v>
      </c>
      <c r="G2191" s="43">
        <f>(F2191-E2191)*1440</f>
        <v>21.000000000000085</v>
      </c>
      <c r="H2191" s="9" t="s">
        <v>214</v>
      </c>
      <c r="I2191" s="9" t="s">
        <v>4789</v>
      </c>
      <c r="J2191" s="44">
        <v>8.4</v>
      </c>
      <c r="K2191" s="60">
        <v>5.97</v>
      </c>
      <c r="L2191" s="56">
        <v>6.15</v>
      </c>
      <c r="M2191" s="14">
        <f>K2191-L2191</f>
        <v>-0.1800000000000006</v>
      </c>
      <c r="N2191" s="15">
        <f>IFERROR(M2191/K2191,0)</f>
        <v>-3.0150753768844324E-2</v>
      </c>
      <c r="O2191" s="14">
        <f>IFERROR(L2191/J2191,0)</f>
        <v>0.73214285714285721</v>
      </c>
      <c r="P2191" s="14">
        <f>IFERROR(L2191/G2191,0)</f>
        <v>0.29285714285714171</v>
      </c>
    </row>
    <row r="2192" spans="1:16" x14ac:dyDescent="0.3">
      <c r="A2192" s="9" t="s">
        <v>4524</v>
      </c>
      <c r="B2192" s="9" t="s">
        <v>26</v>
      </c>
      <c r="C2192" s="9" t="s">
        <v>26</v>
      </c>
      <c r="D2192" s="52">
        <v>46238</v>
      </c>
      <c r="E2192" s="48">
        <v>0.80138888888888893</v>
      </c>
      <c r="F2192" s="48">
        <v>0.81874999999999998</v>
      </c>
      <c r="G2192" s="43">
        <f>(F2192-E2192)*1440</f>
        <v>24.999999999999911</v>
      </c>
      <c r="H2192" s="9" t="s">
        <v>4790</v>
      </c>
      <c r="I2192" s="9" t="s">
        <v>1120</v>
      </c>
      <c r="J2192" s="44">
        <v>11.2</v>
      </c>
      <c r="K2192" s="60">
        <v>7.15</v>
      </c>
      <c r="L2192" s="56">
        <v>7.66</v>
      </c>
      <c r="M2192" s="14">
        <f>K2192-L2192</f>
        <v>-0.50999999999999979</v>
      </c>
      <c r="N2192" s="15">
        <f>IFERROR(M2192/K2192,0)</f>
        <v>-7.1328671328671295E-2</v>
      </c>
      <c r="O2192" s="14">
        <f>IFERROR(L2192/J2192,0)</f>
        <v>0.68392857142857144</v>
      </c>
      <c r="P2192" s="14">
        <f>IFERROR(L2192/G2192,0)</f>
        <v>0.30640000000000112</v>
      </c>
    </row>
    <row r="2193" spans="1:16" x14ac:dyDescent="0.3">
      <c r="A2193" s="9" t="s">
        <v>4525</v>
      </c>
      <c r="B2193" s="9" t="s">
        <v>26</v>
      </c>
      <c r="C2193" s="9" t="s">
        <v>26</v>
      </c>
      <c r="D2193" s="52">
        <v>46238</v>
      </c>
      <c r="E2193" s="48">
        <v>0.81944444444444453</v>
      </c>
      <c r="F2193" s="48">
        <v>0.83472222222222225</v>
      </c>
      <c r="G2193" s="43">
        <f>(F2193-E2193)*1440</f>
        <v>21.999999999999922</v>
      </c>
      <c r="H2193" s="9" t="s">
        <v>1120</v>
      </c>
      <c r="I2193" s="9" t="s">
        <v>4791</v>
      </c>
      <c r="J2193" s="44">
        <v>14.7</v>
      </c>
      <c r="K2193" s="60">
        <v>13.08</v>
      </c>
      <c r="L2193" s="56">
        <v>9.81</v>
      </c>
      <c r="M2193" s="14">
        <f>K2193-L2193</f>
        <v>3.2699999999999996</v>
      </c>
      <c r="N2193" s="15">
        <f>IFERROR(M2193/K2193,0)</f>
        <v>0.24999999999999997</v>
      </c>
      <c r="O2193" s="14">
        <f>IFERROR(L2193/J2193,0)</f>
        <v>0.66734693877551032</v>
      </c>
      <c r="P2193" s="14">
        <f>IFERROR(L2193/G2193,0)</f>
        <v>0.44590909090909253</v>
      </c>
    </row>
    <row r="2194" spans="1:16" x14ac:dyDescent="0.3">
      <c r="A2194" s="9" t="s">
        <v>4526</v>
      </c>
      <c r="B2194" s="9" t="s">
        <v>18</v>
      </c>
      <c r="C2194" s="9" t="s">
        <v>196</v>
      </c>
      <c r="D2194" s="52">
        <v>46238</v>
      </c>
      <c r="E2194" s="48">
        <v>0.65069444444444446</v>
      </c>
      <c r="F2194" s="48">
        <v>0.65625</v>
      </c>
      <c r="G2194" s="43">
        <f>(F2194-E2194)*1440</f>
        <v>7.9999999999999716</v>
      </c>
      <c r="H2194" s="9" t="s">
        <v>1178</v>
      </c>
      <c r="I2194" s="9" t="s">
        <v>1289</v>
      </c>
      <c r="J2194" s="44">
        <v>6.77</v>
      </c>
      <c r="K2194" s="60">
        <v>5.99</v>
      </c>
      <c r="L2194" s="56">
        <v>4.0999999999999996</v>
      </c>
      <c r="M2194" s="14">
        <f>K2194-L2194</f>
        <v>1.8900000000000006</v>
      </c>
      <c r="N2194" s="15">
        <f>IFERROR(M2194/K2194,0)</f>
        <v>0.31552587646076802</v>
      </c>
      <c r="O2194" s="14">
        <f>IFERROR(L2194/J2194,0)</f>
        <v>0.60561299852289507</v>
      </c>
      <c r="P2194" s="14">
        <f>IFERROR(L2194/G2194,0)</f>
        <v>0.51250000000000173</v>
      </c>
    </row>
    <row r="2195" spans="1:16" x14ac:dyDescent="0.3">
      <c r="A2195" s="9" t="s">
        <v>4527</v>
      </c>
      <c r="B2195" s="9" t="s">
        <v>18</v>
      </c>
      <c r="C2195" s="9" t="s">
        <v>196</v>
      </c>
      <c r="D2195" s="52">
        <v>46238</v>
      </c>
      <c r="E2195" s="48">
        <v>0.65833333333333333</v>
      </c>
      <c r="F2195" s="48">
        <v>0.66597222222222219</v>
      </c>
      <c r="G2195" s="43">
        <f>(F2195-E2195)*1440</f>
        <v>10.999999999999961</v>
      </c>
      <c r="H2195" s="9" t="s">
        <v>4792</v>
      </c>
      <c r="I2195" s="9" t="s">
        <v>4793</v>
      </c>
      <c r="J2195" s="44">
        <v>5.98</v>
      </c>
      <c r="K2195" s="60">
        <v>4.99</v>
      </c>
      <c r="L2195" s="56">
        <v>4.6100000000000003</v>
      </c>
      <c r="M2195" s="14">
        <f>K2195-L2195</f>
        <v>0.37999999999999989</v>
      </c>
      <c r="N2195" s="15">
        <f>IFERROR(M2195/K2195,0)</f>
        <v>7.6152304609218416E-2</v>
      </c>
      <c r="O2195" s="14">
        <f>IFERROR(L2195/J2195,0)</f>
        <v>0.77090301003344486</v>
      </c>
      <c r="P2195" s="14">
        <f>IFERROR(L2195/G2195,0)</f>
        <v>0.41909090909091062</v>
      </c>
    </row>
    <row r="2196" spans="1:16" x14ac:dyDescent="0.3">
      <c r="A2196" s="9" t="s">
        <v>4528</v>
      </c>
      <c r="B2196" s="9" t="s">
        <v>18</v>
      </c>
      <c r="C2196" s="9" t="s">
        <v>184</v>
      </c>
      <c r="D2196" s="52">
        <v>46238</v>
      </c>
      <c r="E2196" s="48">
        <v>0.66875000000000007</v>
      </c>
      <c r="F2196" s="48">
        <v>0.68680555555555556</v>
      </c>
      <c r="G2196" s="43">
        <f>(F2196-E2196)*1440</f>
        <v>25.999999999999908</v>
      </c>
      <c r="H2196" s="9" t="s">
        <v>852</v>
      </c>
      <c r="I2196" s="9" t="s">
        <v>2591</v>
      </c>
      <c r="J2196" s="44">
        <v>14.36</v>
      </c>
      <c r="K2196" s="60">
        <v>8.94</v>
      </c>
      <c r="L2196" s="56">
        <v>7.33</v>
      </c>
      <c r="M2196" s="14">
        <f>K2196-L2196</f>
        <v>1.6099999999999994</v>
      </c>
      <c r="N2196" s="15">
        <f>IFERROR(M2196/K2196,0)</f>
        <v>0.18008948545861292</v>
      </c>
      <c r="O2196" s="14">
        <f>IFERROR(L2196/J2196,0)</f>
        <v>0.51044568245125355</v>
      </c>
      <c r="P2196" s="14">
        <f>IFERROR(L2196/G2196,0)</f>
        <v>0.28192307692307794</v>
      </c>
    </row>
    <row r="2197" spans="1:16" x14ac:dyDescent="0.3">
      <c r="A2197" s="9" t="s">
        <v>4529</v>
      </c>
      <c r="B2197" s="9" t="s">
        <v>18</v>
      </c>
      <c r="C2197" s="9" t="s">
        <v>184</v>
      </c>
      <c r="D2197" s="52">
        <v>46238</v>
      </c>
      <c r="E2197" s="48">
        <v>0.69027777777777777</v>
      </c>
      <c r="F2197" s="48">
        <v>0.7090277777777777</v>
      </c>
      <c r="G2197" s="43">
        <f>(F2197-E2197)*1440</f>
        <v>26.999999999999904</v>
      </c>
      <c r="H2197" s="9" t="s">
        <v>4794</v>
      </c>
      <c r="I2197" s="9" t="s">
        <v>854</v>
      </c>
      <c r="J2197" s="44">
        <v>14.58</v>
      </c>
      <c r="K2197" s="60">
        <v>8.07</v>
      </c>
      <c r="L2197" s="56">
        <v>7.29</v>
      </c>
      <c r="M2197" s="14">
        <f>K2197-L2197</f>
        <v>0.78000000000000025</v>
      </c>
      <c r="N2197" s="15">
        <f>IFERROR(M2197/K2197,0)</f>
        <v>9.6654275092936837E-2</v>
      </c>
      <c r="O2197" s="14">
        <f>IFERROR(L2197/J2197,0)</f>
        <v>0.5</v>
      </c>
      <c r="P2197" s="14">
        <f>IFERROR(L2197/G2197,0)</f>
        <v>0.27000000000000096</v>
      </c>
    </row>
    <row r="2198" spans="1:16" x14ac:dyDescent="0.3">
      <c r="A2198" s="9" t="s">
        <v>4530</v>
      </c>
      <c r="B2198" s="9" t="s">
        <v>18</v>
      </c>
      <c r="C2198" s="9" t="s">
        <v>184</v>
      </c>
      <c r="D2198" s="52">
        <v>46238</v>
      </c>
      <c r="E2198" s="48">
        <v>0.75486111111111109</v>
      </c>
      <c r="F2198" s="48">
        <v>0.76250000000000007</v>
      </c>
      <c r="G2198" s="43">
        <f>(F2198-E2198)*1440</f>
        <v>11.000000000000121</v>
      </c>
      <c r="H2198" s="9" t="s">
        <v>4795</v>
      </c>
      <c r="I2198" s="9" t="s">
        <v>725</v>
      </c>
      <c r="J2198" s="44">
        <v>8.59</v>
      </c>
      <c r="K2198" s="60">
        <v>7.99</v>
      </c>
      <c r="L2198" s="56">
        <v>7.78</v>
      </c>
      <c r="M2198" s="14">
        <f>K2198-L2198</f>
        <v>0.20999999999999996</v>
      </c>
      <c r="N2198" s="15">
        <f>IFERROR(M2198/K2198,0)</f>
        <v>2.6282853566958694E-2</v>
      </c>
      <c r="O2198" s="14">
        <f>IFERROR(L2198/J2198,0)</f>
        <v>0.90570430733410945</v>
      </c>
      <c r="P2198" s="14">
        <f>IFERROR(L2198/G2198,0)</f>
        <v>0.7072727272727195</v>
      </c>
    </row>
    <row r="2199" spans="1:16" x14ac:dyDescent="0.3">
      <c r="A2199" s="9" t="s">
        <v>4531</v>
      </c>
      <c r="B2199" s="9" t="s">
        <v>18</v>
      </c>
      <c r="C2199" s="9" t="s">
        <v>184</v>
      </c>
      <c r="D2199" s="52">
        <v>46240</v>
      </c>
      <c r="E2199" s="48">
        <v>0.51111111111111118</v>
      </c>
      <c r="F2199" s="48">
        <v>0.52152777777777781</v>
      </c>
      <c r="G2199" s="43">
        <f>(F2199-E2199)*1440</f>
        <v>14.999999999999947</v>
      </c>
      <c r="H2199" s="9" t="s">
        <v>1960</v>
      </c>
      <c r="I2199" s="9" t="s">
        <v>1725</v>
      </c>
      <c r="J2199" s="44">
        <v>10.31</v>
      </c>
      <c r="K2199" s="60">
        <v>5.95</v>
      </c>
      <c r="L2199" s="56">
        <v>5.17</v>
      </c>
      <c r="M2199" s="14">
        <f>K2199-L2199</f>
        <v>0.78000000000000025</v>
      </c>
      <c r="N2199" s="15">
        <f>IFERROR(M2199/K2199,0)</f>
        <v>0.13109243697478995</v>
      </c>
      <c r="O2199" s="14">
        <f>IFERROR(L2199/J2199,0)</f>
        <v>0.50145489815712896</v>
      </c>
      <c r="P2199" s="14">
        <f>IFERROR(L2199/G2199,0)</f>
        <v>0.3446666666666679</v>
      </c>
    </row>
    <row r="2200" spans="1:16" x14ac:dyDescent="0.3">
      <c r="A2200" s="9" t="s">
        <v>4532</v>
      </c>
      <c r="B2200" s="9" t="s">
        <v>18</v>
      </c>
      <c r="C2200" s="9" t="s">
        <v>184</v>
      </c>
      <c r="D2200" s="52">
        <v>46240</v>
      </c>
      <c r="E2200" s="48">
        <v>0.52777777777777779</v>
      </c>
      <c r="F2200" s="48">
        <v>0.53749999999999998</v>
      </c>
      <c r="G2200" s="43">
        <f>(F2200-E2200)*1440</f>
        <v>13.99999999999995</v>
      </c>
      <c r="H2200" s="9" t="s">
        <v>840</v>
      </c>
      <c r="I2200" s="9" t="s">
        <v>4796</v>
      </c>
      <c r="J2200" s="44">
        <v>10.5</v>
      </c>
      <c r="K2200" s="60">
        <v>7.93</v>
      </c>
      <c r="L2200" s="56">
        <v>5.15</v>
      </c>
      <c r="M2200" s="14">
        <f>K2200-L2200</f>
        <v>2.7799999999999994</v>
      </c>
      <c r="N2200" s="15">
        <f>IFERROR(M2200/K2200,0)</f>
        <v>0.35056746532156363</v>
      </c>
      <c r="O2200" s="14">
        <f>IFERROR(L2200/J2200,0)</f>
        <v>0.49047619047619051</v>
      </c>
      <c r="P2200" s="14">
        <f>IFERROR(L2200/G2200,0)</f>
        <v>0.36785714285714421</v>
      </c>
    </row>
    <row r="2201" spans="1:16" x14ac:dyDescent="0.3">
      <c r="A2201" s="9" t="s">
        <v>4533</v>
      </c>
      <c r="B2201" s="9" t="s">
        <v>18</v>
      </c>
      <c r="C2201" s="9" t="s">
        <v>184</v>
      </c>
      <c r="D2201" s="52">
        <v>46240</v>
      </c>
      <c r="E2201" s="48">
        <v>0.54097222222222219</v>
      </c>
      <c r="F2201" s="48">
        <v>0.54513888888888895</v>
      </c>
      <c r="G2201" s="43">
        <f>(F2201-E2201)*1440</f>
        <v>6.0000000000001386</v>
      </c>
      <c r="H2201" s="9" t="s">
        <v>4772</v>
      </c>
      <c r="I2201" s="9" t="s">
        <v>605</v>
      </c>
      <c r="J2201" s="44">
        <v>5.84</v>
      </c>
      <c r="K2201" s="60">
        <v>3.93</v>
      </c>
      <c r="L2201" s="56">
        <v>3.44</v>
      </c>
      <c r="M2201" s="14">
        <f>K2201-L2201</f>
        <v>0.49000000000000021</v>
      </c>
      <c r="N2201" s="15">
        <f>IFERROR(M2201/K2201,0)</f>
        <v>0.12468193384223923</v>
      </c>
      <c r="O2201" s="14">
        <f>IFERROR(L2201/J2201,0)</f>
        <v>0.58904109589041098</v>
      </c>
      <c r="P2201" s="14">
        <f>IFERROR(L2201/G2201,0)</f>
        <v>0.57333333333332004</v>
      </c>
    </row>
    <row r="2202" spans="1:16" x14ac:dyDescent="0.3">
      <c r="A2202" s="9" t="s">
        <v>4534</v>
      </c>
      <c r="B2202" s="9" t="s">
        <v>18</v>
      </c>
      <c r="C2202" s="9" t="s">
        <v>184</v>
      </c>
      <c r="D2202" s="52">
        <v>46240</v>
      </c>
      <c r="E2202" s="48">
        <v>0.60416666666666663</v>
      </c>
      <c r="F2202" s="48">
        <v>0.62361111111111112</v>
      </c>
      <c r="G2202" s="43">
        <f>(F2202-E2202)*1440</f>
        <v>28.00000000000006</v>
      </c>
      <c r="H2202" s="9" t="s">
        <v>4797</v>
      </c>
      <c r="I2202" s="9" t="s">
        <v>582</v>
      </c>
      <c r="J2202" s="44">
        <v>21.44</v>
      </c>
      <c r="K2202" s="60">
        <v>12.29</v>
      </c>
      <c r="L2202" s="56">
        <v>8.3800000000000008</v>
      </c>
      <c r="M2202" s="14">
        <f>K2202-L2202</f>
        <v>3.9099999999999984</v>
      </c>
      <c r="N2202" s="15">
        <f>IFERROR(M2202/K2202,0)</f>
        <v>0.31814483319772163</v>
      </c>
      <c r="O2202" s="14">
        <f>IFERROR(L2202/J2202,0)</f>
        <v>0.39085820895522388</v>
      </c>
      <c r="P2202" s="14">
        <f>IFERROR(L2202/G2202,0)</f>
        <v>0.29928571428571366</v>
      </c>
    </row>
    <row r="2203" spans="1:16" x14ac:dyDescent="0.3">
      <c r="A2203" s="9" t="s">
        <v>4535</v>
      </c>
      <c r="B2203" s="9" t="s">
        <v>18</v>
      </c>
      <c r="C2203" s="9" t="s">
        <v>196</v>
      </c>
      <c r="D2203" s="52">
        <v>46240</v>
      </c>
      <c r="E2203" s="48">
        <v>0.64166666666666672</v>
      </c>
      <c r="F2203" s="48">
        <v>0.65069444444444446</v>
      </c>
      <c r="G2203" s="43">
        <f>(F2203-E2203)*1440</f>
        <v>12.999999999999954</v>
      </c>
      <c r="H2203" s="9" t="s">
        <v>3067</v>
      </c>
      <c r="I2203" s="9" t="s">
        <v>843</v>
      </c>
      <c r="J2203" s="44">
        <v>5.75</v>
      </c>
      <c r="K2203" s="60">
        <v>5.99</v>
      </c>
      <c r="L2203" s="56">
        <v>4.34</v>
      </c>
      <c r="M2203" s="14">
        <f>K2203-L2203</f>
        <v>1.6500000000000004</v>
      </c>
      <c r="N2203" s="15">
        <f>IFERROR(M2203/K2203,0)</f>
        <v>0.27545909849749589</v>
      </c>
      <c r="O2203" s="14">
        <f>IFERROR(L2203/J2203,0)</f>
        <v>0.75478260869565217</v>
      </c>
      <c r="P2203" s="14">
        <f>IFERROR(L2203/G2203,0)</f>
        <v>0.33384615384615501</v>
      </c>
    </row>
    <row r="2204" spans="1:16" x14ac:dyDescent="0.3">
      <c r="A2204" s="9" t="s">
        <v>4536</v>
      </c>
      <c r="B2204" s="9" t="s">
        <v>18</v>
      </c>
      <c r="C2204" s="9" t="s">
        <v>184</v>
      </c>
      <c r="D2204" s="52">
        <v>46240</v>
      </c>
      <c r="E2204" s="48">
        <v>0.66180555555555554</v>
      </c>
      <c r="F2204" s="48">
        <v>0.67708333333333337</v>
      </c>
      <c r="G2204" s="43">
        <f>(F2204-E2204)*1440</f>
        <v>22.000000000000082</v>
      </c>
      <c r="H2204" s="9" t="s">
        <v>1118</v>
      </c>
      <c r="I2204" s="9" t="s">
        <v>842</v>
      </c>
      <c r="J2204" s="44">
        <v>13.82</v>
      </c>
      <c r="K2204" s="60">
        <v>9.2200000000000006</v>
      </c>
      <c r="L2204" s="56">
        <v>5.82</v>
      </c>
      <c r="M2204" s="14">
        <f>K2204-L2204</f>
        <v>3.4000000000000004</v>
      </c>
      <c r="N2204" s="15">
        <f>IFERROR(M2204/K2204,0)</f>
        <v>0.36876355748373102</v>
      </c>
      <c r="O2204" s="14">
        <f>IFERROR(L2204/J2204,0)</f>
        <v>0.42112879884225762</v>
      </c>
      <c r="P2204" s="14">
        <f>IFERROR(L2204/G2204,0)</f>
        <v>0.26454545454545358</v>
      </c>
    </row>
    <row r="2205" spans="1:16" x14ac:dyDescent="0.3">
      <c r="A2205" s="9" t="s">
        <v>4537</v>
      </c>
      <c r="B2205" s="9" t="s">
        <v>18</v>
      </c>
      <c r="C2205" s="9" t="s">
        <v>196</v>
      </c>
      <c r="D2205" s="52">
        <v>46240</v>
      </c>
      <c r="E2205" s="48">
        <v>0.7368055555555556</v>
      </c>
      <c r="F2205" s="48">
        <v>0.74375000000000002</v>
      </c>
      <c r="G2205" s="43">
        <f>(F2205-E2205)*1440</f>
        <v>9.9999999999999645</v>
      </c>
      <c r="H2205" s="9" t="s">
        <v>243</v>
      </c>
      <c r="I2205" s="9" t="s">
        <v>729</v>
      </c>
      <c r="J2205" s="44">
        <v>5.2</v>
      </c>
      <c r="K2205" s="60">
        <v>5.98</v>
      </c>
      <c r="L2205" s="56">
        <v>4.54</v>
      </c>
      <c r="M2205" s="14">
        <f>K2205-L2205</f>
        <v>1.4400000000000004</v>
      </c>
      <c r="N2205" s="15">
        <f>IFERROR(M2205/K2205,0)</f>
        <v>0.24080267558528434</v>
      </c>
      <c r="O2205" s="14">
        <f>IFERROR(L2205/J2205,0)</f>
        <v>0.87307692307692308</v>
      </c>
      <c r="P2205" s="14">
        <f>IFERROR(L2205/G2205,0)</f>
        <v>0.45400000000000162</v>
      </c>
    </row>
    <row r="2206" spans="1:16" x14ac:dyDescent="0.3">
      <c r="A2206" s="9" t="s">
        <v>4538</v>
      </c>
      <c r="B2206" s="9" t="s">
        <v>18</v>
      </c>
      <c r="C2206" s="9" t="s">
        <v>184</v>
      </c>
      <c r="D2206" s="52">
        <v>46240</v>
      </c>
      <c r="E2206" s="48">
        <v>0.74375000000000002</v>
      </c>
      <c r="F2206" s="48">
        <v>0.75486111111111109</v>
      </c>
      <c r="G2206" s="43">
        <f>(F2206-E2206)*1440</f>
        <v>15.999999999999943</v>
      </c>
      <c r="H2206" s="9" t="s">
        <v>4798</v>
      </c>
      <c r="I2206" s="9" t="s">
        <v>794</v>
      </c>
      <c r="J2206" s="44">
        <v>8.8699999999999992</v>
      </c>
      <c r="K2206" s="60">
        <v>11.94</v>
      </c>
      <c r="L2206" s="56">
        <v>7.76</v>
      </c>
      <c r="M2206" s="14">
        <f>K2206-L2206</f>
        <v>4.18</v>
      </c>
      <c r="N2206" s="15">
        <f>IFERROR(M2206/K2206,0)</f>
        <v>0.35008375209380233</v>
      </c>
      <c r="O2206" s="14">
        <f>IFERROR(L2206/J2206,0)</f>
        <v>0.87485907553551301</v>
      </c>
      <c r="P2206" s="14">
        <f>IFERROR(L2206/G2206,0)</f>
        <v>0.48500000000000171</v>
      </c>
    </row>
    <row r="2207" spans="1:16" x14ac:dyDescent="0.3">
      <c r="A2207" s="9" t="s">
        <v>4539</v>
      </c>
      <c r="B2207" s="9" t="s">
        <v>18</v>
      </c>
      <c r="C2207" s="9" t="s">
        <v>184</v>
      </c>
      <c r="D2207" s="52">
        <v>46240</v>
      </c>
      <c r="E2207" s="48">
        <v>0.76388888888888884</v>
      </c>
      <c r="F2207" s="48">
        <v>0.7715277777777777</v>
      </c>
      <c r="G2207" s="43">
        <f>(F2207-E2207)*1440</f>
        <v>10.999999999999961</v>
      </c>
      <c r="H2207" s="9" t="s">
        <v>794</v>
      </c>
      <c r="I2207" s="9" t="s">
        <v>4091</v>
      </c>
      <c r="J2207" s="44">
        <v>4.97</v>
      </c>
      <c r="K2207" s="60">
        <v>4.8</v>
      </c>
      <c r="L2207" s="56">
        <v>3.55</v>
      </c>
      <c r="M2207" s="14">
        <f>K2207-L2207</f>
        <v>1.25</v>
      </c>
      <c r="N2207" s="15">
        <f>IFERROR(M2207/K2207,0)</f>
        <v>0.26041666666666669</v>
      </c>
      <c r="O2207" s="14">
        <f>IFERROR(L2207/J2207,0)</f>
        <v>0.7142857142857143</v>
      </c>
      <c r="P2207" s="14">
        <f>IFERROR(L2207/G2207,0)</f>
        <v>0.32272727272727386</v>
      </c>
    </row>
    <row r="2208" spans="1:16" x14ac:dyDescent="0.3">
      <c r="A2208" s="9" t="s">
        <v>4540</v>
      </c>
      <c r="B2208" s="9" t="s">
        <v>18</v>
      </c>
      <c r="C2208" s="9" t="s">
        <v>184</v>
      </c>
      <c r="D2208" s="52">
        <v>46240</v>
      </c>
      <c r="E2208" s="48">
        <v>0.77638888888888891</v>
      </c>
      <c r="F2208" s="48">
        <v>0.78333333333333333</v>
      </c>
      <c r="G2208" s="43">
        <f>(F2208-E2208)*1440</f>
        <v>9.9999999999999645</v>
      </c>
      <c r="H2208" s="9" t="s">
        <v>1951</v>
      </c>
      <c r="I2208" s="9" t="s">
        <v>607</v>
      </c>
      <c r="J2208" s="44">
        <v>4.91</v>
      </c>
      <c r="K2208" s="60">
        <v>3.97</v>
      </c>
      <c r="L2208" s="56">
        <v>3.85</v>
      </c>
      <c r="M2208" s="14">
        <f>K2208-L2208</f>
        <v>0.12000000000000011</v>
      </c>
      <c r="N2208" s="15">
        <f>IFERROR(M2208/K2208,0)</f>
        <v>3.0226700251889196E-2</v>
      </c>
      <c r="O2208" s="14">
        <f>IFERROR(L2208/J2208,0)</f>
        <v>0.78411405295315684</v>
      </c>
      <c r="P2208" s="14">
        <f>IFERROR(L2208/G2208,0)</f>
        <v>0.3850000000000014</v>
      </c>
    </row>
    <row r="2209" spans="1:16" x14ac:dyDescent="0.3">
      <c r="A2209" s="9" t="s">
        <v>4541</v>
      </c>
      <c r="B2209" s="9" t="s">
        <v>4799</v>
      </c>
      <c r="C2209" s="9" t="s">
        <v>184</v>
      </c>
      <c r="D2209" s="52">
        <v>46240</v>
      </c>
      <c r="E2209" s="48">
        <v>0.78125</v>
      </c>
      <c r="F2209" s="48">
        <v>0.7909722222222223</v>
      </c>
      <c r="G2209" s="43">
        <f>(F2209-E2209)*1440</f>
        <v>14.00000000000011</v>
      </c>
      <c r="H2209" s="9" t="s">
        <v>4204</v>
      </c>
      <c r="I2209" s="9" t="s">
        <v>3430</v>
      </c>
      <c r="J2209" s="44">
        <v>11.24</v>
      </c>
      <c r="K2209" s="60">
        <v>7.39</v>
      </c>
      <c r="L2209" s="56">
        <v>6.38</v>
      </c>
      <c r="M2209" s="14">
        <f>K2209-L2209</f>
        <v>1.0099999999999998</v>
      </c>
      <c r="N2209" s="15">
        <f>IFERROR(M2209/K2209,0)</f>
        <v>0.13667117726657643</v>
      </c>
      <c r="O2209" s="14">
        <f>IFERROR(L2209/J2209,0)</f>
        <v>0.56761565836298933</v>
      </c>
      <c r="P2209" s="14">
        <f>IFERROR(L2209/G2209,0)</f>
        <v>0.45571428571428213</v>
      </c>
    </row>
    <row r="2210" spans="1:16" x14ac:dyDescent="0.3">
      <c r="A2210" s="9" t="s">
        <v>4542</v>
      </c>
      <c r="B2210" s="9" t="s">
        <v>18</v>
      </c>
      <c r="C2210" s="9" t="s">
        <v>184</v>
      </c>
      <c r="D2210" s="52">
        <v>46240</v>
      </c>
      <c r="E2210" s="48">
        <v>0.84166666666666667</v>
      </c>
      <c r="F2210" s="48">
        <v>0.85763888888888884</v>
      </c>
      <c r="G2210" s="43">
        <f>(F2210-E2210)*1440</f>
        <v>22.999999999999918</v>
      </c>
      <c r="H2210" s="9" t="s">
        <v>4800</v>
      </c>
      <c r="I2210" s="9" t="s">
        <v>2975</v>
      </c>
      <c r="J2210" s="44">
        <v>20.22</v>
      </c>
      <c r="K2210" s="60">
        <v>11.94</v>
      </c>
      <c r="L2210" s="56">
        <v>8.09</v>
      </c>
      <c r="M2210" s="14">
        <f>K2210-L2210</f>
        <v>3.8499999999999996</v>
      </c>
      <c r="N2210" s="15">
        <f>IFERROR(M2210/K2210,0)</f>
        <v>0.32244556113902845</v>
      </c>
      <c r="O2210" s="14">
        <f>IFERROR(L2210/J2210,0)</f>
        <v>0.40009891196834818</v>
      </c>
      <c r="P2210" s="14">
        <f>IFERROR(L2210/G2210,0)</f>
        <v>0.35173913043478383</v>
      </c>
    </row>
    <row r="2211" spans="1:16" x14ac:dyDescent="0.3">
      <c r="A2211" s="9" t="s">
        <v>4543</v>
      </c>
      <c r="B2211" s="9" t="s">
        <v>26</v>
      </c>
      <c r="C2211" s="9" t="s">
        <v>26</v>
      </c>
      <c r="D2211" s="52">
        <v>46240</v>
      </c>
      <c r="E2211" s="48">
        <v>0.58333333333333337</v>
      </c>
      <c r="F2211" s="48">
        <v>0.6</v>
      </c>
      <c r="G2211" s="43">
        <f>(F2211-E2211)*1440</f>
        <v>23.999999999999915</v>
      </c>
      <c r="H2211" s="9" t="s">
        <v>4801</v>
      </c>
      <c r="I2211" s="9" t="s">
        <v>1842</v>
      </c>
      <c r="J2211" s="44">
        <v>21.2</v>
      </c>
      <c r="K2211" s="60">
        <v>12.53</v>
      </c>
      <c r="L2211" s="56">
        <v>11.74</v>
      </c>
      <c r="M2211" s="14">
        <f>K2211-L2211</f>
        <v>0.78999999999999915</v>
      </c>
      <c r="N2211" s="15">
        <f>IFERROR(M2211/K2211,0)</f>
        <v>6.3048683160414939E-2</v>
      </c>
      <c r="O2211" s="14">
        <f>IFERROR(L2211/J2211,0)</f>
        <v>0.55377358490566042</v>
      </c>
      <c r="P2211" s="14">
        <f>IFERROR(L2211/G2211,0)</f>
        <v>0.48916666666666841</v>
      </c>
    </row>
    <row r="2212" spans="1:16" x14ac:dyDescent="0.3">
      <c r="A2212" s="9" t="s">
        <v>4544</v>
      </c>
      <c r="B2212" s="9" t="s">
        <v>26</v>
      </c>
      <c r="C2212" s="9" t="s">
        <v>27</v>
      </c>
      <c r="D2212" s="52">
        <v>46240</v>
      </c>
      <c r="E2212" s="48">
        <v>0.63472222222222219</v>
      </c>
      <c r="F2212" s="48">
        <v>0.6430555555555556</v>
      </c>
      <c r="G2212" s="43">
        <f>(F2212-E2212)*1440</f>
        <v>12.000000000000117</v>
      </c>
      <c r="H2212" s="9" t="s">
        <v>4802</v>
      </c>
      <c r="I2212" s="9" t="s">
        <v>4803</v>
      </c>
      <c r="J2212" s="44">
        <v>6.6</v>
      </c>
      <c r="K2212" s="60">
        <v>4.99</v>
      </c>
      <c r="L2212" s="56">
        <v>3.74</v>
      </c>
      <c r="M2212" s="14">
        <f>K2212-L2212</f>
        <v>1.25</v>
      </c>
      <c r="N2212" s="15">
        <f>IFERROR(M2212/K2212,0)</f>
        <v>0.25050100200400799</v>
      </c>
      <c r="O2212" s="14">
        <f>IFERROR(L2212/J2212,0)</f>
        <v>0.56666666666666676</v>
      </c>
      <c r="P2212" s="14">
        <f>IFERROR(L2212/G2212,0)</f>
        <v>0.31166666666666365</v>
      </c>
    </row>
    <row r="2213" spans="1:16" x14ac:dyDescent="0.3">
      <c r="A2213" s="9" t="s">
        <v>4545</v>
      </c>
      <c r="B2213" s="9" t="s">
        <v>26</v>
      </c>
      <c r="C2213" s="9" t="s">
        <v>26</v>
      </c>
      <c r="D2213" s="52">
        <v>46240</v>
      </c>
      <c r="E2213" s="48">
        <v>0.68611111111111101</v>
      </c>
      <c r="F2213" s="48">
        <v>0.69374999999999998</v>
      </c>
      <c r="G2213" s="43">
        <f>(F2213-E2213)*1440</f>
        <v>11.000000000000121</v>
      </c>
      <c r="H2213" s="9" t="s">
        <v>1770</v>
      </c>
      <c r="I2213" s="9" t="s">
        <v>4804</v>
      </c>
      <c r="J2213" s="44">
        <v>4.2</v>
      </c>
      <c r="K2213" s="60">
        <v>8.1999999999999993</v>
      </c>
      <c r="L2213" s="56">
        <v>6.94</v>
      </c>
      <c r="M2213" s="14">
        <f>K2213-L2213</f>
        <v>1.2599999999999989</v>
      </c>
      <c r="N2213" s="15">
        <f>IFERROR(M2213/K2213,0)</f>
        <v>0.15365853658536574</v>
      </c>
      <c r="O2213" s="14">
        <f>IFERROR(L2213/J2213,0)</f>
        <v>1.6523809523809525</v>
      </c>
      <c r="P2213" s="14">
        <f>IFERROR(L2213/G2213,0)</f>
        <v>0.63090909090908398</v>
      </c>
    </row>
    <row r="2214" spans="1:16" x14ac:dyDescent="0.3">
      <c r="A2214" s="9" t="s">
        <v>4546</v>
      </c>
      <c r="B2214" s="9" t="s">
        <v>26</v>
      </c>
      <c r="C2214" s="9" t="s">
        <v>27</v>
      </c>
      <c r="D2214" s="52">
        <v>46240</v>
      </c>
      <c r="E2214" s="48">
        <v>0.6972222222222223</v>
      </c>
      <c r="F2214" s="48">
        <v>0.70277777777777783</v>
      </c>
      <c r="G2214" s="43">
        <f>(F2214-E2214)*1440</f>
        <v>7.9999999999999716</v>
      </c>
      <c r="H2214" s="9" t="s">
        <v>4805</v>
      </c>
      <c r="I2214" s="9" t="s">
        <v>2817</v>
      </c>
      <c r="J2214" s="44">
        <v>4.5</v>
      </c>
      <c r="K2214" s="60">
        <v>6.93</v>
      </c>
      <c r="L2214" s="56">
        <v>5.2</v>
      </c>
      <c r="M2214" s="14">
        <f>K2214-L2214</f>
        <v>1.7299999999999995</v>
      </c>
      <c r="N2214" s="15">
        <f>IFERROR(M2214/K2214,0)</f>
        <v>0.24963924963924958</v>
      </c>
      <c r="O2214" s="14">
        <f>IFERROR(L2214/J2214,0)</f>
        <v>1.1555555555555557</v>
      </c>
      <c r="P2214" s="14">
        <f>IFERROR(L2214/G2214,0)</f>
        <v>0.65000000000000235</v>
      </c>
    </row>
    <row r="2215" spans="1:16" x14ac:dyDescent="0.3">
      <c r="A2215" s="9" t="s">
        <v>4547</v>
      </c>
      <c r="B2215" s="9" t="s">
        <v>26</v>
      </c>
      <c r="C2215" s="9" t="s">
        <v>26</v>
      </c>
      <c r="D2215" s="52">
        <v>46240</v>
      </c>
      <c r="E2215" s="48">
        <v>0.72569444444444453</v>
      </c>
      <c r="F2215" s="48">
        <v>0.73472222222222217</v>
      </c>
      <c r="G2215" s="43">
        <f>(F2215-E2215)*1440</f>
        <v>12.999999999999794</v>
      </c>
      <c r="H2215" s="9" t="s">
        <v>1328</v>
      </c>
      <c r="I2215" s="9" t="s">
        <v>4806</v>
      </c>
      <c r="J2215" s="44">
        <v>7.8</v>
      </c>
      <c r="K2215" s="60">
        <v>6.93</v>
      </c>
      <c r="L2215" s="56">
        <v>5.84</v>
      </c>
      <c r="M2215" s="14">
        <f>K2215-L2215</f>
        <v>1.0899999999999999</v>
      </c>
      <c r="N2215" s="15">
        <f>IFERROR(M2215/K2215,0)</f>
        <v>0.15728715728715728</v>
      </c>
      <c r="O2215" s="14">
        <f>IFERROR(L2215/J2215,0)</f>
        <v>0.74871794871794872</v>
      </c>
      <c r="P2215" s="14">
        <f>IFERROR(L2215/G2215,0)</f>
        <v>0.44923076923077632</v>
      </c>
    </row>
    <row r="2216" spans="1:16" x14ac:dyDescent="0.3">
      <c r="A2216" s="9" t="s">
        <v>4548</v>
      </c>
      <c r="B2216" s="9" t="s">
        <v>26</v>
      </c>
      <c r="C2216" s="9" t="s">
        <v>26</v>
      </c>
      <c r="D2216" s="52">
        <v>46241</v>
      </c>
      <c r="E2216" s="48">
        <v>0.60902777777777783</v>
      </c>
      <c r="F2216" s="48">
        <v>0.61249999999999993</v>
      </c>
      <c r="G2216" s="43">
        <f>(F2216-E2216)*1440</f>
        <v>4.9999999999998224</v>
      </c>
      <c r="H2216" s="9" t="s">
        <v>4612</v>
      </c>
      <c r="I2216" s="9" t="s">
        <v>836</v>
      </c>
      <c r="J2216" s="44">
        <v>1.8</v>
      </c>
      <c r="K2216" s="60">
        <v>4.28</v>
      </c>
      <c r="L2216" s="56">
        <v>3.37</v>
      </c>
      <c r="M2216" s="14">
        <f>K2216-L2216</f>
        <v>0.91000000000000014</v>
      </c>
      <c r="N2216" s="15">
        <f>IFERROR(M2216/K2216,0)</f>
        <v>0.21261682242990657</v>
      </c>
      <c r="O2216" s="14">
        <f>IFERROR(L2216/J2216,0)</f>
        <v>1.8722222222222222</v>
      </c>
      <c r="P2216" s="14">
        <f>IFERROR(L2216/G2216,0)</f>
        <v>0.67400000000002391</v>
      </c>
    </row>
    <row r="2217" spans="1:16" x14ac:dyDescent="0.3">
      <c r="A2217" s="9" t="s">
        <v>4549</v>
      </c>
      <c r="B2217" s="9" t="s">
        <v>26</v>
      </c>
      <c r="C2217" s="9" t="s">
        <v>26</v>
      </c>
      <c r="D2217" s="52">
        <v>46241</v>
      </c>
      <c r="E2217" s="48">
        <v>0.61527777777777781</v>
      </c>
      <c r="F2217" s="48">
        <v>0.63541666666666663</v>
      </c>
      <c r="G2217" s="43">
        <f>(F2217-E2217)*1440</f>
        <v>28.999999999999897</v>
      </c>
      <c r="H2217" s="9" t="s">
        <v>5087</v>
      </c>
      <c r="I2217" s="9" t="s">
        <v>611</v>
      </c>
      <c r="J2217" s="44">
        <v>12.7</v>
      </c>
      <c r="K2217" s="60">
        <v>12.91</v>
      </c>
      <c r="L2217" s="56">
        <v>12.1</v>
      </c>
      <c r="M2217" s="14">
        <f>K2217-L2217</f>
        <v>0.8100000000000005</v>
      </c>
      <c r="N2217" s="15">
        <f>IFERROR(M2217/K2217,0)</f>
        <v>6.274206041828044E-2</v>
      </c>
      <c r="O2217" s="14">
        <f>IFERROR(L2217/J2217,0)</f>
        <v>0.952755905511811</v>
      </c>
      <c r="P2217" s="14">
        <f>IFERROR(L2217/G2217,0)</f>
        <v>0.41724137931034627</v>
      </c>
    </row>
    <row r="2218" spans="1:16" x14ac:dyDescent="0.3">
      <c r="A2218" s="9" t="s">
        <v>4550</v>
      </c>
      <c r="B2218" s="9" t="s">
        <v>26</v>
      </c>
      <c r="C2218" s="9" t="s">
        <v>26</v>
      </c>
      <c r="D2218" s="52">
        <v>46241</v>
      </c>
      <c r="E2218" s="48">
        <v>0.6875</v>
      </c>
      <c r="F2218" s="48">
        <v>0.69305555555555554</v>
      </c>
      <c r="G2218" s="43">
        <f>(F2218-E2218)*1440</f>
        <v>7.9999999999999716</v>
      </c>
      <c r="H2218" s="9" t="s">
        <v>1891</v>
      </c>
      <c r="I2218" s="9" t="s">
        <v>214</v>
      </c>
      <c r="J2218" s="44">
        <v>3.1</v>
      </c>
      <c r="K2218" s="60">
        <v>3.96</v>
      </c>
      <c r="L2218" s="56">
        <v>3.71</v>
      </c>
      <c r="M2218" s="14">
        <f>K2218-L2218</f>
        <v>0.25</v>
      </c>
      <c r="N2218" s="15">
        <f>IFERROR(M2218/K2218,0)</f>
        <v>6.3131313131313135E-2</v>
      </c>
      <c r="O2218" s="14">
        <f>IFERROR(L2218/J2218,0)</f>
        <v>1.1967741935483871</v>
      </c>
      <c r="P2218" s="14">
        <f>IFERROR(L2218/G2218,0)</f>
        <v>0.46375000000000166</v>
      </c>
    </row>
    <row r="2219" spans="1:16" x14ac:dyDescent="0.3">
      <c r="A2219" s="9" t="s">
        <v>4551</v>
      </c>
      <c r="B2219" s="9" t="s">
        <v>26</v>
      </c>
      <c r="C2219" s="9" t="s">
        <v>27</v>
      </c>
      <c r="D2219" s="52">
        <v>46241</v>
      </c>
      <c r="E2219" s="48">
        <v>0.69791666666666663</v>
      </c>
      <c r="F2219" s="48">
        <v>0.70972222222222225</v>
      </c>
      <c r="G2219" s="43">
        <f>(F2219-E2219)*1440</f>
        <v>17.000000000000099</v>
      </c>
      <c r="H2219" s="9" t="s">
        <v>214</v>
      </c>
      <c r="I2219" s="9" t="s">
        <v>237</v>
      </c>
      <c r="J2219" s="44">
        <v>9.6</v>
      </c>
      <c r="K2219" s="60">
        <v>7.97</v>
      </c>
      <c r="L2219" s="56">
        <v>5.98</v>
      </c>
      <c r="M2219" s="14">
        <f>K2219-L2219</f>
        <v>1.9899999999999993</v>
      </c>
      <c r="N2219" s="15">
        <f>IFERROR(M2219/K2219,0)</f>
        <v>0.24968632371392716</v>
      </c>
      <c r="O2219" s="14">
        <f>IFERROR(L2219/J2219,0)</f>
        <v>0.62291666666666679</v>
      </c>
      <c r="P2219" s="14">
        <f>IFERROR(L2219/G2219,0)</f>
        <v>0.35176470588235093</v>
      </c>
    </row>
    <row r="2220" spans="1:16" x14ac:dyDescent="0.3">
      <c r="A2220" s="9" t="s">
        <v>4552</v>
      </c>
      <c r="B2220" s="9" t="s">
        <v>26</v>
      </c>
      <c r="C2220" s="9" t="s">
        <v>26</v>
      </c>
      <c r="D2220" s="52">
        <v>46241</v>
      </c>
      <c r="E2220" s="48">
        <v>0.71250000000000002</v>
      </c>
      <c r="F2220" s="48">
        <v>0.72013888888888899</v>
      </c>
      <c r="G2220" s="43">
        <f>(F2220-E2220)*1440</f>
        <v>11.000000000000121</v>
      </c>
      <c r="H2220" s="9" t="s">
        <v>4208</v>
      </c>
      <c r="I2220" s="9" t="s">
        <v>1795</v>
      </c>
      <c r="J2220" s="44">
        <v>2.6</v>
      </c>
      <c r="K2220" s="60">
        <v>5.92</v>
      </c>
      <c r="L2220" s="56">
        <v>4.4400000000000004</v>
      </c>
      <c r="M2220" s="14">
        <f>K2220-L2220</f>
        <v>1.4799999999999995</v>
      </c>
      <c r="N2220" s="15">
        <f>IFERROR(M2220/K2220,0)</f>
        <v>0.24999999999999992</v>
      </c>
      <c r="O2220" s="14">
        <f>IFERROR(L2220/J2220,0)</f>
        <v>1.7076923076923078</v>
      </c>
      <c r="P2220" s="14">
        <f>IFERROR(L2220/G2220,0)</f>
        <v>0.40363636363635924</v>
      </c>
    </row>
    <row r="2221" spans="1:16" x14ac:dyDescent="0.3">
      <c r="A2221" s="9" t="s">
        <v>4807</v>
      </c>
      <c r="B2221" s="9" t="s">
        <v>26</v>
      </c>
      <c r="C2221" s="9" t="s">
        <v>26</v>
      </c>
      <c r="D2221" s="52">
        <v>46241</v>
      </c>
      <c r="E2221" s="48">
        <v>0.74444444444444446</v>
      </c>
      <c r="F2221" s="48">
        <v>0.75277777777777777</v>
      </c>
      <c r="G2221" s="43">
        <f>(F2221-E2221)*1440</f>
        <v>11.999999999999957</v>
      </c>
      <c r="H2221" s="9" t="s">
        <v>5088</v>
      </c>
      <c r="I2221" s="9" t="s">
        <v>5089</v>
      </c>
      <c r="J2221" s="44">
        <v>5.5</v>
      </c>
      <c r="K2221" s="60">
        <v>6.31</v>
      </c>
      <c r="L2221" s="56">
        <v>4.7300000000000004</v>
      </c>
      <c r="M2221" s="14">
        <f>K2221-L2221</f>
        <v>1.5799999999999992</v>
      </c>
      <c r="N2221" s="15">
        <f>IFERROR(M2221/K2221,0)</f>
        <v>0.25039619651347056</v>
      </c>
      <c r="O2221" s="14">
        <f>IFERROR(L2221/J2221,0)</f>
        <v>0.8600000000000001</v>
      </c>
      <c r="P2221" s="14">
        <f>IFERROR(L2221/G2221,0)</f>
        <v>0.39416666666666811</v>
      </c>
    </row>
    <row r="2222" spans="1:16" x14ac:dyDescent="0.3">
      <c r="A2222" s="9" t="s">
        <v>4808</v>
      </c>
      <c r="B2222" s="9" t="s">
        <v>26</v>
      </c>
      <c r="C2222" s="9" t="s">
        <v>26</v>
      </c>
      <c r="D2222" s="52">
        <v>46241</v>
      </c>
      <c r="E2222" s="48">
        <v>0.75416666666666676</v>
      </c>
      <c r="F2222" s="48">
        <v>0.76180555555555562</v>
      </c>
      <c r="G2222" s="43">
        <f>(F2222-E2222)*1440</f>
        <v>10.999999999999961</v>
      </c>
      <c r="H2222" s="9" t="s">
        <v>5090</v>
      </c>
      <c r="I2222" s="9" t="s">
        <v>5091</v>
      </c>
      <c r="J2222" s="44">
        <v>6.2</v>
      </c>
      <c r="K2222" s="60">
        <v>6.91</v>
      </c>
      <c r="L2222" s="56">
        <v>5.18</v>
      </c>
      <c r="M2222" s="14">
        <f>K2222-L2222</f>
        <v>1.7300000000000004</v>
      </c>
      <c r="N2222" s="15">
        <f>IFERROR(M2222/K2222,0)</f>
        <v>0.25036179450072366</v>
      </c>
      <c r="O2222" s="14">
        <f>IFERROR(L2222/J2222,0)</f>
        <v>0.8354838709677419</v>
      </c>
      <c r="P2222" s="14">
        <f>IFERROR(L2222/G2222,0)</f>
        <v>0.47090909090909255</v>
      </c>
    </row>
    <row r="2223" spans="1:16" x14ac:dyDescent="0.3">
      <c r="A2223" s="9" t="s">
        <v>4809</v>
      </c>
      <c r="B2223" s="9" t="s">
        <v>26</v>
      </c>
      <c r="C2223" s="9" t="s">
        <v>26</v>
      </c>
      <c r="D2223" s="52">
        <v>46241</v>
      </c>
      <c r="E2223" s="48">
        <v>0.78402777777777777</v>
      </c>
      <c r="F2223" s="48">
        <v>0.79652777777777783</v>
      </c>
      <c r="G2223" s="43">
        <f>(F2223-E2223)*1440</f>
        <v>18.000000000000096</v>
      </c>
      <c r="H2223" s="9" t="s">
        <v>843</v>
      </c>
      <c r="I2223" s="9" t="s">
        <v>5092</v>
      </c>
      <c r="J2223" s="44">
        <v>11.2</v>
      </c>
      <c r="K2223" s="60">
        <v>8.98</v>
      </c>
      <c r="L2223" s="56">
        <v>7.66</v>
      </c>
      <c r="M2223" s="14">
        <f>K2223-L2223</f>
        <v>1.3200000000000003</v>
      </c>
      <c r="N2223" s="15">
        <f>IFERROR(M2223/K2223,0)</f>
        <v>0.14699331848552341</v>
      </c>
      <c r="O2223" s="14">
        <f>IFERROR(L2223/J2223,0)</f>
        <v>0.68392857142857144</v>
      </c>
      <c r="P2223" s="14">
        <f>IFERROR(L2223/G2223,0)</f>
        <v>0.4255555555555533</v>
      </c>
    </row>
    <row r="2224" spans="1:16" x14ac:dyDescent="0.3">
      <c r="A2224" s="9" t="s">
        <v>4810</v>
      </c>
      <c r="B2224" s="9" t="s">
        <v>26</v>
      </c>
      <c r="C2224" s="9" t="s">
        <v>26</v>
      </c>
      <c r="D2224" s="52">
        <v>46241</v>
      </c>
      <c r="E2224" s="48">
        <v>0.79791666666666661</v>
      </c>
      <c r="F2224" s="48">
        <v>0.80763888888888891</v>
      </c>
      <c r="G2224" s="43">
        <f>(F2224-E2224)*1440</f>
        <v>14.00000000000011</v>
      </c>
      <c r="H2224" s="9" t="s">
        <v>5093</v>
      </c>
      <c r="I2224" s="9" t="s">
        <v>2627</v>
      </c>
      <c r="J2224" s="44">
        <v>8.9</v>
      </c>
      <c r="K2224" s="60">
        <v>7.9</v>
      </c>
      <c r="L2224" s="56">
        <v>6.24</v>
      </c>
      <c r="M2224" s="14">
        <f>K2224-L2224</f>
        <v>1.6600000000000001</v>
      </c>
      <c r="N2224" s="15">
        <f>IFERROR(M2224/K2224,0)</f>
        <v>0.21012658227848102</v>
      </c>
      <c r="O2224" s="14">
        <f>IFERROR(L2224/J2224,0)</f>
        <v>0.70112359550561798</v>
      </c>
      <c r="P2224" s="14">
        <f>IFERROR(L2224/G2224,0)</f>
        <v>0.44571428571428223</v>
      </c>
    </row>
    <row r="2225" spans="1:16" x14ac:dyDescent="0.3">
      <c r="A2225" s="9" t="s">
        <v>4811</v>
      </c>
      <c r="B2225" s="9" t="s">
        <v>26</v>
      </c>
      <c r="C2225" s="9" t="s">
        <v>27</v>
      </c>
      <c r="D2225" s="52">
        <v>46241</v>
      </c>
      <c r="E2225" s="48">
        <v>0.80833333333333324</v>
      </c>
      <c r="F2225" s="48">
        <v>0.81874999999999998</v>
      </c>
      <c r="G2225" s="43">
        <f>(F2225-E2225)*1440</f>
        <v>15.000000000000107</v>
      </c>
      <c r="H2225" s="9" t="s">
        <v>2627</v>
      </c>
      <c r="I2225" s="9" t="s">
        <v>3317</v>
      </c>
      <c r="J2225" s="44">
        <v>7.3</v>
      </c>
      <c r="K2225" s="60">
        <v>6.52</v>
      </c>
      <c r="L2225" s="56">
        <v>4.8899999999999997</v>
      </c>
      <c r="M2225" s="14">
        <f>K2225-L2225</f>
        <v>1.63</v>
      </c>
      <c r="N2225" s="15">
        <f>IFERROR(M2225/K2225,0)</f>
        <v>0.25</v>
      </c>
      <c r="O2225" s="14">
        <f>IFERROR(L2225/J2225,0)</f>
        <v>0.66986301369863011</v>
      </c>
      <c r="P2225" s="14">
        <f>IFERROR(L2225/G2225,0)</f>
        <v>0.32599999999999768</v>
      </c>
    </row>
    <row r="2226" spans="1:16" x14ac:dyDescent="0.3">
      <c r="A2226" s="9" t="s">
        <v>4812</v>
      </c>
      <c r="B2226" s="9" t="s">
        <v>26</v>
      </c>
      <c r="C2226" s="9" t="s">
        <v>27</v>
      </c>
      <c r="D2226" s="52">
        <v>46241</v>
      </c>
      <c r="E2226" s="48">
        <v>0.83819444444444446</v>
      </c>
      <c r="F2226" s="48">
        <v>0.84722222222222221</v>
      </c>
      <c r="G2226" s="43">
        <f>(F2226-E2226)*1440</f>
        <v>12.999999999999954</v>
      </c>
      <c r="H2226" s="9" t="s">
        <v>572</v>
      </c>
      <c r="I2226" s="9" t="s">
        <v>5094</v>
      </c>
      <c r="J2226" s="44">
        <v>10.8</v>
      </c>
      <c r="K2226" s="60">
        <v>7.41</v>
      </c>
      <c r="L2226" s="56">
        <v>6.12</v>
      </c>
      <c r="M2226" s="14">
        <f>K2226-L2226</f>
        <v>1.29</v>
      </c>
      <c r="N2226" s="15">
        <f>IFERROR(M2226/K2226,0)</f>
        <v>0.17408906882591094</v>
      </c>
      <c r="O2226" s="14">
        <f>IFERROR(L2226/J2226,0)</f>
        <v>0.56666666666666665</v>
      </c>
      <c r="P2226" s="14">
        <f>IFERROR(L2226/G2226,0)</f>
        <v>0.47076923076923244</v>
      </c>
    </row>
    <row r="2227" spans="1:16" x14ac:dyDescent="0.3">
      <c r="A2227" s="9" t="s">
        <v>4813</v>
      </c>
      <c r="B2227" s="9" t="s">
        <v>18</v>
      </c>
      <c r="C2227" s="9" t="s">
        <v>230</v>
      </c>
      <c r="D2227" s="52">
        <v>46241</v>
      </c>
      <c r="E2227" s="48">
        <v>0.54513888888888895</v>
      </c>
      <c r="F2227" s="48">
        <v>0.57708333333333328</v>
      </c>
      <c r="G2227" s="43">
        <f>(F2227-E2227)*1440</f>
        <v>45.999999999999837</v>
      </c>
      <c r="H2227" s="9" t="s">
        <v>876</v>
      </c>
      <c r="I2227" s="9" t="s">
        <v>3031</v>
      </c>
      <c r="J2227" s="44">
        <v>37.340000000000003</v>
      </c>
      <c r="K2227" s="60">
        <v>26.52</v>
      </c>
      <c r="L2227" s="56">
        <v>21.9</v>
      </c>
      <c r="M2227" s="14">
        <f>K2227-L2227</f>
        <v>4.620000000000001</v>
      </c>
      <c r="N2227" s="15">
        <f>IFERROR(M2227/K2227,0)</f>
        <v>0.17420814479638014</v>
      </c>
      <c r="O2227" s="14">
        <f>IFERROR(L2227/J2227,0)</f>
        <v>0.58650241028387784</v>
      </c>
      <c r="P2227" s="14">
        <f>IFERROR(L2227/G2227,0)</f>
        <v>0.47608695652174077</v>
      </c>
    </row>
    <row r="2228" spans="1:16" x14ac:dyDescent="0.3">
      <c r="A2228" s="9" t="s">
        <v>4814</v>
      </c>
      <c r="B2228" s="9" t="s">
        <v>18</v>
      </c>
      <c r="C2228" s="9" t="s">
        <v>184</v>
      </c>
      <c r="D2228" s="52">
        <v>46241</v>
      </c>
      <c r="E2228" s="48">
        <v>0.5854166666666667</v>
      </c>
      <c r="F2228" s="48">
        <v>0.59166666666666667</v>
      </c>
      <c r="G2228" s="43">
        <f>(F2228-E2228)*1440</f>
        <v>8.999999999999968</v>
      </c>
      <c r="H2228" s="9" t="s">
        <v>561</v>
      </c>
      <c r="I2228" s="9" t="s">
        <v>698</v>
      </c>
      <c r="J2228" s="44">
        <v>3.39</v>
      </c>
      <c r="K2228" s="60">
        <v>6.93</v>
      </c>
      <c r="L2228" s="56">
        <v>4.5</v>
      </c>
      <c r="M2228" s="14">
        <f>K2228-L2228</f>
        <v>2.4299999999999997</v>
      </c>
      <c r="N2228" s="15">
        <f>IFERROR(M2228/K2228,0)</f>
        <v>0.3506493506493506</v>
      </c>
      <c r="O2228" s="14">
        <f>IFERROR(L2228/J2228,0)</f>
        <v>1.3274336283185839</v>
      </c>
      <c r="P2228" s="14">
        <f>IFERROR(L2228/G2228,0)</f>
        <v>0.50000000000000178</v>
      </c>
    </row>
    <row r="2229" spans="1:16" x14ac:dyDescent="0.3">
      <c r="A2229" s="9" t="s">
        <v>4815</v>
      </c>
      <c r="B2229" s="9" t="s">
        <v>18</v>
      </c>
      <c r="C2229" s="9" t="s">
        <v>184</v>
      </c>
      <c r="D2229" s="52">
        <v>46241</v>
      </c>
      <c r="E2229" s="48">
        <v>0.59375</v>
      </c>
      <c r="F2229" s="48">
        <v>0.59791666666666665</v>
      </c>
      <c r="G2229" s="43">
        <f>(F2229-E2229)*1440</f>
        <v>5.9999999999999787</v>
      </c>
      <c r="H2229" s="9" t="s">
        <v>204</v>
      </c>
      <c r="I2229" s="9" t="s">
        <v>729</v>
      </c>
      <c r="J2229" s="44">
        <v>2.72</v>
      </c>
      <c r="K2229" s="60">
        <v>4.95</v>
      </c>
      <c r="L2229" s="56">
        <v>3.3</v>
      </c>
      <c r="M2229" s="14">
        <f>K2229-L2229</f>
        <v>1.6500000000000004</v>
      </c>
      <c r="N2229" s="15">
        <f>IFERROR(M2229/K2229,0)</f>
        <v>0.33333333333333337</v>
      </c>
      <c r="O2229" s="14">
        <f>IFERROR(L2229/J2229,0)</f>
        <v>1.213235294117647</v>
      </c>
      <c r="P2229" s="14">
        <f>IFERROR(L2229/G2229,0)</f>
        <v>0.55000000000000193</v>
      </c>
    </row>
    <row r="2230" spans="1:16" x14ac:dyDescent="0.3">
      <c r="A2230" s="9" t="s">
        <v>4816</v>
      </c>
      <c r="B2230" s="9" t="s">
        <v>18</v>
      </c>
      <c r="C2230" s="9" t="s">
        <v>196</v>
      </c>
      <c r="D2230" s="52">
        <v>46241</v>
      </c>
      <c r="E2230" s="48">
        <v>0.63888888888888895</v>
      </c>
      <c r="F2230" s="48">
        <v>0.65</v>
      </c>
      <c r="G2230" s="43">
        <f>(F2230-E2230)*1440</f>
        <v>15.999999999999943</v>
      </c>
      <c r="H2230" s="9" t="s">
        <v>1120</v>
      </c>
      <c r="I2230" s="9" t="s">
        <v>5095</v>
      </c>
      <c r="J2230" s="44">
        <v>11.19</v>
      </c>
      <c r="K2230" s="60">
        <v>12.05</v>
      </c>
      <c r="L2230" s="56">
        <v>7.83</v>
      </c>
      <c r="M2230" s="14">
        <f>K2230-L2230</f>
        <v>4.2200000000000006</v>
      </c>
      <c r="N2230" s="15">
        <f>IFERROR(M2230/K2230,0)</f>
        <v>0.35020746887966808</v>
      </c>
      <c r="O2230" s="14">
        <f>IFERROR(L2230/J2230,0)</f>
        <v>0.69973190348525471</v>
      </c>
      <c r="P2230" s="14">
        <f>IFERROR(L2230/G2230,0)</f>
        <v>0.48937500000000173</v>
      </c>
    </row>
    <row r="2231" spans="1:16" x14ac:dyDescent="0.3">
      <c r="A2231" s="9" t="s">
        <v>4817</v>
      </c>
      <c r="B2231" s="9" t="s">
        <v>18</v>
      </c>
      <c r="C2231" s="9" t="s">
        <v>196</v>
      </c>
      <c r="D2231" s="52">
        <v>46241</v>
      </c>
      <c r="E2231" s="48">
        <v>0.72152777777777777</v>
      </c>
      <c r="F2231" s="48">
        <v>0.72986111111111107</v>
      </c>
      <c r="G2231" s="43">
        <f>(F2231-E2231)*1440</f>
        <v>11.999999999999957</v>
      </c>
      <c r="H2231" s="9" t="s">
        <v>188</v>
      </c>
      <c r="I2231" s="9" t="s">
        <v>5096</v>
      </c>
      <c r="J2231" s="44">
        <v>6.75</v>
      </c>
      <c r="K2231" s="60">
        <v>8.98</v>
      </c>
      <c r="L2231" s="56">
        <v>6.91</v>
      </c>
      <c r="M2231" s="14">
        <f>K2231-L2231</f>
        <v>2.0700000000000003</v>
      </c>
      <c r="N2231" s="15">
        <f>IFERROR(M2231/K2231,0)</f>
        <v>0.23051224944320714</v>
      </c>
      <c r="O2231" s="14">
        <f>IFERROR(L2231/J2231,0)</f>
        <v>1.0237037037037038</v>
      </c>
      <c r="P2231" s="14">
        <f>IFERROR(L2231/G2231,0)</f>
        <v>0.57583333333333542</v>
      </c>
    </row>
    <row r="2232" spans="1:16" x14ac:dyDescent="0.3">
      <c r="A2232" s="9" t="s">
        <v>4818</v>
      </c>
      <c r="B2232" s="9" t="s">
        <v>18</v>
      </c>
      <c r="C2232" s="9" t="s">
        <v>184</v>
      </c>
      <c r="D2232" s="52">
        <v>46242</v>
      </c>
      <c r="E2232" s="48">
        <v>0.55208333333333337</v>
      </c>
      <c r="F2232" s="48">
        <v>0.56666666666666665</v>
      </c>
      <c r="G2232" s="43">
        <f>(F2232-E2232)*1440</f>
        <v>20.999999999999925</v>
      </c>
      <c r="H2232" s="9" t="s">
        <v>5097</v>
      </c>
      <c r="I2232" s="9" t="s">
        <v>5098</v>
      </c>
      <c r="J2232" s="44">
        <v>22.07</v>
      </c>
      <c r="K2232" s="60">
        <v>16.93</v>
      </c>
      <c r="L2232" s="56">
        <v>11</v>
      </c>
      <c r="M2232" s="14">
        <f>K2232-L2232</f>
        <v>5.93</v>
      </c>
      <c r="N2232" s="15">
        <f>IFERROR(M2232/K2232,0)</f>
        <v>0.35026580035440047</v>
      </c>
      <c r="O2232" s="14">
        <f>IFERROR(L2232/J2232,0)</f>
        <v>0.49841413683733576</v>
      </c>
      <c r="P2232" s="14">
        <f>IFERROR(L2232/G2232,0)</f>
        <v>0.52380952380952572</v>
      </c>
    </row>
    <row r="2233" spans="1:16" x14ac:dyDescent="0.3">
      <c r="A2233" s="9" t="s">
        <v>4819</v>
      </c>
      <c r="B2233" s="9" t="s">
        <v>18</v>
      </c>
      <c r="C2233" s="9" t="s">
        <v>230</v>
      </c>
      <c r="D2233" s="52">
        <v>46242</v>
      </c>
      <c r="E2233" s="48">
        <v>0.57708333333333328</v>
      </c>
      <c r="F2233" s="48">
        <v>0.59097222222222223</v>
      </c>
      <c r="G2233" s="43">
        <f>(F2233-E2233)*1440</f>
        <v>20.000000000000089</v>
      </c>
      <c r="H2233" s="9" t="s">
        <v>5099</v>
      </c>
      <c r="I2233" s="9" t="s">
        <v>2667</v>
      </c>
      <c r="J2233" s="44">
        <v>16.61</v>
      </c>
      <c r="K2233" s="60">
        <v>8.7100000000000009</v>
      </c>
      <c r="L2233" s="56">
        <v>8.4700000000000006</v>
      </c>
      <c r="M2233" s="14">
        <f>K2233-L2233</f>
        <v>0.24000000000000021</v>
      </c>
      <c r="N2233" s="15">
        <f>IFERROR(M2233/K2233,0)</f>
        <v>2.7554535017221608E-2</v>
      </c>
      <c r="O2233" s="14">
        <f>IFERROR(L2233/J2233,0)</f>
        <v>0.50993377483443714</v>
      </c>
      <c r="P2233" s="14">
        <f>IFERROR(L2233/G2233,0)</f>
        <v>0.42349999999999816</v>
      </c>
    </row>
    <row r="2234" spans="1:16" x14ac:dyDescent="0.3">
      <c r="A2234" s="9" t="s">
        <v>4820</v>
      </c>
      <c r="B2234" s="9" t="s">
        <v>18</v>
      </c>
      <c r="C2234" s="9" t="s">
        <v>184</v>
      </c>
      <c r="D2234" s="52">
        <v>46242</v>
      </c>
      <c r="E2234" s="48">
        <v>0.61944444444444446</v>
      </c>
      <c r="F2234" s="48">
        <v>0.62361111111111112</v>
      </c>
      <c r="G2234" s="43">
        <f>(F2234-E2234)*1440</f>
        <v>5.9999999999999787</v>
      </c>
      <c r="H2234" s="9" t="s">
        <v>5100</v>
      </c>
      <c r="I2234" s="9" t="s">
        <v>5101</v>
      </c>
      <c r="J2234" s="44">
        <v>3.68</v>
      </c>
      <c r="K2234" s="60">
        <v>3.95</v>
      </c>
      <c r="L2234" s="56">
        <v>3.25</v>
      </c>
      <c r="M2234" s="14">
        <f>K2234-L2234</f>
        <v>0.70000000000000018</v>
      </c>
      <c r="N2234" s="15">
        <f>IFERROR(M2234/K2234,0)</f>
        <v>0.17721518987341775</v>
      </c>
      <c r="O2234" s="14">
        <f>IFERROR(L2234/J2234,0)</f>
        <v>0.88315217391304346</v>
      </c>
      <c r="P2234" s="14">
        <f>IFERROR(L2234/G2234,0)</f>
        <v>0.54166666666666863</v>
      </c>
    </row>
    <row r="2235" spans="1:16" x14ac:dyDescent="0.3">
      <c r="A2235" s="9" t="s">
        <v>4821</v>
      </c>
      <c r="B2235" s="9" t="s">
        <v>18</v>
      </c>
      <c r="C2235" s="9" t="s">
        <v>184</v>
      </c>
      <c r="D2235" s="52">
        <v>46242</v>
      </c>
      <c r="E2235" s="48">
        <v>0.63263888888888886</v>
      </c>
      <c r="F2235" s="48">
        <v>0.63958333333333328</v>
      </c>
      <c r="G2235" s="43">
        <f>(F2235-E2235)*1440</f>
        <v>9.9999999999999645</v>
      </c>
      <c r="H2235" s="9" t="s">
        <v>5102</v>
      </c>
      <c r="I2235" s="9" t="s">
        <v>725</v>
      </c>
      <c r="J2235" s="44">
        <v>8.82</v>
      </c>
      <c r="K2235" s="60">
        <v>7.08</v>
      </c>
      <c r="L2235" s="56">
        <v>5.9</v>
      </c>
      <c r="M2235" s="14">
        <f>K2235-L2235</f>
        <v>1.1799999999999997</v>
      </c>
      <c r="N2235" s="15">
        <f>IFERROR(M2235/K2235,0)</f>
        <v>0.16666666666666663</v>
      </c>
      <c r="O2235" s="14">
        <f>IFERROR(L2235/J2235,0)</f>
        <v>0.66893424036281179</v>
      </c>
      <c r="P2235" s="14">
        <f>IFERROR(L2235/G2235,0)</f>
        <v>0.59000000000000208</v>
      </c>
    </row>
    <row r="2236" spans="1:16" x14ac:dyDescent="0.3">
      <c r="A2236" s="9" t="s">
        <v>4822</v>
      </c>
      <c r="B2236" s="9" t="s">
        <v>18</v>
      </c>
      <c r="C2236" s="9" t="s">
        <v>184</v>
      </c>
      <c r="D2236" s="52">
        <v>46242</v>
      </c>
      <c r="E2236" s="48">
        <v>0.64583333333333337</v>
      </c>
      <c r="F2236" s="48">
        <v>0.65763888888888888</v>
      </c>
      <c r="G2236" s="43">
        <f>(F2236-E2236)*1440</f>
        <v>16.99999999999994</v>
      </c>
      <c r="H2236" s="9" t="s">
        <v>5103</v>
      </c>
      <c r="I2236" s="9" t="s">
        <v>1361</v>
      </c>
      <c r="J2236" s="44">
        <v>10.220000000000001</v>
      </c>
      <c r="K2236" s="60">
        <v>7.94</v>
      </c>
      <c r="L2236" s="56">
        <v>5.76</v>
      </c>
      <c r="M2236" s="14">
        <f>K2236-L2236</f>
        <v>2.1800000000000006</v>
      </c>
      <c r="N2236" s="15">
        <f>IFERROR(M2236/K2236,0)</f>
        <v>0.27455919395466</v>
      </c>
      <c r="O2236" s="14">
        <f>IFERROR(L2236/J2236,0)</f>
        <v>0.56360078277886494</v>
      </c>
      <c r="P2236" s="14">
        <f>IFERROR(L2236/G2236,0)</f>
        <v>0.33882352941176591</v>
      </c>
    </row>
    <row r="2237" spans="1:16" x14ac:dyDescent="0.3">
      <c r="A2237" s="9" t="s">
        <v>4823</v>
      </c>
      <c r="B2237" s="9" t="s">
        <v>18</v>
      </c>
      <c r="C2237" s="9" t="s">
        <v>196</v>
      </c>
      <c r="D2237" s="52">
        <v>46242</v>
      </c>
      <c r="E2237" s="48">
        <v>0.7006944444444444</v>
      </c>
      <c r="F2237" s="48">
        <v>0.70972222222222225</v>
      </c>
      <c r="G2237" s="43">
        <f>(F2237-E2237)*1440</f>
        <v>13.000000000000114</v>
      </c>
      <c r="H2237" s="9" t="s">
        <v>5104</v>
      </c>
      <c r="I2237" s="9" t="s">
        <v>5105</v>
      </c>
      <c r="J2237" s="44">
        <v>11</v>
      </c>
      <c r="K2237" s="60">
        <v>10.99</v>
      </c>
      <c r="L2237" s="56">
        <v>8.1199999999999992</v>
      </c>
      <c r="M2237" s="14">
        <f>K2237-L2237</f>
        <v>2.870000000000001</v>
      </c>
      <c r="N2237" s="15">
        <f>IFERROR(M2237/K2237,0)</f>
        <v>0.26114649681528673</v>
      </c>
      <c r="O2237" s="14">
        <f>IFERROR(L2237/J2237,0)</f>
        <v>0.73818181818181816</v>
      </c>
      <c r="P2237" s="14">
        <f>IFERROR(L2237/G2237,0)</f>
        <v>0.62461538461537913</v>
      </c>
    </row>
    <row r="2238" spans="1:16" x14ac:dyDescent="0.3">
      <c r="A2238" s="9" t="s">
        <v>4824</v>
      </c>
      <c r="B2238" s="9" t="s">
        <v>18</v>
      </c>
      <c r="C2238" s="9" t="s">
        <v>184</v>
      </c>
      <c r="D2238" s="52">
        <v>46242</v>
      </c>
      <c r="E2238" s="48">
        <v>0.71180555555555547</v>
      </c>
      <c r="F2238" s="48">
        <v>0.71805555555555556</v>
      </c>
      <c r="G2238" s="43">
        <f>(F2238-E2238)*1440</f>
        <v>9.0000000000001279</v>
      </c>
      <c r="H2238" s="9" t="s">
        <v>5106</v>
      </c>
      <c r="I2238" s="9" t="s">
        <v>2853</v>
      </c>
      <c r="J2238" s="44">
        <v>9.1300000000000008</v>
      </c>
      <c r="K2238" s="60">
        <v>5.95</v>
      </c>
      <c r="L2238" s="56">
        <v>4.43</v>
      </c>
      <c r="M2238" s="14">
        <f>K2238-L2238</f>
        <v>1.5200000000000005</v>
      </c>
      <c r="N2238" s="15">
        <f>IFERROR(M2238/K2238,0)</f>
        <v>0.25546218487394967</v>
      </c>
      <c r="O2238" s="14">
        <f>IFERROR(L2238/J2238,0)</f>
        <v>0.4852135815991237</v>
      </c>
      <c r="P2238" s="14">
        <f>IFERROR(L2238/G2238,0)</f>
        <v>0.49222222222221518</v>
      </c>
    </row>
    <row r="2239" spans="1:16" x14ac:dyDescent="0.3">
      <c r="A2239" s="9" t="s">
        <v>4825</v>
      </c>
      <c r="B2239" s="9" t="s">
        <v>18</v>
      </c>
      <c r="C2239" s="9" t="s">
        <v>196</v>
      </c>
      <c r="D2239" s="52">
        <v>46242</v>
      </c>
      <c r="E2239" s="48">
        <v>0.8027777777777777</v>
      </c>
      <c r="F2239" s="48">
        <v>0.80694444444444446</v>
      </c>
      <c r="G2239" s="43">
        <f>(F2239-E2239)*1440</f>
        <v>6.0000000000001386</v>
      </c>
      <c r="H2239" s="9" t="s">
        <v>2560</v>
      </c>
      <c r="I2239" s="9" t="s">
        <v>5107</v>
      </c>
      <c r="J2239" s="44">
        <v>2.02</v>
      </c>
      <c r="K2239" s="60">
        <v>5.98</v>
      </c>
      <c r="L2239" s="56">
        <v>4.04</v>
      </c>
      <c r="M2239" s="14">
        <f>K2239-L2239</f>
        <v>1.9400000000000004</v>
      </c>
      <c r="N2239" s="15">
        <f>IFERROR(M2239/K2239,0)</f>
        <v>0.32441471571906361</v>
      </c>
      <c r="O2239" s="14">
        <f>IFERROR(L2239/J2239,0)</f>
        <v>2</v>
      </c>
      <c r="P2239" s="14">
        <f>IFERROR(L2239/G2239,0)</f>
        <v>0.6733333333333178</v>
      </c>
    </row>
    <row r="2240" spans="1:16" x14ac:dyDescent="0.3">
      <c r="A2240" s="9" t="s">
        <v>4826</v>
      </c>
      <c r="B2240" s="9" t="s">
        <v>18</v>
      </c>
      <c r="C2240" s="9" t="s">
        <v>184</v>
      </c>
      <c r="D2240" s="52">
        <v>46242</v>
      </c>
      <c r="E2240" s="48">
        <v>0.8256944444444444</v>
      </c>
      <c r="F2240" s="48">
        <v>0.83819444444444446</v>
      </c>
      <c r="G2240" s="43">
        <f>(F2240-E2240)*1440</f>
        <v>18.000000000000096</v>
      </c>
      <c r="H2240" s="9" t="s">
        <v>2974</v>
      </c>
      <c r="I2240" s="9" t="s">
        <v>4218</v>
      </c>
      <c r="J2240" s="44">
        <v>15.89</v>
      </c>
      <c r="K2240" s="60">
        <v>10.94</v>
      </c>
      <c r="L2240" s="56">
        <v>7.11</v>
      </c>
      <c r="M2240" s="14">
        <f>K2240-L2240</f>
        <v>3.8299999999999992</v>
      </c>
      <c r="N2240" s="15">
        <f>IFERROR(M2240/K2240,0)</f>
        <v>0.35009140767824493</v>
      </c>
      <c r="O2240" s="14">
        <f>IFERROR(L2240/J2240,0)</f>
        <v>0.44745122718690999</v>
      </c>
      <c r="P2240" s="14">
        <f>IFERROR(L2240/G2240,0)</f>
        <v>0.39499999999999791</v>
      </c>
    </row>
    <row r="2241" spans="1:16" x14ac:dyDescent="0.3">
      <c r="A2241" s="9" t="s">
        <v>4827</v>
      </c>
      <c r="B2241" s="9" t="s">
        <v>26</v>
      </c>
      <c r="C2241" s="9" t="s">
        <v>26</v>
      </c>
      <c r="D2241" s="52">
        <v>46242</v>
      </c>
      <c r="E2241" s="48">
        <v>0.57430555555555551</v>
      </c>
      <c r="F2241" s="48">
        <v>0.5805555555555556</v>
      </c>
      <c r="G2241" s="43">
        <f>(F2241-E2241)*1440</f>
        <v>9.0000000000001279</v>
      </c>
      <c r="H2241" s="9" t="s">
        <v>5108</v>
      </c>
      <c r="I2241" s="9" t="s">
        <v>5109</v>
      </c>
      <c r="J2241" s="44">
        <v>4</v>
      </c>
      <c r="K2241" s="60">
        <v>5.53</v>
      </c>
      <c r="L2241" s="56">
        <v>4.3600000000000003</v>
      </c>
      <c r="M2241" s="14">
        <f>K2241-L2241</f>
        <v>1.17</v>
      </c>
      <c r="N2241" s="15">
        <f>IFERROR(M2241/K2241,0)</f>
        <v>0.21157323688969257</v>
      </c>
      <c r="O2241" s="14">
        <f>IFERROR(L2241/J2241,0)</f>
        <v>1.0900000000000001</v>
      </c>
      <c r="P2241" s="14">
        <f>IFERROR(L2241/G2241,0)</f>
        <v>0.48444444444443757</v>
      </c>
    </row>
    <row r="2242" spans="1:16" x14ac:dyDescent="0.3">
      <c r="A2242" s="9" t="s">
        <v>4828</v>
      </c>
      <c r="B2242" s="9" t="s">
        <v>26</v>
      </c>
      <c r="C2242" s="9" t="s">
        <v>26</v>
      </c>
      <c r="D2242" s="52">
        <v>46242</v>
      </c>
      <c r="E2242" s="48">
        <v>0.58472222222222225</v>
      </c>
      <c r="F2242" s="48">
        <v>0.59722222222222221</v>
      </c>
      <c r="G2242" s="43">
        <f>(F2242-E2242)*1440</f>
        <v>17.999999999999936</v>
      </c>
      <c r="H2242" s="9" t="s">
        <v>5110</v>
      </c>
      <c r="I2242" s="9" t="s">
        <v>5111</v>
      </c>
      <c r="J2242" s="44">
        <v>14.7</v>
      </c>
      <c r="K2242" s="60">
        <v>6.99</v>
      </c>
      <c r="L2242" s="56">
        <v>7.71</v>
      </c>
      <c r="M2242" s="14">
        <f>K2242-L2242</f>
        <v>-0.71999999999999975</v>
      </c>
      <c r="N2242" s="15">
        <f>IFERROR(M2242/K2242,0)</f>
        <v>-0.10300429184549352</v>
      </c>
      <c r="O2242" s="14">
        <f>IFERROR(L2242/J2242,0)</f>
        <v>0.52448979591836742</v>
      </c>
      <c r="P2242" s="14">
        <f>IFERROR(L2242/G2242,0)</f>
        <v>0.42833333333333484</v>
      </c>
    </row>
    <row r="2243" spans="1:16" x14ac:dyDescent="0.3">
      <c r="A2243" s="9" t="s">
        <v>4829</v>
      </c>
      <c r="B2243" s="9" t="s">
        <v>26</v>
      </c>
      <c r="C2243" s="9" t="s">
        <v>27</v>
      </c>
      <c r="D2243" s="52">
        <v>46242</v>
      </c>
      <c r="E2243" s="48">
        <v>0.66736111111111107</v>
      </c>
      <c r="F2243" s="48">
        <v>0.6743055555555556</v>
      </c>
      <c r="G2243" s="43">
        <f>(F2243-E2243)*1440</f>
        <v>10.000000000000124</v>
      </c>
      <c r="H2243" s="9" t="s">
        <v>2925</v>
      </c>
      <c r="I2243" s="9" t="s">
        <v>2215</v>
      </c>
      <c r="J2243" s="44">
        <v>3.9</v>
      </c>
      <c r="K2243" s="60">
        <v>6.65</v>
      </c>
      <c r="L2243" s="56">
        <v>4.99</v>
      </c>
      <c r="M2243" s="14">
        <f>K2243-L2243</f>
        <v>1.6600000000000001</v>
      </c>
      <c r="N2243" s="15">
        <f>IFERROR(M2243/K2243,0)</f>
        <v>0.24962406015037594</v>
      </c>
      <c r="O2243" s="14">
        <f>IFERROR(L2243/J2243,0)</f>
        <v>1.2794871794871796</v>
      </c>
      <c r="P2243" s="14">
        <f>IFERROR(L2243/G2243,0)</f>
        <v>0.49899999999999384</v>
      </c>
    </row>
    <row r="2244" spans="1:16" x14ac:dyDescent="0.3">
      <c r="A2244" s="9" t="s">
        <v>4830</v>
      </c>
      <c r="B2244" s="9" t="s">
        <v>26</v>
      </c>
      <c r="C2244" s="9" t="s">
        <v>26</v>
      </c>
      <c r="D2244" s="52">
        <v>46242</v>
      </c>
      <c r="E2244" s="48">
        <v>0.7319444444444444</v>
      </c>
      <c r="F2244" s="48">
        <v>0.7416666666666667</v>
      </c>
      <c r="G2244" s="43">
        <f>(F2244-E2244)*1440</f>
        <v>14.00000000000011</v>
      </c>
      <c r="H2244" s="9" t="s">
        <v>214</v>
      </c>
      <c r="I2244" s="9" t="s">
        <v>5112</v>
      </c>
      <c r="J2244" s="44">
        <v>7.3</v>
      </c>
      <c r="K2244" s="60">
        <v>5.41</v>
      </c>
      <c r="L2244" s="56">
        <v>4.51</v>
      </c>
      <c r="M2244" s="14">
        <f>K2244-L2244</f>
        <v>0.90000000000000036</v>
      </c>
      <c r="N2244" s="15">
        <f>IFERROR(M2244/K2244,0)</f>
        <v>0.16635859519408508</v>
      </c>
      <c r="O2244" s="14">
        <f>IFERROR(L2244/J2244,0)</f>
        <v>0.61780821917808215</v>
      </c>
      <c r="P2244" s="14">
        <f>IFERROR(L2244/G2244,0)</f>
        <v>0.32214285714285457</v>
      </c>
    </row>
    <row r="2245" spans="1:16" x14ac:dyDescent="0.3">
      <c r="A2245" s="9" t="s">
        <v>4831</v>
      </c>
      <c r="B2245" s="9" t="s">
        <v>26</v>
      </c>
      <c r="C2245" s="9" t="s">
        <v>26</v>
      </c>
      <c r="D2245" s="52">
        <v>46242</v>
      </c>
      <c r="E2245" s="48">
        <v>0.75069444444444444</v>
      </c>
      <c r="F2245" s="48">
        <v>0.7583333333333333</v>
      </c>
      <c r="G2245" s="43">
        <f>(F2245-E2245)*1440</f>
        <v>10.999999999999961</v>
      </c>
      <c r="H2245" s="9" t="s">
        <v>5113</v>
      </c>
      <c r="I2245" s="9" t="s">
        <v>1840</v>
      </c>
      <c r="J2245" s="44">
        <v>3.7</v>
      </c>
      <c r="K2245" s="60">
        <v>4.05</v>
      </c>
      <c r="L2245" s="56">
        <v>3.37</v>
      </c>
      <c r="M2245" s="14">
        <f>K2245-L2245</f>
        <v>0.67999999999999972</v>
      </c>
      <c r="N2245" s="15">
        <f>IFERROR(M2245/K2245,0)</f>
        <v>0.16790123456790118</v>
      </c>
      <c r="O2245" s="14">
        <f>IFERROR(L2245/J2245,0)</f>
        <v>0.91081081081081083</v>
      </c>
      <c r="P2245" s="14">
        <f>IFERROR(L2245/G2245,0)</f>
        <v>0.30636363636363745</v>
      </c>
    </row>
    <row r="2246" spans="1:16" x14ac:dyDescent="0.3">
      <c r="A2246" s="9" t="s">
        <v>4832</v>
      </c>
      <c r="B2246" s="9" t="s">
        <v>26</v>
      </c>
      <c r="C2246" s="9" t="s">
        <v>27</v>
      </c>
      <c r="D2246" s="52">
        <v>46242</v>
      </c>
      <c r="E2246" s="48">
        <v>0.76388888888888884</v>
      </c>
      <c r="F2246" s="48">
        <v>0.77361111111111114</v>
      </c>
      <c r="G2246" s="43">
        <f>(F2246-E2246)*1440</f>
        <v>14.00000000000011</v>
      </c>
      <c r="H2246" s="9" t="s">
        <v>5114</v>
      </c>
      <c r="I2246" s="9" t="s">
        <v>5115</v>
      </c>
      <c r="J2246" s="44">
        <v>6.8</v>
      </c>
      <c r="K2246" s="60">
        <v>6.99</v>
      </c>
      <c r="L2246" s="56">
        <v>5.24</v>
      </c>
      <c r="M2246" s="14">
        <f>K2246-L2246</f>
        <v>1.75</v>
      </c>
      <c r="N2246" s="15">
        <f>IFERROR(M2246/K2246,0)</f>
        <v>0.25035765379113017</v>
      </c>
      <c r="O2246" s="14">
        <f>IFERROR(L2246/J2246,0)</f>
        <v>0.77058823529411768</v>
      </c>
      <c r="P2246" s="14">
        <f>IFERROR(L2246/G2246,0)</f>
        <v>0.37428571428571134</v>
      </c>
    </row>
    <row r="2247" spans="1:16" x14ac:dyDescent="0.3">
      <c r="A2247" s="9" t="s">
        <v>4833</v>
      </c>
      <c r="B2247" s="9" t="s">
        <v>26</v>
      </c>
      <c r="C2247" s="9" t="s">
        <v>26</v>
      </c>
      <c r="D2247" s="52">
        <v>46242</v>
      </c>
      <c r="E2247" s="48">
        <v>0.77708333333333324</v>
      </c>
      <c r="F2247" s="48">
        <v>0.78472222222222221</v>
      </c>
      <c r="G2247" s="43">
        <f>(F2247-E2247)*1440</f>
        <v>11.000000000000121</v>
      </c>
      <c r="H2247" s="9" t="s">
        <v>5116</v>
      </c>
      <c r="I2247" s="9" t="s">
        <v>1840</v>
      </c>
      <c r="J2247" s="44">
        <v>4.8</v>
      </c>
      <c r="K2247" s="60">
        <v>4.01</v>
      </c>
      <c r="L2247" s="56">
        <v>4.3</v>
      </c>
      <c r="M2247" s="14">
        <f>K2247-L2247</f>
        <v>-0.29000000000000004</v>
      </c>
      <c r="N2247" s="15">
        <f>IFERROR(M2247/K2247,0)</f>
        <v>-7.2319201995012475E-2</v>
      </c>
      <c r="O2247" s="14">
        <f>IFERROR(L2247/J2247,0)</f>
        <v>0.89583333333333337</v>
      </c>
      <c r="P2247" s="14">
        <f>IFERROR(L2247/G2247,0)</f>
        <v>0.3909090909090866</v>
      </c>
    </row>
    <row r="2248" spans="1:16" x14ac:dyDescent="0.3">
      <c r="A2248" s="9" t="s">
        <v>4834</v>
      </c>
      <c r="B2248" s="9" t="s">
        <v>26</v>
      </c>
      <c r="C2248" s="9" t="s">
        <v>26</v>
      </c>
      <c r="D2248" s="52">
        <v>46242</v>
      </c>
      <c r="E2248" s="48">
        <v>0.8125</v>
      </c>
      <c r="F2248" s="48">
        <v>0.82777777777777783</v>
      </c>
      <c r="G2248" s="43">
        <f>(F2248-E2248)*1440</f>
        <v>22.000000000000082</v>
      </c>
      <c r="H2248" s="9" t="s">
        <v>5117</v>
      </c>
      <c r="I2248" s="9" t="s">
        <v>261</v>
      </c>
      <c r="J2248" s="44">
        <v>14.2</v>
      </c>
      <c r="K2248" s="60">
        <v>9.99</v>
      </c>
      <c r="L2248" s="56">
        <v>8.41</v>
      </c>
      <c r="M2248" s="14">
        <f>K2248-L2248</f>
        <v>1.58</v>
      </c>
      <c r="N2248" s="15">
        <f>IFERROR(M2248/K2248,0)</f>
        <v>0.15815815815815817</v>
      </c>
      <c r="O2248" s="14">
        <f>IFERROR(L2248/J2248,0)</f>
        <v>0.59225352112676055</v>
      </c>
      <c r="P2248" s="14">
        <f>IFERROR(L2248/G2248,0)</f>
        <v>0.38227272727272588</v>
      </c>
    </row>
    <row r="2249" spans="1:16" x14ac:dyDescent="0.3">
      <c r="A2249" s="9" t="s">
        <v>4835</v>
      </c>
      <c r="B2249" s="9" t="s">
        <v>26</v>
      </c>
      <c r="C2249" s="9" t="s">
        <v>27</v>
      </c>
      <c r="D2249" s="52">
        <v>46243</v>
      </c>
      <c r="E2249" s="48">
        <v>0.5708333333333333</v>
      </c>
      <c r="F2249" s="48">
        <v>0.57430555555555551</v>
      </c>
      <c r="G2249" s="43">
        <f>(F2249-E2249)*1440</f>
        <v>4.9999999999999822</v>
      </c>
      <c r="H2249" s="9" t="s">
        <v>4085</v>
      </c>
      <c r="I2249" s="9" t="s">
        <v>5118</v>
      </c>
      <c r="J2249" s="44">
        <v>2.4</v>
      </c>
      <c r="K2249" s="60">
        <v>7.32</v>
      </c>
      <c r="L2249" s="56">
        <v>6.04</v>
      </c>
      <c r="M2249" s="14">
        <f>K2249-L2249</f>
        <v>1.2800000000000002</v>
      </c>
      <c r="N2249" s="15">
        <f>IFERROR(M2249/K2249,0)</f>
        <v>0.1748633879781421</v>
      </c>
      <c r="O2249" s="14">
        <f>IFERROR(L2249/J2249,0)</f>
        <v>2.5166666666666666</v>
      </c>
      <c r="P2249" s="14">
        <f>IFERROR(L2249/G2249,0)</f>
        <v>1.2080000000000044</v>
      </c>
    </row>
    <row r="2250" spans="1:16" x14ac:dyDescent="0.3">
      <c r="A2250" s="9" t="s">
        <v>4836</v>
      </c>
      <c r="B2250" s="9" t="s">
        <v>26</v>
      </c>
      <c r="C2250" s="9" t="s">
        <v>27</v>
      </c>
      <c r="D2250" s="52">
        <v>46243</v>
      </c>
      <c r="E2250" s="48">
        <v>0.5805555555555556</v>
      </c>
      <c r="F2250" s="48">
        <v>0.58263888888888882</v>
      </c>
      <c r="G2250" s="43">
        <f>(F2250-E2250)*1440</f>
        <v>2.9999999999998295</v>
      </c>
      <c r="H2250" s="9" t="s">
        <v>5119</v>
      </c>
      <c r="I2250" s="9" t="s">
        <v>5120</v>
      </c>
      <c r="J2250" s="44">
        <v>1</v>
      </c>
      <c r="K2250" s="60">
        <v>4.3</v>
      </c>
      <c r="L2250" s="56">
        <v>3.54</v>
      </c>
      <c r="M2250" s="14">
        <f>K2250-L2250</f>
        <v>0.75999999999999979</v>
      </c>
      <c r="N2250" s="15">
        <f>IFERROR(M2250/K2250,0)</f>
        <v>0.1767441860465116</v>
      </c>
      <c r="O2250" s="14">
        <f>IFERROR(L2250/J2250,0)</f>
        <v>3.54</v>
      </c>
      <c r="P2250" s="14">
        <f>IFERROR(L2250/G2250,0)</f>
        <v>1.180000000000067</v>
      </c>
    </row>
    <row r="2251" spans="1:16" x14ac:dyDescent="0.3">
      <c r="A2251" s="9" t="s">
        <v>4837</v>
      </c>
      <c r="B2251" s="9" t="s">
        <v>26</v>
      </c>
      <c r="C2251" s="9" t="s">
        <v>26</v>
      </c>
      <c r="D2251" s="52">
        <v>46243</v>
      </c>
      <c r="E2251" s="48">
        <v>0.66875000000000007</v>
      </c>
      <c r="F2251" s="48">
        <v>0.67847222222222225</v>
      </c>
      <c r="G2251" s="43">
        <f>(F2251-E2251)*1440</f>
        <v>13.99999999999995</v>
      </c>
      <c r="H2251" s="9" t="s">
        <v>1330</v>
      </c>
      <c r="I2251" s="9" t="s">
        <v>243</v>
      </c>
      <c r="J2251" s="44">
        <v>7.4</v>
      </c>
      <c r="K2251" s="60">
        <v>4.5599999999999996</v>
      </c>
      <c r="L2251" s="56">
        <v>4.7</v>
      </c>
      <c r="M2251" s="14">
        <f>K2251-L2251</f>
        <v>-0.14000000000000057</v>
      </c>
      <c r="N2251" s="15">
        <f>IFERROR(M2251/K2251,0)</f>
        <v>-3.0701754385965039E-2</v>
      </c>
      <c r="O2251" s="14">
        <f>IFERROR(L2251/J2251,0)</f>
        <v>0.63513513513513509</v>
      </c>
      <c r="P2251" s="14">
        <f>IFERROR(L2251/G2251,0)</f>
        <v>0.33571428571428691</v>
      </c>
    </row>
    <row r="2252" spans="1:16" x14ac:dyDescent="0.3">
      <c r="A2252" s="9" t="s">
        <v>4838</v>
      </c>
      <c r="B2252" s="9" t="s">
        <v>26</v>
      </c>
      <c r="C2252" s="9" t="s">
        <v>27</v>
      </c>
      <c r="D2252" s="52">
        <v>46243</v>
      </c>
      <c r="E2252" s="48">
        <v>0.67847222222222225</v>
      </c>
      <c r="F2252" s="48">
        <v>0.68541666666666667</v>
      </c>
      <c r="G2252" s="43">
        <f>(F2252-E2252)*1440</f>
        <v>9.9999999999999645</v>
      </c>
      <c r="H2252" s="9" t="s">
        <v>243</v>
      </c>
      <c r="I2252" s="9" t="s">
        <v>1969</v>
      </c>
      <c r="J2252" s="44">
        <v>5.5</v>
      </c>
      <c r="K2252" s="60">
        <v>5.51</v>
      </c>
      <c r="L2252" s="56">
        <v>4.13</v>
      </c>
      <c r="M2252" s="14">
        <f>K2252-L2252</f>
        <v>1.38</v>
      </c>
      <c r="N2252" s="15">
        <f>IFERROR(M2252/K2252,0)</f>
        <v>0.25045372050816694</v>
      </c>
      <c r="O2252" s="14">
        <f>IFERROR(L2252/J2252,0)</f>
        <v>0.75090909090909086</v>
      </c>
      <c r="P2252" s="14">
        <f>IFERROR(L2252/G2252,0)</f>
        <v>0.41300000000000148</v>
      </c>
    </row>
    <row r="2253" spans="1:16" x14ac:dyDescent="0.3">
      <c r="A2253" s="9" t="s">
        <v>4839</v>
      </c>
      <c r="B2253" s="9" t="s">
        <v>26</v>
      </c>
      <c r="C2253" s="9" t="s">
        <v>26</v>
      </c>
      <c r="D2253" s="52">
        <v>46243</v>
      </c>
      <c r="E2253" s="48">
        <v>0.70347222222222217</v>
      </c>
      <c r="F2253" s="48">
        <v>0.70833333333333337</v>
      </c>
      <c r="G2253" s="43">
        <f>(F2253-E2253)*1440</f>
        <v>7.000000000000135</v>
      </c>
      <c r="H2253" s="9" t="s">
        <v>732</v>
      </c>
      <c r="I2253" s="9" t="s">
        <v>3336</v>
      </c>
      <c r="J2253" s="44">
        <v>4.5999999999999996</v>
      </c>
      <c r="K2253" s="60">
        <v>4.05</v>
      </c>
      <c r="L2253" s="56">
        <v>3.37</v>
      </c>
      <c r="M2253" s="14">
        <f>K2253-L2253</f>
        <v>0.67999999999999972</v>
      </c>
      <c r="N2253" s="15">
        <f>IFERROR(M2253/K2253,0)</f>
        <v>0.16790123456790118</v>
      </c>
      <c r="O2253" s="14">
        <f>IFERROR(L2253/J2253,0)</f>
        <v>0.73260869565217401</v>
      </c>
      <c r="P2253" s="14">
        <f>IFERROR(L2253/G2253,0)</f>
        <v>0.48142857142856216</v>
      </c>
    </row>
    <row r="2254" spans="1:16" x14ac:dyDescent="0.3">
      <c r="A2254" s="9" t="s">
        <v>4840</v>
      </c>
      <c r="B2254" s="9" t="s">
        <v>26</v>
      </c>
      <c r="C2254" s="9" t="s">
        <v>26</v>
      </c>
      <c r="D2254" s="52">
        <v>46243</v>
      </c>
      <c r="E2254" s="48">
        <v>0.7104166666666667</v>
      </c>
      <c r="F2254" s="48">
        <v>0.71666666666666667</v>
      </c>
      <c r="G2254" s="43">
        <f>(F2254-E2254)*1440</f>
        <v>8.999999999999968</v>
      </c>
      <c r="H2254" s="9" t="s">
        <v>2786</v>
      </c>
      <c r="I2254" s="9" t="s">
        <v>242</v>
      </c>
      <c r="J2254" s="44">
        <v>2.5</v>
      </c>
      <c r="K2254" s="60">
        <v>5.85</v>
      </c>
      <c r="L2254" s="56">
        <v>4.3899999999999997</v>
      </c>
      <c r="M2254" s="14">
        <f>K2254-L2254</f>
        <v>1.46</v>
      </c>
      <c r="N2254" s="15">
        <f>IFERROR(M2254/K2254,0)</f>
        <v>0.24957264957264957</v>
      </c>
      <c r="O2254" s="14">
        <f>IFERROR(L2254/J2254,0)</f>
        <v>1.7559999999999998</v>
      </c>
      <c r="P2254" s="14">
        <f>IFERROR(L2254/G2254,0)</f>
        <v>0.48777777777777948</v>
      </c>
    </row>
    <row r="2255" spans="1:16" x14ac:dyDescent="0.3">
      <c r="A2255" s="9" t="s">
        <v>4841</v>
      </c>
      <c r="B2255" s="9" t="s">
        <v>26</v>
      </c>
      <c r="C2255" s="9" t="s">
        <v>26</v>
      </c>
      <c r="D2255" s="52">
        <v>46243</v>
      </c>
      <c r="E2255" s="48">
        <v>0.72222222222222221</v>
      </c>
      <c r="F2255" s="48">
        <v>0.7319444444444444</v>
      </c>
      <c r="G2255" s="43">
        <f>(F2255-E2255)*1440</f>
        <v>13.99999999999995</v>
      </c>
      <c r="H2255" s="9" t="s">
        <v>1299</v>
      </c>
      <c r="I2255" s="9" t="s">
        <v>1840</v>
      </c>
      <c r="J2255" s="44">
        <v>6.4</v>
      </c>
      <c r="K2255" s="60">
        <v>5.93</v>
      </c>
      <c r="L2255" s="56">
        <v>4.45</v>
      </c>
      <c r="M2255" s="14">
        <f>K2255-L2255</f>
        <v>1.4799999999999995</v>
      </c>
      <c r="N2255" s="15">
        <f>IFERROR(M2255/K2255,0)</f>
        <v>0.24957841483979756</v>
      </c>
      <c r="O2255" s="14">
        <f>IFERROR(L2255/J2255,0)</f>
        <v>0.6953125</v>
      </c>
      <c r="P2255" s="14">
        <f>IFERROR(L2255/G2255,0)</f>
        <v>0.317857142857144</v>
      </c>
    </row>
    <row r="2256" spans="1:16" x14ac:dyDescent="0.3">
      <c r="A2256" s="9" t="s">
        <v>4842</v>
      </c>
      <c r="B2256" s="9" t="s">
        <v>26</v>
      </c>
      <c r="C2256" s="9" t="s">
        <v>27</v>
      </c>
      <c r="D2256" s="52">
        <v>46243</v>
      </c>
      <c r="E2256" s="48">
        <v>0.7319444444444444</v>
      </c>
      <c r="F2256" s="48">
        <v>0.73888888888888893</v>
      </c>
      <c r="G2256" s="43">
        <f>(F2256-E2256)*1440</f>
        <v>10.000000000000124</v>
      </c>
      <c r="H2256" s="9" t="s">
        <v>4313</v>
      </c>
      <c r="I2256" s="9" t="s">
        <v>242</v>
      </c>
      <c r="J2256" s="44">
        <v>4.8</v>
      </c>
      <c r="K2256" s="60">
        <v>5.51</v>
      </c>
      <c r="L2256" s="56">
        <v>4.13</v>
      </c>
      <c r="M2256" s="14">
        <f>K2256-L2256</f>
        <v>1.38</v>
      </c>
      <c r="N2256" s="15">
        <f>IFERROR(M2256/K2256,0)</f>
        <v>0.25045372050816694</v>
      </c>
      <c r="O2256" s="14">
        <f>IFERROR(L2256/J2256,0)</f>
        <v>0.86041666666666672</v>
      </c>
      <c r="P2256" s="14">
        <f>IFERROR(L2256/G2256,0)</f>
        <v>0.41299999999999487</v>
      </c>
    </row>
    <row r="2257" spans="1:19" x14ac:dyDescent="0.3">
      <c r="A2257" s="9" t="s">
        <v>4843</v>
      </c>
      <c r="B2257" s="9" t="s">
        <v>26</v>
      </c>
      <c r="C2257" s="9" t="s">
        <v>26</v>
      </c>
      <c r="D2257" s="52">
        <v>46243</v>
      </c>
      <c r="E2257" s="48">
        <v>0.73958333333333337</v>
      </c>
      <c r="F2257" s="48">
        <v>0.74722222222222223</v>
      </c>
      <c r="G2257" s="43">
        <f>(F2257-E2257)*1440</f>
        <v>10.999999999999961</v>
      </c>
      <c r="H2257" s="9" t="s">
        <v>4171</v>
      </c>
      <c r="I2257" s="9" t="s">
        <v>5121</v>
      </c>
      <c r="J2257" s="44">
        <v>9.4</v>
      </c>
      <c r="K2257" s="60">
        <v>7.63</v>
      </c>
      <c r="L2257" s="56">
        <v>5.72</v>
      </c>
      <c r="M2257" s="14">
        <f>K2257-L2257</f>
        <v>1.9100000000000001</v>
      </c>
      <c r="N2257" s="15">
        <f>IFERROR(M2257/K2257,0)</f>
        <v>0.25032765399737877</v>
      </c>
      <c r="O2257" s="14">
        <f>IFERROR(L2257/J2257,0)</f>
        <v>0.60851063829787233</v>
      </c>
      <c r="P2257" s="14">
        <f>IFERROR(L2257/G2257,0)</f>
        <v>0.52000000000000179</v>
      </c>
    </row>
    <row r="2258" spans="1:19" x14ac:dyDescent="0.3">
      <c r="A2258" s="9" t="s">
        <v>4844</v>
      </c>
      <c r="B2258" s="9" t="s">
        <v>18</v>
      </c>
      <c r="C2258" s="9" t="s">
        <v>184</v>
      </c>
      <c r="D2258" s="52">
        <v>46243</v>
      </c>
      <c r="E2258" s="48">
        <v>0.5541666666666667</v>
      </c>
      <c r="F2258" s="48">
        <v>0.56180555555555556</v>
      </c>
      <c r="G2258" s="43">
        <f>(F2258-E2258)*1440</f>
        <v>10.999999999999961</v>
      </c>
      <c r="H2258" s="9" t="s">
        <v>5122</v>
      </c>
      <c r="I2258" s="9" t="s">
        <v>5123</v>
      </c>
      <c r="J2258" s="44">
        <v>5.89</v>
      </c>
      <c r="K2258" s="60">
        <v>4.95</v>
      </c>
      <c r="L2258" s="56">
        <v>3.71</v>
      </c>
      <c r="M2258" s="14">
        <f>K2258-L2258</f>
        <v>1.2400000000000002</v>
      </c>
      <c r="N2258" s="15">
        <f>IFERROR(M2258/K2258,0)</f>
        <v>0.25050505050505056</v>
      </c>
      <c r="O2258" s="14">
        <f>IFERROR(L2258/J2258,0)</f>
        <v>0.62988115449915116</v>
      </c>
      <c r="P2258" s="14">
        <f>IFERROR(L2258/G2258,0)</f>
        <v>0.33727272727272845</v>
      </c>
    </row>
    <row r="2259" spans="1:19" x14ac:dyDescent="0.3">
      <c r="A2259" s="9" t="s">
        <v>4845</v>
      </c>
      <c r="B2259" s="9" t="s">
        <v>18</v>
      </c>
      <c r="C2259" s="9" t="s">
        <v>196</v>
      </c>
      <c r="D2259" s="52">
        <v>46243</v>
      </c>
      <c r="E2259" s="48">
        <v>0.5756944444444444</v>
      </c>
      <c r="F2259" s="48">
        <v>0.57777777777777783</v>
      </c>
      <c r="G2259" s="43">
        <f>(F2259-E2259)*1440</f>
        <v>3.0000000000001492</v>
      </c>
      <c r="H2259" s="9" t="s">
        <v>545</v>
      </c>
      <c r="I2259" s="9" t="s">
        <v>4295</v>
      </c>
      <c r="J2259" s="44">
        <v>1.33</v>
      </c>
      <c r="K2259" s="60">
        <v>4.9800000000000004</v>
      </c>
      <c r="L2259" s="56">
        <v>3.74</v>
      </c>
      <c r="M2259" s="14">
        <f>K2259-L2259</f>
        <v>1.2400000000000002</v>
      </c>
      <c r="N2259" s="15">
        <f>IFERROR(M2259/K2259,0)</f>
        <v>0.24899598393574299</v>
      </c>
      <c r="O2259" s="14">
        <f>IFERROR(L2259/J2259,0)</f>
        <v>2.8120300751879701</v>
      </c>
      <c r="P2259" s="14">
        <f>IFERROR(L2259/G2259,0)</f>
        <v>1.2466666666666046</v>
      </c>
    </row>
    <row r="2260" spans="1:19" x14ac:dyDescent="0.3">
      <c r="A2260" s="9" t="s">
        <v>4846</v>
      </c>
      <c r="B2260" s="9" t="s">
        <v>18</v>
      </c>
      <c r="C2260" s="9" t="s">
        <v>184</v>
      </c>
      <c r="D2260" s="52">
        <v>46243</v>
      </c>
      <c r="E2260" s="48">
        <v>0.57847222222222217</v>
      </c>
      <c r="F2260" s="48">
        <v>0.59097222222222223</v>
      </c>
      <c r="G2260" s="43">
        <f>(F2260-E2260)*1440</f>
        <v>18.000000000000096</v>
      </c>
      <c r="H2260" s="9" t="s">
        <v>2604</v>
      </c>
      <c r="I2260" s="9" t="s">
        <v>531</v>
      </c>
      <c r="J2260" s="44">
        <v>14.78</v>
      </c>
      <c r="K2260" s="60">
        <v>8.9499999999999993</v>
      </c>
      <c r="L2260" s="56">
        <v>7.62</v>
      </c>
      <c r="M2260" s="14">
        <f>K2260-L2260</f>
        <v>1.3299999999999992</v>
      </c>
      <c r="N2260" s="15">
        <f>IFERROR(M2260/K2260,0)</f>
        <v>0.14860335195530719</v>
      </c>
      <c r="O2260" s="14">
        <f>IFERROR(L2260/J2260,0)</f>
        <v>0.51556156968876865</v>
      </c>
      <c r="P2260" s="14">
        <f>IFERROR(L2260/G2260,0)</f>
        <v>0.42333333333333106</v>
      </c>
    </row>
    <row r="2261" spans="1:19" x14ac:dyDescent="0.3">
      <c r="A2261" s="9" t="s">
        <v>4847</v>
      </c>
      <c r="B2261" s="9" t="s">
        <v>18</v>
      </c>
      <c r="C2261" s="9" t="s">
        <v>184</v>
      </c>
      <c r="D2261" s="52">
        <v>46243</v>
      </c>
      <c r="E2261" s="48">
        <v>0.60069444444444442</v>
      </c>
      <c r="F2261" s="48">
        <v>0.61944444444444446</v>
      </c>
      <c r="G2261" s="43">
        <f>(F2261-E2261)*1440</f>
        <v>27.000000000000064</v>
      </c>
      <c r="H2261" s="9" t="s">
        <v>2974</v>
      </c>
      <c r="I2261" s="9" t="s">
        <v>186</v>
      </c>
      <c r="J2261" s="44">
        <v>10.93</v>
      </c>
      <c r="K2261" s="60">
        <v>9.9600000000000009</v>
      </c>
      <c r="L2261" s="56">
        <v>8.18</v>
      </c>
      <c r="M2261" s="14">
        <f>K2261-L2261</f>
        <v>1.7800000000000011</v>
      </c>
      <c r="N2261" s="15">
        <f>IFERROR(M2261/K2261,0)</f>
        <v>0.17871485943775109</v>
      </c>
      <c r="O2261" s="14">
        <f>IFERROR(L2261/J2261,0)</f>
        <v>0.74839890210430005</v>
      </c>
      <c r="P2261" s="14">
        <f>IFERROR(L2261/G2261,0)</f>
        <v>0.30296296296296221</v>
      </c>
    </row>
    <row r="2262" spans="1:19" x14ac:dyDescent="0.3">
      <c r="A2262" s="9" t="s">
        <v>4848</v>
      </c>
      <c r="B2262" s="9" t="s">
        <v>18</v>
      </c>
      <c r="C2262" s="9" t="s">
        <v>184</v>
      </c>
      <c r="D2262" s="52">
        <v>46243</v>
      </c>
      <c r="E2262" s="48">
        <v>0.62222222222222223</v>
      </c>
      <c r="F2262" s="48">
        <v>0.6333333333333333</v>
      </c>
      <c r="G2262" s="43">
        <f>(F2262-E2262)*1440</f>
        <v>15.999999999999943</v>
      </c>
      <c r="H2262" s="9" t="s">
        <v>5124</v>
      </c>
      <c r="I2262" s="9" t="s">
        <v>1225</v>
      </c>
      <c r="J2262" s="44">
        <v>6.48</v>
      </c>
      <c r="K2262" s="60">
        <v>6.93</v>
      </c>
      <c r="L2262" s="56">
        <v>4.5</v>
      </c>
      <c r="M2262" s="14">
        <f>K2262-L2262</f>
        <v>2.4299999999999997</v>
      </c>
      <c r="N2262" s="15">
        <f>IFERROR(M2262/K2262,0)</f>
        <v>0.3506493506493506</v>
      </c>
      <c r="O2262" s="14">
        <f>IFERROR(L2262/J2262,0)</f>
        <v>0.69444444444444442</v>
      </c>
      <c r="P2262" s="14">
        <f>IFERROR(L2262/G2262,0)</f>
        <v>0.281250000000001</v>
      </c>
    </row>
    <row r="2263" spans="1:19" x14ac:dyDescent="0.3">
      <c r="A2263" s="9" t="s">
        <v>4849</v>
      </c>
      <c r="B2263" s="9" t="s">
        <v>18</v>
      </c>
      <c r="C2263" s="9" t="s">
        <v>184</v>
      </c>
      <c r="D2263" s="52">
        <v>46243</v>
      </c>
      <c r="E2263" s="48">
        <v>0.63124999999999998</v>
      </c>
      <c r="F2263" s="48">
        <v>0.63958333333333328</v>
      </c>
      <c r="G2263" s="43">
        <f>(F2263-E2263)*1440</f>
        <v>11.999999999999957</v>
      </c>
      <c r="H2263" s="9" t="s">
        <v>729</v>
      </c>
      <c r="I2263" s="9" t="s">
        <v>698</v>
      </c>
      <c r="J2263" s="44">
        <v>3.58</v>
      </c>
      <c r="K2263" s="60">
        <v>5.95</v>
      </c>
      <c r="L2263" s="56">
        <v>3.87</v>
      </c>
      <c r="M2263" s="14">
        <f>K2263-L2263</f>
        <v>2.08</v>
      </c>
      <c r="N2263" s="15">
        <f>IFERROR(M2263/K2263,0)</f>
        <v>0.34957983193277309</v>
      </c>
      <c r="O2263" s="14">
        <f>IFERROR(L2263/J2263,0)</f>
        <v>1.0810055865921788</v>
      </c>
      <c r="P2263" s="14">
        <f>IFERROR(L2263/G2263,0)</f>
        <v>0.32250000000000117</v>
      </c>
      <c r="S2263" s="61">
        <v>3</v>
      </c>
    </row>
    <row r="2264" spans="1:19" x14ac:dyDescent="0.3">
      <c r="A2264" s="9" t="s">
        <v>4850</v>
      </c>
      <c r="B2264" s="9" t="s">
        <v>18</v>
      </c>
      <c r="C2264" s="9" t="s">
        <v>184</v>
      </c>
      <c r="D2264" s="52">
        <v>46243</v>
      </c>
      <c r="E2264" s="48">
        <v>0.6430555555555556</v>
      </c>
      <c r="F2264" s="48">
        <v>0.64583333333333337</v>
      </c>
      <c r="G2264" s="43">
        <f>(F2264-E2264)*1440</f>
        <v>3.9999999999999858</v>
      </c>
      <c r="H2264" s="9" t="s">
        <v>698</v>
      </c>
      <c r="I2264" s="9" t="s">
        <v>1916</v>
      </c>
      <c r="J2264" s="44">
        <v>1.47</v>
      </c>
      <c r="K2264" s="60">
        <v>4.96</v>
      </c>
      <c r="L2264" s="56">
        <v>3.3</v>
      </c>
      <c r="M2264" s="14">
        <f>K2264-L2264</f>
        <v>1.6600000000000001</v>
      </c>
      <c r="N2264" s="15">
        <f>IFERROR(M2264/K2264,0)</f>
        <v>0.33467741935483875</v>
      </c>
      <c r="O2264" s="14">
        <f>IFERROR(L2264/J2264,0)</f>
        <v>2.2448979591836733</v>
      </c>
      <c r="P2264" s="14">
        <f>IFERROR(L2264/G2264,0)</f>
        <v>0.82500000000000284</v>
      </c>
      <c r="S2264" s="61">
        <v>1</v>
      </c>
    </row>
    <row r="2265" spans="1:19" x14ac:dyDescent="0.3">
      <c r="A2265" s="9" t="s">
        <v>4851</v>
      </c>
      <c r="B2265" s="9" t="s">
        <v>18</v>
      </c>
      <c r="C2265" s="9" t="s">
        <v>230</v>
      </c>
      <c r="D2265" s="52">
        <v>46243</v>
      </c>
      <c r="E2265" s="48">
        <v>0.68263888888888891</v>
      </c>
      <c r="F2265" s="48">
        <v>0.69236111111111109</v>
      </c>
      <c r="G2265" s="43">
        <f>(F2265-E2265)*1440</f>
        <v>13.99999999999995</v>
      </c>
      <c r="H2265" s="9" t="s">
        <v>1290</v>
      </c>
      <c r="I2265" s="9" t="s">
        <v>5125</v>
      </c>
      <c r="J2265" s="44">
        <v>8.58</v>
      </c>
      <c r="K2265" s="60">
        <v>5.0599999999999996</v>
      </c>
      <c r="L2265" s="56">
        <v>4.91</v>
      </c>
      <c r="M2265" s="14">
        <f>K2265-L2265</f>
        <v>0.14999999999999947</v>
      </c>
      <c r="N2265" s="15">
        <f>IFERROR(M2265/K2265,0)</f>
        <v>2.9644268774703456E-2</v>
      </c>
      <c r="O2265" s="14">
        <f>IFERROR(L2265/J2265,0)</f>
        <v>0.57226107226107226</v>
      </c>
      <c r="P2265" s="14">
        <f>IFERROR(L2265/G2265,0)</f>
        <v>0.35071428571428698</v>
      </c>
    </row>
    <row r="2266" spans="1:19" x14ac:dyDescent="0.3">
      <c r="A2266" s="9" t="s">
        <v>4852</v>
      </c>
      <c r="B2266" s="9" t="s">
        <v>18</v>
      </c>
      <c r="C2266" s="9" t="s">
        <v>184</v>
      </c>
      <c r="D2266" s="52">
        <v>46243</v>
      </c>
      <c r="E2266" s="48">
        <v>0.75624999999999998</v>
      </c>
      <c r="F2266" s="48">
        <v>0.76388888888888884</v>
      </c>
      <c r="G2266" s="43">
        <f>(F2266-E2266)*1440</f>
        <v>10.999999999999961</v>
      </c>
      <c r="H2266" s="9" t="s">
        <v>5126</v>
      </c>
      <c r="I2266" s="9" t="s">
        <v>836</v>
      </c>
      <c r="J2266" s="44">
        <v>7.08</v>
      </c>
      <c r="K2266" s="60">
        <v>6.94</v>
      </c>
      <c r="L2266" s="56">
        <v>5.53</v>
      </c>
      <c r="M2266" s="14">
        <f>K2266-L2266</f>
        <v>1.4100000000000001</v>
      </c>
      <c r="N2266" s="15">
        <f>IFERROR(M2266/K2266,0)</f>
        <v>0.20317002881844382</v>
      </c>
      <c r="O2266" s="14">
        <f>IFERROR(L2266/J2266,0)</f>
        <v>0.78107344632768361</v>
      </c>
      <c r="P2266" s="14">
        <f>IFERROR(L2266/G2266,0)</f>
        <v>0.50272727272727458</v>
      </c>
    </row>
    <row r="2267" spans="1:19" x14ac:dyDescent="0.3">
      <c r="A2267" s="9" t="s">
        <v>4853</v>
      </c>
      <c r="B2267" s="9" t="s">
        <v>18</v>
      </c>
      <c r="C2267" s="9" t="s">
        <v>184</v>
      </c>
      <c r="D2267" s="52">
        <v>46243</v>
      </c>
      <c r="E2267" s="48">
        <v>0.77222222222222225</v>
      </c>
      <c r="F2267" s="48">
        <v>0.77569444444444446</v>
      </c>
      <c r="G2267" s="43">
        <f>(F2267-E2267)*1440</f>
        <v>4.9999999999999822</v>
      </c>
      <c r="H2267" s="9" t="s">
        <v>629</v>
      </c>
      <c r="I2267" s="9" t="s">
        <v>681</v>
      </c>
      <c r="J2267" s="44">
        <v>1.59</v>
      </c>
      <c r="K2267" s="60">
        <v>4.95</v>
      </c>
      <c r="L2267" s="56">
        <v>3.38</v>
      </c>
      <c r="M2267" s="14">
        <f>K2267-L2267</f>
        <v>1.5700000000000003</v>
      </c>
      <c r="N2267" s="15">
        <f>IFERROR(M2267/K2267,0)</f>
        <v>0.31717171717171722</v>
      </c>
      <c r="O2267" s="14">
        <f>IFERROR(L2267/J2267,0)</f>
        <v>2.1257861635220126</v>
      </c>
      <c r="P2267" s="14">
        <f>IFERROR(L2267/G2267,0)</f>
        <v>0.67600000000000238</v>
      </c>
    </row>
    <row r="2268" spans="1:19" x14ac:dyDescent="0.3">
      <c r="A2268" s="9" t="s">
        <v>4854</v>
      </c>
      <c r="B2268" s="9" t="s">
        <v>18</v>
      </c>
      <c r="C2268" s="9" t="s">
        <v>184</v>
      </c>
      <c r="D2268" s="52">
        <v>46243</v>
      </c>
      <c r="E2268" s="48">
        <v>0.79027777777777775</v>
      </c>
      <c r="F2268" s="48">
        <v>0.79999999999999993</v>
      </c>
      <c r="G2268" s="43">
        <f>(F2268-E2268)*1440</f>
        <v>13.99999999999995</v>
      </c>
      <c r="H2268" s="9" t="s">
        <v>5104</v>
      </c>
      <c r="I2268" s="9" t="s">
        <v>5127</v>
      </c>
      <c r="J2268" s="44">
        <v>8.5500000000000007</v>
      </c>
      <c r="K2268" s="60">
        <v>5.93</v>
      </c>
      <c r="L2268" s="56">
        <v>5.38</v>
      </c>
      <c r="M2268" s="14">
        <f>K2268-L2268</f>
        <v>0.54999999999999982</v>
      </c>
      <c r="N2268" s="15">
        <f>IFERROR(M2268/K2268,0)</f>
        <v>9.2748735244519362E-2</v>
      </c>
      <c r="O2268" s="14">
        <f>IFERROR(L2268/J2268,0)</f>
        <v>0.62923976608187127</v>
      </c>
      <c r="P2268" s="14">
        <f>IFERROR(L2268/G2268,0)</f>
        <v>0.38428571428571562</v>
      </c>
    </row>
    <row r="2269" spans="1:19" x14ac:dyDescent="0.3">
      <c r="A2269" s="9" t="s">
        <v>4855</v>
      </c>
      <c r="B2269" s="9" t="s">
        <v>18</v>
      </c>
      <c r="C2269" s="9" t="s">
        <v>184</v>
      </c>
      <c r="D2269" s="52">
        <v>46243</v>
      </c>
      <c r="E2269" s="48">
        <v>0.80972222222222223</v>
      </c>
      <c r="F2269" s="48">
        <v>0.81388888888888899</v>
      </c>
      <c r="G2269" s="43">
        <f>(F2269-E2269)*1440</f>
        <v>6.0000000000001386</v>
      </c>
      <c r="H2269" s="9" t="s">
        <v>214</v>
      </c>
      <c r="I2269" s="9" t="s">
        <v>3298</v>
      </c>
      <c r="J2269" s="44">
        <v>3.32</v>
      </c>
      <c r="K2269" s="60">
        <v>4.93</v>
      </c>
      <c r="L2269" s="56">
        <v>3.9</v>
      </c>
      <c r="M2269" s="14">
        <f>K2269-L2269</f>
        <v>1.0299999999999998</v>
      </c>
      <c r="N2269" s="15">
        <f>IFERROR(M2269/K2269,0)</f>
        <v>0.20892494929006084</v>
      </c>
      <c r="O2269" s="14">
        <f>IFERROR(L2269/J2269,0)</f>
        <v>1.1746987951807228</v>
      </c>
      <c r="P2269" s="14">
        <f>IFERROR(L2269/G2269,0)</f>
        <v>0.64999999999998492</v>
      </c>
    </row>
    <row r="2270" spans="1:19" x14ac:dyDescent="0.3">
      <c r="A2270" s="9" t="s">
        <v>4856</v>
      </c>
      <c r="B2270" s="9" t="s">
        <v>18</v>
      </c>
      <c r="C2270" s="9" t="s">
        <v>184</v>
      </c>
      <c r="D2270" s="52">
        <v>46243</v>
      </c>
      <c r="E2270" s="48">
        <v>0.82986111111111116</v>
      </c>
      <c r="F2270" s="48">
        <v>0.84166666666666667</v>
      </c>
      <c r="G2270" s="43">
        <f>(F2270-E2270)*1440</f>
        <v>16.99999999999994</v>
      </c>
      <c r="H2270" s="9" t="s">
        <v>5121</v>
      </c>
      <c r="I2270" s="9" t="s">
        <v>707</v>
      </c>
      <c r="J2270" s="44">
        <v>12.92</v>
      </c>
      <c r="K2270" s="60">
        <v>8.9499999999999993</v>
      </c>
      <c r="L2270" s="56">
        <v>6.55</v>
      </c>
      <c r="M2270" s="14">
        <f>K2270-L2270</f>
        <v>2.3999999999999995</v>
      </c>
      <c r="N2270" s="15">
        <f>IFERROR(M2270/K2270,0)</f>
        <v>0.26815642458100553</v>
      </c>
      <c r="O2270" s="14">
        <f>IFERROR(L2270/J2270,0)</f>
        <v>0.50696594427244579</v>
      </c>
      <c r="P2270" s="14">
        <f>IFERROR(L2270/G2270,0)</f>
        <v>0.38529411764706017</v>
      </c>
    </row>
    <row r="2271" spans="1:19" x14ac:dyDescent="0.3">
      <c r="A2271" s="9" t="s">
        <v>4857</v>
      </c>
      <c r="B2271" s="9" t="s">
        <v>18</v>
      </c>
      <c r="C2271" s="9" t="s">
        <v>184</v>
      </c>
      <c r="D2271" s="52">
        <v>46243</v>
      </c>
      <c r="E2271" s="48">
        <v>0.84305555555555556</v>
      </c>
      <c r="F2271" s="48">
        <v>0.84930555555555554</v>
      </c>
      <c r="G2271" s="43">
        <f>(F2271-E2271)*1440</f>
        <v>8.999999999999968</v>
      </c>
      <c r="H2271" s="9" t="s">
        <v>5128</v>
      </c>
      <c r="I2271" s="9" t="s">
        <v>531</v>
      </c>
      <c r="J2271" s="44">
        <v>4.53</v>
      </c>
      <c r="K2271" s="60">
        <v>4.12</v>
      </c>
      <c r="L2271" s="56">
        <v>4</v>
      </c>
      <c r="M2271" s="14">
        <f>K2271-L2271</f>
        <v>0.12000000000000011</v>
      </c>
      <c r="N2271" s="15">
        <f>IFERROR(M2271/K2271,0)</f>
        <v>2.9126213592233035E-2</v>
      </c>
      <c r="O2271" s="14">
        <f>IFERROR(L2271/J2271,0)</f>
        <v>0.88300220750551872</v>
      </c>
      <c r="P2271" s="14">
        <f>IFERROR(L2271/G2271,0)</f>
        <v>0.44444444444444603</v>
      </c>
    </row>
    <row r="2272" spans="1:19" x14ac:dyDescent="0.3">
      <c r="A2272" s="9" t="s">
        <v>4858</v>
      </c>
      <c r="B2272" s="9" t="s">
        <v>18</v>
      </c>
      <c r="C2272" s="9" t="s">
        <v>184</v>
      </c>
      <c r="D2272" s="52">
        <v>46243</v>
      </c>
      <c r="E2272" s="48">
        <v>0.85833333333333339</v>
      </c>
      <c r="F2272" s="48">
        <v>0.87152777777777779</v>
      </c>
      <c r="G2272" s="43">
        <f>(F2272-E2272)*1440</f>
        <v>18.999999999999932</v>
      </c>
      <c r="H2272" s="9" t="s">
        <v>2974</v>
      </c>
      <c r="I2272" s="9" t="s">
        <v>5129</v>
      </c>
      <c r="J2272" s="44">
        <v>16.95</v>
      </c>
      <c r="K2272" s="60">
        <v>9.9600000000000009</v>
      </c>
      <c r="L2272" s="56">
        <v>7.35</v>
      </c>
      <c r="M2272" s="14">
        <f>K2272-L2272</f>
        <v>2.6100000000000012</v>
      </c>
      <c r="N2272" s="15">
        <f>IFERROR(M2272/K2272,0)</f>
        <v>0.26204819277108443</v>
      </c>
      <c r="O2272" s="14">
        <f>IFERROR(L2272/J2272,0)</f>
        <v>0.4336283185840708</v>
      </c>
      <c r="P2272" s="14">
        <f>IFERROR(L2272/G2272,0)</f>
        <v>0.38684210526315926</v>
      </c>
    </row>
    <row r="2273" spans="1:16" x14ac:dyDescent="0.3">
      <c r="A2273" s="9" t="s">
        <v>4859</v>
      </c>
      <c r="B2273" s="9" t="s">
        <v>18</v>
      </c>
      <c r="C2273" s="9" t="s">
        <v>184</v>
      </c>
      <c r="D2273" s="52">
        <v>46244</v>
      </c>
      <c r="E2273" s="48">
        <v>0.69791666666666663</v>
      </c>
      <c r="F2273" s="48">
        <v>0.70972222222222225</v>
      </c>
      <c r="G2273" s="43">
        <f>(F2273-E2273)*1440</f>
        <v>17.000000000000099</v>
      </c>
      <c r="H2273" s="9" t="s">
        <v>2796</v>
      </c>
      <c r="I2273" s="9" t="s">
        <v>754</v>
      </c>
      <c r="J2273" s="44">
        <v>8.65</v>
      </c>
      <c r="K2273" s="60">
        <v>6.96</v>
      </c>
      <c r="L2273" s="56">
        <v>6.08</v>
      </c>
      <c r="M2273" s="14">
        <f>K2273-L2273</f>
        <v>0.87999999999999989</v>
      </c>
      <c r="N2273" s="15">
        <f>IFERROR(M2273/K2273,0)</f>
        <v>0.12643678160919539</v>
      </c>
      <c r="O2273" s="14">
        <f>IFERROR(L2273/J2273,0)</f>
        <v>0.70289017341040461</v>
      </c>
      <c r="P2273" s="14">
        <f>IFERROR(L2273/G2273,0)</f>
        <v>0.35764705882352732</v>
      </c>
    </row>
    <row r="2274" spans="1:16" x14ac:dyDescent="0.3">
      <c r="A2274" s="9" t="s">
        <v>4860</v>
      </c>
      <c r="B2274" s="9" t="s">
        <v>18</v>
      </c>
      <c r="C2274" s="9" t="s">
        <v>196</v>
      </c>
      <c r="D2274" s="52">
        <v>46244</v>
      </c>
      <c r="E2274" s="48">
        <v>0.71597222222222223</v>
      </c>
      <c r="F2274" s="48">
        <v>0.7284722222222223</v>
      </c>
      <c r="G2274" s="43">
        <f>(F2274-E2274)*1440</f>
        <v>18.000000000000096</v>
      </c>
      <c r="H2274" s="9" t="s">
        <v>233</v>
      </c>
      <c r="I2274" s="9" t="s">
        <v>3452</v>
      </c>
      <c r="J2274" s="44">
        <v>6.31</v>
      </c>
      <c r="K2274" s="60">
        <v>6.5</v>
      </c>
      <c r="L2274" s="56">
        <v>4.68</v>
      </c>
      <c r="M2274" s="14">
        <f>K2274-L2274</f>
        <v>1.8200000000000003</v>
      </c>
      <c r="N2274" s="15">
        <f>IFERROR(M2274/K2274,0)</f>
        <v>0.28000000000000003</v>
      </c>
      <c r="O2274" s="14">
        <f>IFERROR(L2274/J2274,0)</f>
        <v>0.7416798732171157</v>
      </c>
      <c r="P2274" s="14">
        <f>IFERROR(L2274/G2274,0)</f>
        <v>0.25999999999999862</v>
      </c>
    </row>
    <row r="2275" spans="1:16" x14ac:dyDescent="0.3">
      <c r="A2275" s="9" t="s">
        <v>4861</v>
      </c>
      <c r="B2275" s="9" t="s">
        <v>18</v>
      </c>
      <c r="C2275" s="9" t="s">
        <v>196</v>
      </c>
      <c r="D2275" s="52">
        <v>46244</v>
      </c>
      <c r="E2275" s="48">
        <v>0.73819444444444438</v>
      </c>
      <c r="F2275" s="48">
        <v>0.74583333333333324</v>
      </c>
      <c r="G2275" s="43">
        <f>(F2275-E2275)*1440</f>
        <v>10.999999999999961</v>
      </c>
      <c r="H2275" s="9" t="s">
        <v>5130</v>
      </c>
      <c r="I2275" s="9" t="s">
        <v>729</v>
      </c>
      <c r="J2275" s="44">
        <v>4.68</v>
      </c>
      <c r="K2275" s="60">
        <v>4.97</v>
      </c>
      <c r="L2275" s="56">
        <v>4.47</v>
      </c>
      <c r="M2275" s="14">
        <f>K2275-L2275</f>
        <v>0.5</v>
      </c>
      <c r="N2275" s="15">
        <f>IFERROR(M2275/K2275,0)</f>
        <v>0.1006036217303823</v>
      </c>
      <c r="O2275" s="14">
        <f>IFERROR(L2275/J2275,0)</f>
        <v>0.95512820512820518</v>
      </c>
      <c r="P2275" s="14">
        <f>IFERROR(L2275/G2275,0)</f>
        <v>0.40636363636363776</v>
      </c>
    </row>
    <row r="2276" spans="1:16" x14ac:dyDescent="0.3">
      <c r="A2276" s="9" t="s">
        <v>4862</v>
      </c>
      <c r="B2276" s="9" t="s">
        <v>18</v>
      </c>
      <c r="C2276" s="9" t="s">
        <v>196</v>
      </c>
      <c r="D2276" s="52">
        <v>46244</v>
      </c>
      <c r="E2276" s="48">
        <v>0.80486111111111114</v>
      </c>
      <c r="F2276" s="48">
        <v>0.81458333333333333</v>
      </c>
      <c r="G2276" s="43">
        <f>(F2276-E2276)*1440</f>
        <v>13.99999999999995</v>
      </c>
      <c r="H2276" s="9" t="s">
        <v>5131</v>
      </c>
      <c r="I2276" s="9" t="s">
        <v>888</v>
      </c>
      <c r="J2276" s="44">
        <v>6.96</v>
      </c>
      <c r="K2276" s="60">
        <v>6.97</v>
      </c>
      <c r="L2276" s="56">
        <v>6.11</v>
      </c>
      <c r="M2276" s="14">
        <f>K2276-L2276</f>
        <v>0.85999999999999943</v>
      </c>
      <c r="N2276" s="15">
        <f>IFERROR(M2276/K2276,0)</f>
        <v>0.12338593974175029</v>
      </c>
      <c r="O2276" s="14">
        <f>IFERROR(L2276/J2276,0)</f>
        <v>0.87787356321839083</v>
      </c>
      <c r="P2276" s="14">
        <f>IFERROR(L2276/G2276,0)</f>
        <v>0.436428571428573</v>
      </c>
    </row>
    <row r="2277" spans="1:16" x14ac:dyDescent="0.3">
      <c r="A2277" s="9" t="s">
        <v>4863</v>
      </c>
      <c r="B2277" s="9" t="s">
        <v>18</v>
      </c>
      <c r="C2277" s="9" t="s">
        <v>184</v>
      </c>
      <c r="D2277" s="52">
        <v>46244</v>
      </c>
      <c r="E2277" s="48">
        <v>0.8208333333333333</v>
      </c>
      <c r="F2277" s="48">
        <v>0.83194444444444438</v>
      </c>
      <c r="G2277" s="43">
        <f>(F2277-E2277)*1440</f>
        <v>15.999999999999943</v>
      </c>
      <c r="H2277" s="9" t="s">
        <v>2038</v>
      </c>
      <c r="I2277" s="9" t="s">
        <v>5132</v>
      </c>
      <c r="J2277" s="44">
        <v>7.68</v>
      </c>
      <c r="K2277" s="60">
        <v>5.95</v>
      </c>
      <c r="L2277" s="56">
        <v>5.1100000000000003</v>
      </c>
      <c r="M2277" s="14">
        <f>K2277-L2277</f>
        <v>0.83999999999999986</v>
      </c>
      <c r="N2277" s="15">
        <f>IFERROR(M2277/K2277,0)</f>
        <v>0.14117647058823526</v>
      </c>
      <c r="O2277" s="14">
        <f>IFERROR(L2277/J2277,0)</f>
        <v>0.66536458333333337</v>
      </c>
      <c r="P2277" s="14">
        <f>IFERROR(L2277/G2277,0)</f>
        <v>0.31937500000000113</v>
      </c>
    </row>
    <row r="2278" spans="1:16" x14ac:dyDescent="0.3">
      <c r="A2278" s="9" t="s">
        <v>4864</v>
      </c>
      <c r="B2278" s="9" t="s">
        <v>18</v>
      </c>
      <c r="C2278" s="9" t="s">
        <v>184</v>
      </c>
      <c r="D2278" s="52">
        <v>46244</v>
      </c>
      <c r="E2278" s="48">
        <v>0.85625000000000007</v>
      </c>
      <c r="F2278" s="48">
        <v>0.86805555555555547</v>
      </c>
      <c r="G2278" s="43">
        <f>(F2278-E2278)*1440</f>
        <v>16.99999999999978</v>
      </c>
      <c r="H2278" s="9" t="s">
        <v>604</v>
      </c>
      <c r="I2278" s="9" t="s">
        <v>5133</v>
      </c>
      <c r="J2278" s="44">
        <v>13.63</v>
      </c>
      <c r="K2278" s="60">
        <v>8.9499999999999993</v>
      </c>
      <c r="L2278" s="56">
        <v>6.13</v>
      </c>
      <c r="M2278" s="14">
        <f>K2278-L2278</f>
        <v>2.8199999999999994</v>
      </c>
      <c r="N2278" s="15">
        <f>IFERROR(M2278/K2278,0)</f>
        <v>0.31508379888268151</v>
      </c>
      <c r="O2278" s="14">
        <f>IFERROR(L2278/J2278,0)</f>
        <v>0.44974321349963314</v>
      </c>
      <c r="P2278" s="14">
        <f>IFERROR(L2278/G2278,0)</f>
        <v>0.36058823529412232</v>
      </c>
    </row>
    <row r="2279" spans="1:16" x14ac:dyDescent="0.3">
      <c r="A2279" s="9" t="s">
        <v>4865</v>
      </c>
      <c r="B2279" s="9" t="s">
        <v>26</v>
      </c>
      <c r="C2279" s="9" t="s">
        <v>27</v>
      </c>
      <c r="D2279" s="52">
        <v>46244</v>
      </c>
      <c r="E2279" s="48">
        <v>0.54097222222222219</v>
      </c>
      <c r="F2279" s="48">
        <v>0.56874999999999998</v>
      </c>
      <c r="G2279" s="43">
        <f>(F2279-E2279)*1440</f>
        <v>40.000000000000014</v>
      </c>
      <c r="H2279" s="9" t="s">
        <v>5134</v>
      </c>
      <c r="I2279" s="9" t="s">
        <v>5135</v>
      </c>
      <c r="J2279" s="44">
        <v>22.1</v>
      </c>
      <c r="K2279" s="60">
        <v>10.97</v>
      </c>
      <c r="L2279" s="56">
        <v>11.75</v>
      </c>
      <c r="M2279" s="14">
        <f>K2279-L2279</f>
        <v>-0.77999999999999936</v>
      </c>
      <c r="N2279" s="15">
        <f>IFERROR(M2279/K2279,0)</f>
        <v>-7.1103008204193185E-2</v>
      </c>
      <c r="O2279" s="14">
        <f>IFERROR(L2279/J2279,0)</f>
        <v>0.53167420814479638</v>
      </c>
      <c r="P2279" s="14">
        <f>IFERROR(L2279/G2279,0)</f>
        <v>0.2937499999999999</v>
      </c>
    </row>
    <row r="2280" spans="1:16" x14ac:dyDescent="0.3">
      <c r="A2280" s="9" t="s">
        <v>4866</v>
      </c>
      <c r="B2280" s="9" t="s">
        <v>26</v>
      </c>
      <c r="C2280" s="9" t="s">
        <v>26</v>
      </c>
      <c r="D2280" s="52">
        <v>46244</v>
      </c>
      <c r="E2280" s="48">
        <v>0.56944444444444442</v>
      </c>
      <c r="F2280" s="48">
        <v>0.58124999999999993</v>
      </c>
      <c r="G2280" s="43">
        <f>(F2280-E2280)*1440</f>
        <v>16.99999999999994</v>
      </c>
      <c r="H2280" s="9" t="s">
        <v>5135</v>
      </c>
      <c r="I2280" s="9" t="s">
        <v>1707</v>
      </c>
      <c r="J2280" s="44">
        <v>3.9</v>
      </c>
      <c r="K2280" s="60">
        <v>7.05</v>
      </c>
      <c r="L2280" s="56">
        <v>5.94</v>
      </c>
      <c r="M2280" s="14">
        <f>K2280-L2280</f>
        <v>1.1099999999999994</v>
      </c>
      <c r="N2280" s="15">
        <f>IFERROR(M2280/K2280,0)</f>
        <v>0.15744680851063822</v>
      </c>
      <c r="O2280" s="14">
        <f>IFERROR(L2280/J2280,0)</f>
        <v>1.5230769230769232</v>
      </c>
      <c r="P2280" s="14">
        <f>IFERROR(L2280/G2280,0)</f>
        <v>0.34941176470588364</v>
      </c>
    </row>
    <row r="2281" spans="1:16" x14ac:dyDescent="0.3">
      <c r="A2281" s="9" t="s">
        <v>4867</v>
      </c>
      <c r="B2281" s="9" t="s">
        <v>26</v>
      </c>
      <c r="C2281" s="9" t="s">
        <v>26</v>
      </c>
      <c r="D2281" s="52">
        <v>46244</v>
      </c>
      <c r="E2281" s="48">
        <v>0.58472222222222225</v>
      </c>
      <c r="F2281" s="48">
        <v>0.59513888888888888</v>
      </c>
      <c r="G2281" s="43">
        <f>(F2281-E2281)*1440</f>
        <v>14.999999999999947</v>
      </c>
      <c r="H2281" s="9" t="s">
        <v>5136</v>
      </c>
      <c r="I2281" s="9" t="s">
        <v>5137</v>
      </c>
      <c r="J2281" s="44">
        <v>8</v>
      </c>
      <c r="K2281" s="60">
        <v>6.93</v>
      </c>
      <c r="L2281" s="56">
        <v>6.02</v>
      </c>
      <c r="M2281" s="14">
        <f>K2281-L2281</f>
        <v>0.91000000000000014</v>
      </c>
      <c r="N2281" s="15">
        <f>IFERROR(M2281/K2281,0)</f>
        <v>0.13131313131313133</v>
      </c>
      <c r="O2281" s="14">
        <f>IFERROR(L2281/J2281,0)</f>
        <v>0.75249999999999995</v>
      </c>
      <c r="P2281" s="14">
        <f>IFERROR(L2281/G2281,0)</f>
        <v>0.40133333333333471</v>
      </c>
    </row>
    <row r="2282" spans="1:16" x14ac:dyDescent="0.3">
      <c r="A2282" s="9" t="s">
        <v>4868</v>
      </c>
      <c r="B2282" s="9" t="s">
        <v>26</v>
      </c>
      <c r="C2282" s="9" t="s">
        <v>27</v>
      </c>
      <c r="D2282" s="52">
        <v>46244</v>
      </c>
      <c r="E2282" s="48">
        <v>0.60347222222222219</v>
      </c>
      <c r="F2282" s="48">
        <v>0.61388888888888882</v>
      </c>
      <c r="G2282" s="43">
        <f>(F2282-E2282)*1440</f>
        <v>14.999999999999947</v>
      </c>
      <c r="H2282" s="9" t="s">
        <v>737</v>
      </c>
      <c r="I2282" s="9" t="s">
        <v>5138</v>
      </c>
      <c r="J2282" s="44">
        <v>9</v>
      </c>
      <c r="K2282" s="60">
        <v>5.97</v>
      </c>
      <c r="L2282" s="56">
        <v>4.4800000000000004</v>
      </c>
      <c r="M2282" s="14">
        <f>K2282-L2282</f>
        <v>1.4899999999999993</v>
      </c>
      <c r="N2282" s="15">
        <f>IFERROR(M2282/K2282,0)</f>
        <v>0.24958123953098818</v>
      </c>
      <c r="O2282" s="14">
        <f>IFERROR(L2282/J2282,0)</f>
        <v>0.49777777777777782</v>
      </c>
      <c r="P2282" s="14">
        <f>IFERROR(L2282/G2282,0)</f>
        <v>0.29866666666666775</v>
      </c>
    </row>
    <row r="2283" spans="1:16" x14ac:dyDescent="0.3">
      <c r="A2283" s="9" t="s">
        <v>4869</v>
      </c>
      <c r="B2283" s="9" t="s">
        <v>26</v>
      </c>
      <c r="C2283" s="9" t="s">
        <v>27</v>
      </c>
      <c r="D2283" s="52">
        <v>46244</v>
      </c>
      <c r="E2283" s="48">
        <v>0.61736111111111114</v>
      </c>
      <c r="F2283" s="48">
        <v>0.62083333333333335</v>
      </c>
      <c r="G2283" s="43">
        <f>(F2283-E2283)*1440</f>
        <v>4.9999999999999822</v>
      </c>
      <c r="H2283" s="9" t="s">
        <v>5139</v>
      </c>
      <c r="I2283" s="9" t="s">
        <v>4751</v>
      </c>
      <c r="J2283" s="44">
        <v>2.5</v>
      </c>
      <c r="K2283" s="60">
        <v>4.59</v>
      </c>
      <c r="L2283" s="56">
        <v>5.4</v>
      </c>
      <c r="M2283" s="14">
        <f>K2283-L2283</f>
        <v>-0.8100000000000005</v>
      </c>
      <c r="N2283" s="15">
        <f>IFERROR(M2283/K2283,0)</f>
        <v>-0.17647058823529424</v>
      </c>
      <c r="O2283" s="14">
        <f>IFERROR(L2283/J2283,0)</f>
        <v>2.16</v>
      </c>
      <c r="P2283" s="14">
        <f>IFERROR(L2283/G2283,0)</f>
        <v>1.0800000000000038</v>
      </c>
    </row>
    <row r="2284" spans="1:16" x14ac:dyDescent="0.3">
      <c r="A2284" s="9" t="s">
        <v>4870</v>
      </c>
      <c r="B2284" s="9" t="s">
        <v>26</v>
      </c>
      <c r="C2284" s="9" t="s">
        <v>27</v>
      </c>
      <c r="D2284" s="52">
        <v>46244</v>
      </c>
      <c r="E2284" s="48">
        <v>0.62361111111111112</v>
      </c>
      <c r="F2284" s="48">
        <v>0.6333333333333333</v>
      </c>
      <c r="G2284" s="43">
        <f>(F2284-E2284)*1440</f>
        <v>13.99999999999995</v>
      </c>
      <c r="H2284" s="9" t="s">
        <v>5140</v>
      </c>
      <c r="I2284" s="9" t="s">
        <v>242</v>
      </c>
      <c r="J2284" s="44">
        <v>9.5</v>
      </c>
      <c r="K2284" s="60">
        <v>6.51</v>
      </c>
      <c r="L2284" s="56">
        <v>4.88</v>
      </c>
      <c r="M2284" s="14">
        <f>K2284-L2284</f>
        <v>1.63</v>
      </c>
      <c r="N2284" s="15">
        <f>IFERROR(M2284/K2284,0)</f>
        <v>0.25038402457757297</v>
      </c>
      <c r="O2284" s="14">
        <f>IFERROR(L2284/J2284,0)</f>
        <v>0.51368421052631574</v>
      </c>
      <c r="P2284" s="14">
        <f>IFERROR(L2284/G2284,0)</f>
        <v>0.34857142857142981</v>
      </c>
    </row>
    <row r="2285" spans="1:16" x14ac:dyDescent="0.3">
      <c r="A2285" s="9" t="s">
        <v>4871</v>
      </c>
      <c r="B2285" s="9" t="s">
        <v>26</v>
      </c>
      <c r="C2285" s="9" t="s">
        <v>26</v>
      </c>
      <c r="D2285" s="52">
        <v>46244</v>
      </c>
      <c r="E2285" s="48">
        <v>0.63472222222222219</v>
      </c>
      <c r="F2285" s="48">
        <v>0.64236111111111105</v>
      </c>
      <c r="G2285" s="43">
        <f>(F2285-E2285)*1440</f>
        <v>10.999999999999961</v>
      </c>
      <c r="H2285" s="9" t="s">
        <v>242</v>
      </c>
      <c r="I2285" s="9" t="s">
        <v>204</v>
      </c>
      <c r="J2285" s="44">
        <v>4.5</v>
      </c>
      <c r="K2285" s="60">
        <v>4.9000000000000004</v>
      </c>
      <c r="L2285" s="56">
        <v>3.67</v>
      </c>
      <c r="M2285" s="14">
        <f>K2285-L2285</f>
        <v>1.2300000000000004</v>
      </c>
      <c r="N2285" s="15">
        <f>IFERROR(M2285/K2285,0)</f>
        <v>0.25102040816326537</v>
      </c>
      <c r="O2285" s="14">
        <f>IFERROR(L2285/J2285,0)</f>
        <v>0.81555555555555559</v>
      </c>
      <c r="P2285" s="14">
        <f>IFERROR(L2285/G2285,0)</f>
        <v>0.33363636363636484</v>
      </c>
    </row>
    <row r="2286" spans="1:16" x14ac:dyDescent="0.3">
      <c r="A2286" s="9" t="s">
        <v>4872</v>
      </c>
      <c r="B2286" s="9" t="s">
        <v>26</v>
      </c>
      <c r="C2286" s="9" t="s">
        <v>27</v>
      </c>
      <c r="D2286" s="52">
        <v>46244</v>
      </c>
      <c r="E2286" s="48">
        <v>0.64583333333333337</v>
      </c>
      <c r="F2286" s="48">
        <v>0.65763888888888888</v>
      </c>
      <c r="G2286" s="43">
        <f>(F2286-E2286)*1440</f>
        <v>16.99999999999994</v>
      </c>
      <c r="H2286" s="9" t="s">
        <v>204</v>
      </c>
      <c r="I2286" s="9" t="s">
        <v>243</v>
      </c>
      <c r="J2286" s="44">
        <v>8.4</v>
      </c>
      <c r="K2286" s="60">
        <v>8.5299999999999994</v>
      </c>
      <c r="L2286" s="56">
        <v>6.4</v>
      </c>
      <c r="M2286" s="14">
        <f>K2286-L2286</f>
        <v>2.129999999999999</v>
      </c>
      <c r="N2286" s="15">
        <f>IFERROR(M2286/K2286,0)</f>
        <v>0.24970691676436099</v>
      </c>
      <c r="O2286" s="14">
        <f>IFERROR(L2286/J2286,0)</f>
        <v>0.76190476190476186</v>
      </c>
      <c r="P2286" s="14">
        <f>IFERROR(L2286/G2286,0)</f>
        <v>0.3764705882352955</v>
      </c>
    </row>
    <row r="2287" spans="1:16" x14ac:dyDescent="0.3">
      <c r="A2287" s="9" t="s">
        <v>4873</v>
      </c>
      <c r="B2287" s="9" t="s">
        <v>26</v>
      </c>
      <c r="C2287" s="9" t="s">
        <v>26</v>
      </c>
      <c r="D2287" s="52">
        <v>46244</v>
      </c>
      <c r="E2287" s="48">
        <v>0.68819444444444444</v>
      </c>
      <c r="F2287" s="48">
        <v>0.69444444444444453</v>
      </c>
      <c r="G2287" s="43">
        <f>(F2287-E2287)*1440</f>
        <v>9.0000000000001279</v>
      </c>
      <c r="H2287" s="9" t="s">
        <v>732</v>
      </c>
      <c r="I2287" s="9" t="s">
        <v>214</v>
      </c>
      <c r="J2287" s="44">
        <v>5.0999999999999996</v>
      </c>
      <c r="K2287" s="60">
        <v>5.41</v>
      </c>
      <c r="L2287" s="56">
        <v>4.0599999999999996</v>
      </c>
      <c r="M2287" s="14">
        <f>K2287-L2287</f>
        <v>1.3500000000000005</v>
      </c>
      <c r="N2287" s="15">
        <f>IFERROR(M2287/K2287,0)</f>
        <v>0.24953789279112765</v>
      </c>
      <c r="O2287" s="14">
        <f>IFERROR(L2287/J2287,0)</f>
        <v>0.79607843137254897</v>
      </c>
      <c r="P2287" s="14">
        <f>IFERROR(L2287/G2287,0)</f>
        <v>0.45111111111110463</v>
      </c>
    </row>
    <row r="2288" spans="1:16" x14ac:dyDescent="0.3">
      <c r="A2288" s="9" t="s">
        <v>4874</v>
      </c>
      <c r="B2288" s="9" t="s">
        <v>26</v>
      </c>
      <c r="C2288" s="9" t="s">
        <v>27</v>
      </c>
      <c r="D2288" s="52">
        <v>46244</v>
      </c>
      <c r="E2288" s="48">
        <v>0.78611111111111109</v>
      </c>
      <c r="F2288" s="48">
        <v>0.79513888888888884</v>
      </c>
      <c r="G2288" s="43">
        <f>(F2288-E2288)*1440</f>
        <v>12.999999999999954</v>
      </c>
      <c r="H2288" s="9" t="s">
        <v>5141</v>
      </c>
      <c r="I2288" s="9" t="s">
        <v>214</v>
      </c>
      <c r="J2288" s="44">
        <v>9</v>
      </c>
      <c r="K2288" s="60">
        <v>6.99</v>
      </c>
      <c r="L2288" s="56">
        <v>5.24</v>
      </c>
      <c r="M2288" s="14">
        <f>K2288-L2288</f>
        <v>1.75</v>
      </c>
      <c r="N2288" s="15">
        <f>IFERROR(M2288/K2288,0)</f>
        <v>0.25035765379113017</v>
      </c>
      <c r="O2288" s="14">
        <f>IFERROR(L2288/J2288,0)</f>
        <v>0.5822222222222222</v>
      </c>
      <c r="P2288" s="14">
        <f>IFERROR(L2288/G2288,0)</f>
        <v>0.4030769230769245</v>
      </c>
    </row>
    <row r="2289" spans="1:16" x14ac:dyDescent="0.3">
      <c r="A2289" s="9" t="s">
        <v>4875</v>
      </c>
      <c r="B2289" s="9" t="s">
        <v>26</v>
      </c>
      <c r="C2289" s="9" t="s">
        <v>27</v>
      </c>
      <c r="D2289" s="52">
        <v>46244</v>
      </c>
      <c r="E2289" s="48">
        <v>0.79652777777777783</v>
      </c>
      <c r="F2289" s="48">
        <v>0.80694444444444446</v>
      </c>
      <c r="G2289" s="43">
        <f>(F2289-E2289)*1440</f>
        <v>14.999999999999947</v>
      </c>
      <c r="H2289" s="9" t="s">
        <v>214</v>
      </c>
      <c r="I2289" s="9" t="s">
        <v>2939</v>
      </c>
      <c r="J2289" s="44">
        <v>10</v>
      </c>
      <c r="K2289" s="60">
        <v>8.3000000000000007</v>
      </c>
      <c r="L2289" s="56">
        <v>6.84</v>
      </c>
      <c r="M2289" s="14">
        <f>K2289-L2289</f>
        <v>1.4600000000000009</v>
      </c>
      <c r="N2289" s="15">
        <f>IFERROR(M2289/K2289,0)</f>
        <v>0.17590361445783143</v>
      </c>
      <c r="O2289" s="14">
        <f>IFERROR(L2289/J2289,0)</f>
        <v>0.68399999999999994</v>
      </c>
      <c r="P2289" s="14">
        <f>IFERROR(L2289/G2289,0)</f>
        <v>0.45600000000000163</v>
      </c>
    </row>
    <row r="2290" spans="1:16" x14ac:dyDescent="0.3">
      <c r="A2290" s="9" t="s">
        <v>4876</v>
      </c>
      <c r="B2290" s="9" t="s">
        <v>26</v>
      </c>
      <c r="C2290" s="9" t="s">
        <v>27</v>
      </c>
      <c r="D2290" s="52">
        <v>46244</v>
      </c>
      <c r="E2290" s="48">
        <v>0.84583333333333333</v>
      </c>
      <c r="F2290" s="48">
        <v>0.85763888888888884</v>
      </c>
      <c r="G2290" s="43">
        <f>(F2290-E2290)*1440</f>
        <v>16.99999999999994</v>
      </c>
      <c r="H2290" s="9" t="s">
        <v>690</v>
      </c>
      <c r="I2290" s="9" t="s">
        <v>584</v>
      </c>
      <c r="J2290" s="44">
        <v>7.3</v>
      </c>
      <c r="K2290" s="60">
        <v>5.31</v>
      </c>
      <c r="L2290" s="56">
        <v>3.98</v>
      </c>
      <c r="M2290" s="14">
        <f>K2290-L2290</f>
        <v>1.3299999999999996</v>
      </c>
      <c r="N2290" s="15">
        <f>IFERROR(M2290/K2290,0)</f>
        <v>0.25047080979284364</v>
      </c>
      <c r="O2290" s="14">
        <f>IFERROR(L2290/J2290,0)</f>
        <v>0.54520547945205478</v>
      </c>
      <c r="P2290" s="14">
        <f>IFERROR(L2290/G2290,0)</f>
        <v>0.23411764705882435</v>
      </c>
    </row>
    <row r="2291" spans="1:16" x14ac:dyDescent="0.3">
      <c r="A2291" s="9" t="s">
        <v>4877</v>
      </c>
      <c r="B2291" s="9" t="s">
        <v>26</v>
      </c>
      <c r="C2291" s="9" t="s">
        <v>26</v>
      </c>
      <c r="D2291" s="52">
        <v>46245</v>
      </c>
      <c r="E2291" s="48">
        <v>0.6645833333333333</v>
      </c>
      <c r="F2291" s="48">
        <v>0.67013888888888884</v>
      </c>
      <c r="G2291" s="43">
        <f>(F2291-E2291)*1440</f>
        <v>7.9999999999999716</v>
      </c>
      <c r="H2291" s="9" t="s">
        <v>5142</v>
      </c>
      <c r="I2291" s="9" t="s">
        <v>1296</v>
      </c>
      <c r="J2291" s="44">
        <v>5.6</v>
      </c>
      <c r="K2291" s="60">
        <v>5.7</v>
      </c>
      <c r="L2291" s="56">
        <v>4.5</v>
      </c>
      <c r="M2291" s="14">
        <f>K2291-L2291</f>
        <v>1.2000000000000002</v>
      </c>
      <c r="N2291" s="15">
        <f>IFERROR(M2291/K2291,0)</f>
        <v>0.2105263157894737</v>
      </c>
      <c r="O2291" s="14">
        <f>IFERROR(L2291/J2291,0)</f>
        <v>0.8035714285714286</v>
      </c>
      <c r="P2291" s="14">
        <f>IFERROR(L2291/G2291,0)</f>
        <v>0.562500000000002</v>
      </c>
    </row>
    <row r="2292" spans="1:16" x14ac:dyDescent="0.3">
      <c r="A2292" s="9" t="s">
        <v>4878</v>
      </c>
      <c r="B2292" s="9" t="s">
        <v>26</v>
      </c>
      <c r="C2292" s="9" t="s">
        <v>26</v>
      </c>
      <c r="D2292" s="52">
        <v>46245</v>
      </c>
      <c r="E2292" s="48">
        <v>0.69305555555555554</v>
      </c>
      <c r="F2292" s="48">
        <v>0.69930555555555562</v>
      </c>
      <c r="G2292" s="43">
        <f>(F2292-E2292)*1440</f>
        <v>9.0000000000001279</v>
      </c>
      <c r="H2292" s="9" t="s">
        <v>754</v>
      </c>
      <c r="I2292" s="9" t="s">
        <v>242</v>
      </c>
      <c r="J2292" s="44">
        <v>4</v>
      </c>
      <c r="K2292" s="60">
        <v>5.63</v>
      </c>
      <c r="L2292" s="56">
        <v>4.22</v>
      </c>
      <c r="M2292" s="14">
        <f>K2292-L2292</f>
        <v>1.4100000000000001</v>
      </c>
      <c r="N2292" s="15">
        <f>IFERROR(M2292/K2292,0)</f>
        <v>0.25044404973357021</v>
      </c>
      <c r="O2292" s="14">
        <f>IFERROR(L2292/J2292,0)</f>
        <v>1.0549999999999999</v>
      </c>
      <c r="P2292" s="14">
        <f>IFERROR(L2292/G2292,0)</f>
        <v>0.46888888888888219</v>
      </c>
    </row>
    <row r="2293" spans="1:16" x14ac:dyDescent="0.3">
      <c r="A2293" s="9" t="s">
        <v>4879</v>
      </c>
      <c r="B2293" s="9" t="s">
        <v>26</v>
      </c>
      <c r="C2293" s="9" t="s">
        <v>27</v>
      </c>
      <c r="D2293" s="52">
        <v>46245</v>
      </c>
      <c r="E2293" s="48">
        <v>0.70138888888888884</v>
      </c>
      <c r="F2293" s="48">
        <v>0.71805555555555556</v>
      </c>
      <c r="G2293" s="43">
        <f>(F2293-E2293)*1440</f>
        <v>24.000000000000075</v>
      </c>
      <c r="H2293" s="9" t="s">
        <v>4171</v>
      </c>
      <c r="I2293" s="9" t="s">
        <v>1957</v>
      </c>
      <c r="J2293" s="44">
        <v>17.2</v>
      </c>
      <c r="K2293" s="60">
        <v>13.53</v>
      </c>
      <c r="L2293" s="56">
        <v>11.17</v>
      </c>
      <c r="M2293" s="14">
        <f>K2293-L2293</f>
        <v>2.3599999999999994</v>
      </c>
      <c r="N2293" s="15">
        <f>IFERROR(M2293/K2293,0)</f>
        <v>0.17442719881744267</v>
      </c>
      <c r="O2293" s="14">
        <f>IFERROR(L2293/J2293,0)</f>
        <v>0.64941860465116286</v>
      </c>
      <c r="P2293" s="14">
        <f>IFERROR(L2293/G2293,0)</f>
        <v>0.4654166666666652</v>
      </c>
    </row>
    <row r="2294" spans="1:16" x14ac:dyDescent="0.3">
      <c r="A2294" s="9" t="s">
        <v>4880</v>
      </c>
      <c r="B2294" s="9" t="s">
        <v>26</v>
      </c>
      <c r="C2294" s="9" t="s">
        <v>26</v>
      </c>
      <c r="D2294" s="52">
        <v>46245</v>
      </c>
      <c r="E2294" s="48">
        <v>0.77916666666666667</v>
      </c>
      <c r="F2294" s="48">
        <v>0.78541666666666676</v>
      </c>
      <c r="G2294" s="43">
        <f>(F2294-E2294)*1440</f>
        <v>9.0000000000001279</v>
      </c>
      <c r="H2294" s="9" t="s">
        <v>5143</v>
      </c>
      <c r="I2294" s="9" t="s">
        <v>2484</v>
      </c>
      <c r="J2294" s="44">
        <v>3.2</v>
      </c>
      <c r="K2294" s="60">
        <v>5.6</v>
      </c>
      <c r="L2294" s="56">
        <v>5.71</v>
      </c>
      <c r="M2294" s="14">
        <f>K2294-L2294</f>
        <v>-0.11000000000000032</v>
      </c>
      <c r="N2294" s="15">
        <f>IFERROR(M2294/K2294,0)</f>
        <v>-1.9642857142857201E-2</v>
      </c>
      <c r="O2294" s="14">
        <f>IFERROR(L2294/J2294,0)</f>
        <v>1.7843749999999998</v>
      </c>
      <c r="P2294" s="14">
        <f>IFERROR(L2294/G2294,0)</f>
        <v>0.63444444444443537</v>
      </c>
    </row>
    <row r="2295" spans="1:16" x14ac:dyDescent="0.3">
      <c r="A2295" s="9" t="s">
        <v>4881</v>
      </c>
      <c r="B2295" s="9" t="s">
        <v>26</v>
      </c>
      <c r="C2295" s="9" t="s">
        <v>26</v>
      </c>
      <c r="D2295" s="52">
        <v>46245</v>
      </c>
      <c r="E2295" s="48">
        <v>0.78819444444444453</v>
      </c>
      <c r="F2295" s="48">
        <v>0.79583333333333339</v>
      </c>
      <c r="G2295" s="43">
        <f>(F2295-E2295)*1440</f>
        <v>10.999999999999961</v>
      </c>
      <c r="H2295" s="9" t="s">
        <v>5144</v>
      </c>
      <c r="I2295" s="9" t="s">
        <v>5145</v>
      </c>
      <c r="J2295" s="44">
        <v>3.4</v>
      </c>
      <c r="K2295" s="60">
        <v>5.05</v>
      </c>
      <c r="L2295" s="56">
        <v>4.37</v>
      </c>
      <c r="M2295" s="14">
        <f>K2295-L2295</f>
        <v>0.67999999999999972</v>
      </c>
      <c r="N2295" s="15">
        <f>IFERROR(M2295/K2295,0)</f>
        <v>0.13465346534653461</v>
      </c>
      <c r="O2295" s="14">
        <f>IFERROR(L2295/J2295,0)</f>
        <v>1.2852941176470589</v>
      </c>
      <c r="P2295" s="14">
        <f>IFERROR(L2295/G2295,0)</f>
        <v>0.39727272727272872</v>
      </c>
    </row>
    <row r="2296" spans="1:16" x14ac:dyDescent="0.3">
      <c r="A2296" s="9" t="s">
        <v>4882</v>
      </c>
      <c r="B2296" s="9" t="s">
        <v>18</v>
      </c>
      <c r="C2296" s="9" t="s">
        <v>184</v>
      </c>
      <c r="D2296" s="52">
        <v>46245</v>
      </c>
      <c r="E2296" s="48">
        <v>0.54999999999999993</v>
      </c>
      <c r="F2296" s="48">
        <v>0.55972222222222223</v>
      </c>
      <c r="G2296" s="43">
        <f>(F2296-E2296)*1440</f>
        <v>14.00000000000011</v>
      </c>
      <c r="H2296" s="9" t="s">
        <v>5146</v>
      </c>
      <c r="I2296" s="9" t="s">
        <v>4325</v>
      </c>
      <c r="J2296" s="44">
        <v>6.45</v>
      </c>
      <c r="K2296" s="60">
        <v>5.56</v>
      </c>
      <c r="L2296" s="56">
        <v>5.41</v>
      </c>
      <c r="M2296" s="14">
        <f>K2296-L2296</f>
        <v>0.14999999999999947</v>
      </c>
      <c r="N2296" s="15">
        <f>IFERROR(M2296/K2296,0)</f>
        <v>2.6978417266186955E-2</v>
      </c>
      <c r="O2296" s="14">
        <f>IFERROR(L2296/J2296,0)</f>
        <v>0.83875968992248062</v>
      </c>
      <c r="P2296" s="14">
        <f>IFERROR(L2296/G2296,0)</f>
        <v>0.3864285714285684</v>
      </c>
    </row>
    <row r="2297" spans="1:16" x14ac:dyDescent="0.3">
      <c r="A2297" s="9" t="s">
        <v>4883</v>
      </c>
      <c r="B2297" s="9" t="s">
        <v>18</v>
      </c>
      <c r="C2297" s="9" t="s">
        <v>184</v>
      </c>
      <c r="D2297" s="52">
        <v>46245</v>
      </c>
      <c r="E2297" s="48">
        <v>0.57500000000000007</v>
      </c>
      <c r="F2297" s="48">
        <v>0.59583333333333333</v>
      </c>
      <c r="G2297" s="43">
        <f>(F2297-E2297)*1440</f>
        <v>29.999999999999893</v>
      </c>
      <c r="H2297" s="9" t="s">
        <v>4325</v>
      </c>
      <c r="I2297" s="9" t="s">
        <v>5147</v>
      </c>
      <c r="J2297" s="44">
        <v>17.84</v>
      </c>
      <c r="K2297" s="60">
        <v>10.94</v>
      </c>
      <c r="L2297" s="56">
        <v>8.75</v>
      </c>
      <c r="M2297" s="14">
        <f>K2297-L2297</f>
        <v>2.1899999999999995</v>
      </c>
      <c r="N2297" s="15">
        <f>IFERROR(M2297/K2297,0)</f>
        <v>0.20018281535648991</v>
      </c>
      <c r="O2297" s="14">
        <f>IFERROR(L2297/J2297,0)</f>
        <v>0.49047085201793722</v>
      </c>
      <c r="P2297" s="14">
        <f>IFERROR(L2297/G2297,0)</f>
        <v>0.29166666666666768</v>
      </c>
    </row>
    <row r="2298" spans="1:16" x14ac:dyDescent="0.3">
      <c r="A2298" s="9" t="s">
        <v>4884</v>
      </c>
      <c r="B2298" s="9" t="s">
        <v>18</v>
      </c>
      <c r="C2298" s="9" t="s">
        <v>184</v>
      </c>
      <c r="D2298" s="52">
        <v>46245</v>
      </c>
      <c r="E2298" s="48">
        <v>0.60069444444444442</v>
      </c>
      <c r="F2298" s="48">
        <v>0.61875000000000002</v>
      </c>
      <c r="G2298" s="43">
        <f>(F2298-E2298)*1440</f>
        <v>26.000000000000068</v>
      </c>
      <c r="H2298" s="9" t="s">
        <v>5148</v>
      </c>
      <c r="I2298" s="9" t="s">
        <v>5149</v>
      </c>
      <c r="J2298" s="44">
        <v>19.95</v>
      </c>
      <c r="K2298" s="60">
        <v>13.65</v>
      </c>
      <c r="L2298" s="56">
        <v>8.99</v>
      </c>
      <c r="M2298" s="14">
        <f>K2298-L2298</f>
        <v>4.66</v>
      </c>
      <c r="N2298" s="15">
        <f>IFERROR(M2298/K2298,0)</f>
        <v>0.3413919413919414</v>
      </c>
      <c r="O2298" s="14">
        <f>IFERROR(L2298/J2298,0)</f>
        <v>0.45062656641604015</v>
      </c>
      <c r="P2298" s="14">
        <f>IFERROR(L2298/G2298,0)</f>
        <v>0.34576923076922988</v>
      </c>
    </row>
    <row r="2299" spans="1:16" x14ac:dyDescent="0.3">
      <c r="A2299" s="9" t="s">
        <v>4885</v>
      </c>
      <c r="B2299" s="9" t="s">
        <v>18</v>
      </c>
      <c r="C2299" s="9" t="s">
        <v>184</v>
      </c>
      <c r="D2299" s="52">
        <v>46245</v>
      </c>
      <c r="E2299" s="48">
        <v>0.62430555555555556</v>
      </c>
      <c r="F2299" s="48">
        <v>0.63611111111111118</v>
      </c>
      <c r="G2299" s="43">
        <f>(F2299-E2299)*1440</f>
        <v>17.000000000000099</v>
      </c>
      <c r="H2299" s="9" t="s">
        <v>5150</v>
      </c>
      <c r="I2299" s="9" t="s">
        <v>1856</v>
      </c>
      <c r="J2299" s="44">
        <v>15.34</v>
      </c>
      <c r="K2299" s="60">
        <v>8.9499999999999993</v>
      </c>
      <c r="L2299" s="56">
        <v>6.54</v>
      </c>
      <c r="M2299" s="14">
        <f>K2299-L2299</f>
        <v>2.4099999999999993</v>
      </c>
      <c r="N2299" s="15">
        <f>IFERROR(M2299/K2299,0)</f>
        <v>0.26927374301675971</v>
      </c>
      <c r="O2299" s="14">
        <f>IFERROR(L2299/J2299,0)</f>
        <v>0.4263363754889179</v>
      </c>
      <c r="P2299" s="14">
        <f>IFERROR(L2299/G2299,0)</f>
        <v>0.38470588235293895</v>
      </c>
    </row>
    <row r="2300" spans="1:16" x14ac:dyDescent="0.3">
      <c r="A2300" s="9" t="s">
        <v>4886</v>
      </c>
      <c r="B2300" s="9" t="s">
        <v>18</v>
      </c>
      <c r="C2300" s="9" t="s">
        <v>184</v>
      </c>
      <c r="D2300" s="52">
        <v>46245</v>
      </c>
      <c r="E2300" s="48">
        <v>0.6694444444444444</v>
      </c>
      <c r="F2300" s="48">
        <v>0.67986111111111114</v>
      </c>
      <c r="G2300" s="43">
        <f>(F2300-E2300)*1440</f>
        <v>15.000000000000107</v>
      </c>
      <c r="H2300" s="9" t="s">
        <v>5151</v>
      </c>
      <c r="I2300" s="9" t="s">
        <v>5152</v>
      </c>
      <c r="J2300" s="44">
        <v>4.33</v>
      </c>
      <c r="K2300" s="60">
        <v>5.99</v>
      </c>
      <c r="L2300" s="56">
        <v>4.21</v>
      </c>
      <c r="M2300" s="14">
        <f>K2300-L2300</f>
        <v>1.7800000000000002</v>
      </c>
      <c r="N2300" s="15">
        <f>IFERROR(M2300/K2300,0)</f>
        <v>0.29716193656093493</v>
      </c>
      <c r="O2300" s="14">
        <f>IFERROR(L2300/J2300,0)</f>
        <v>0.97228637413394914</v>
      </c>
      <c r="P2300" s="14">
        <f>IFERROR(L2300/G2300,0)</f>
        <v>0.28066666666666468</v>
      </c>
    </row>
    <row r="2301" spans="1:16" x14ac:dyDescent="0.3">
      <c r="A2301" s="9" t="s">
        <v>4887</v>
      </c>
      <c r="B2301" s="9" t="s">
        <v>18</v>
      </c>
      <c r="C2301" s="9" t="s">
        <v>184</v>
      </c>
      <c r="D2301" s="52">
        <v>46245</v>
      </c>
      <c r="E2301" s="48">
        <v>0.7416666666666667</v>
      </c>
      <c r="F2301" s="48">
        <v>0.75694444444444453</v>
      </c>
      <c r="G2301" s="43">
        <f>(F2301-E2301)*1440</f>
        <v>22.000000000000082</v>
      </c>
      <c r="H2301" s="9" t="s">
        <v>5153</v>
      </c>
      <c r="I2301" s="9" t="s">
        <v>5154</v>
      </c>
      <c r="J2301" s="44">
        <v>15.23</v>
      </c>
      <c r="K2301" s="60">
        <v>9.93</v>
      </c>
      <c r="L2301" s="56">
        <v>7.54</v>
      </c>
      <c r="M2301" s="14">
        <f>K2301-L2301</f>
        <v>2.3899999999999997</v>
      </c>
      <c r="N2301" s="15">
        <f>IFERROR(M2301/K2301,0)</f>
        <v>0.24068479355488417</v>
      </c>
      <c r="O2301" s="14">
        <f>IFERROR(L2301/J2301,0)</f>
        <v>0.49507550886408402</v>
      </c>
      <c r="P2301" s="14">
        <f>IFERROR(L2301/G2301,0)</f>
        <v>0.34272727272727144</v>
      </c>
    </row>
    <row r="2302" spans="1:16" x14ac:dyDescent="0.3">
      <c r="A2302" s="9" t="s">
        <v>4888</v>
      </c>
      <c r="B2302" s="9" t="s">
        <v>18</v>
      </c>
      <c r="C2302" s="9" t="s">
        <v>184</v>
      </c>
      <c r="D2302" s="52">
        <v>46245</v>
      </c>
      <c r="E2302" s="48">
        <v>0.75416666666666676</v>
      </c>
      <c r="F2302" s="48">
        <v>0.76388888888888884</v>
      </c>
      <c r="G2302" s="43">
        <f>(F2302-E2302)*1440</f>
        <v>13.99999999999979</v>
      </c>
      <c r="H2302" s="9" t="s">
        <v>5155</v>
      </c>
      <c r="I2302" s="9" t="s">
        <v>582</v>
      </c>
      <c r="J2302" s="44">
        <v>8.51</v>
      </c>
      <c r="K2302" s="60">
        <v>6.32</v>
      </c>
      <c r="L2302" s="56">
        <v>5.57</v>
      </c>
      <c r="M2302" s="14">
        <f>K2302-L2302</f>
        <v>0.75</v>
      </c>
      <c r="N2302" s="15">
        <f>IFERROR(M2302/K2302,0)</f>
        <v>0.11867088607594936</v>
      </c>
      <c r="O2302" s="14">
        <f>IFERROR(L2302/J2302,0)</f>
        <v>0.65452408930669803</v>
      </c>
      <c r="P2302" s="14">
        <f>IFERROR(L2302/G2302,0)</f>
        <v>0.39785714285714885</v>
      </c>
    </row>
    <row r="2303" spans="1:16" x14ac:dyDescent="0.3">
      <c r="A2303" s="9" t="s">
        <v>4889</v>
      </c>
      <c r="B2303" s="9" t="s">
        <v>18</v>
      </c>
      <c r="C2303" s="9" t="s">
        <v>184</v>
      </c>
      <c r="D2303" s="52">
        <v>46245</v>
      </c>
      <c r="E2303" s="48">
        <v>0.80208333333333337</v>
      </c>
      <c r="F2303" s="48">
        <v>0.80833333333333324</v>
      </c>
      <c r="G2303" s="43">
        <f>(F2303-E2303)*1440</f>
        <v>8.9999999999998082</v>
      </c>
      <c r="H2303" s="9" t="s">
        <v>4210</v>
      </c>
      <c r="I2303" s="9" t="s">
        <v>5156</v>
      </c>
      <c r="J2303" s="44">
        <v>6.59</v>
      </c>
      <c r="K2303" s="60">
        <v>4.95</v>
      </c>
      <c r="L2303" s="56">
        <v>3.78</v>
      </c>
      <c r="M2303" s="14">
        <f>K2303-L2303</f>
        <v>1.1700000000000004</v>
      </c>
      <c r="N2303" s="15">
        <f>IFERROR(M2303/K2303,0)</f>
        <v>0.23636363636363644</v>
      </c>
      <c r="O2303" s="14">
        <f>IFERROR(L2303/J2303,0)</f>
        <v>0.57359635811836118</v>
      </c>
      <c r="P2303" s="14">
        <f>IFERROR(L2303/G2303,0)</f>
        <v>0.42000000000000892</v>
      </c>
    </row>
    <row r="2304" spans="1:16" x14ac:dyDescent="0.3">
      <c r="A2304" s="9" t="s">
        <v>4890</v>
      </c>
      <c r="B2304" s="9" t="s">
        <v>18</v>
      </c>
      <c r="C2304" s="9" t="s">
        <v>184</v>
      </c>
      <c r="D2304" s="52">
        <v>46245</v>
      </c>
      <c r="E2304" s="48">
        <v>0.81180555555555556</v>
      </c>
      <c r="F2304" s="48">
        <v>0.82013888888888886</v>
      </c>
      <c r="G2304" s="43">
        <f>(F2304-E2304)*1440</f>
        <v>11.999999999999957</v>
      </c>
      <c r="H2304" s="9" t="s">
        <v>3458</v>
      </c>
      <c r="I2304" s="9" t="s">
        <v>549</v>
      </c>
      <c r="J2304" s="44">
        <v>9.49</v>
      </c>
      <c r="K2304" s="60">
        <v>6.96</v>
      </c>
      <c r="L2304" s="56">
        <v>5.22</v>
      </c>
      <c r="M2304" s="14">
        <f>K2304-L2304</f>
        <v>1.7400000000000002</v>
      </c>
      <c r="N2304" s="15">
        <f>IFERROR(M2304/K2304,0)</f>
        <v>0.25000000000000006</v>
      </c>
      <c r="O2304" s="14">
        <f>IFERROR(L2304/J2304,0)</f>
        <v>0.55005268703898835</v>
      </c>
      <c r="P2304" s="14">
        <f>IFERROR(L2304/G2304,0)</f>
        <v>0.43500000000000155</v>
      </c>
    </row>
    <row r="2305" spans="1:19" x14ac:dyDescent="0.3">
      <c r="A2305" s="9" t="s">
        <v>4891</v>
      </c>
      <c r="B2305" s="9" t="s">
        <v>18</v>
      </c>
      <c r="C2305" s="9" t="s">
        <v>184</v>
      </c>
      <c r="D2305" s="52">
        <v>46247</v>
      </c>
      <c r="E2305" s="48">
        <v>0.5493055555555556</v>
      </c>
      <c r="F2305" s="48">
        <v>0.55347222222222225</v>
      </c>
      <c r="G2305" s="43">
        <f>(F2305-E2305)*1440</f>
        <v>5.9999999999999787</v>
      </c>
      <c r="H2305" s="9" t="s">
        <v>5157</v>
      </c>
      <c r="I2305" s="9" t="s">
        <v>5158</v>
      </c>
      <c r="J2305" s="44">
        <v>3.36</v>
      </c>
      <c r="K2305" s="60">
        <v>3.96</v>
      </c>
      <c r="L2305" s="56">
        <v>3.67</v>
      </c>
      <c r="M2305" s="14">
        <f>K2305-L2305</f>
        <v>0.29000000000000004</v>
      </c>
      <c r="N2305" s="15">
        <f>IFERROR(M2305/K2305,0)</f>
        <v>7.3232323232323246E-2</v>
      </c>
      <c r="O2305" s="14">
        <f>IFERROR(L2305/J2305,0)</f>
        <v>1.0922619047619049</v>
      </c>
      <c r="P2305" s="14">
        <f>IFERROR(L2305/G2305,0)</f>
        <v>0.6116666666666688</v>
      </c>
    </row>
    <row r="2306" spans="1:19" x14ac:dyDescent="0.3">
      <c r="A2306" s="9" t="s">
        <v>4892</v>
      </c>
      <c r="B2306" s="9" t="s">
        <v>18</v>
      </c>
      <c r="C2306" s="9" t="s">
        <v>184</v>
      </c>
      <c r="D2306" s="52">
        <v>46247</v>
      </c>
      <c r="E2306" s="48">
        <v>0.56666666666666665</v>
      </c>
      <c r="F2306" s="48">
        <v>0.58263888888888882</v>
      </c>
      <c r="G2306" s="43">
        <f>(F2306-E2306)*1440</f>
        <v>22.999999999999918</v>
      </c>
      <c r="H2306" s="9" t="s">
        <v>5159</v>
      </c>
      <c r="I2306" s="9" t="s">
        <v>5160</v>
      </c>
      <c r="J2306" s="44">
        <v>19.66</v>
      </c>
      <c r="K2306" s="60">
        <v>11.95</v>
      </c>
      <c r="L2306" s="56">
        <v>9.15</v>
      </c>
      <c r="M2306" s="14">
        <f>K2306-L2306</f>
        <v>2.7999999999999989</v>
      </c>
      <c r="N2306" s="15">
        <f>IFERROR(M2306/K2306,0)</f>
        <v>0.23430962343096226</v>
      </c>
      <c r="O2306" s="14">
        <f>IFERROR(L2306/J2306,0)</f>
        <v>0.46541200406917599</v>
      </c>
      <c r="P2306" s="14">
        <f>IFERROR(L2306/G2306,0)</f>
        <v>0.39782608695652316</v>
      </c>
    </row>
    <row r="2307" spans="1:19" x14ac:dyDescent="0.3">
      <c r="A2307" s="9" t="s">
        <v>4893</v>
      </c>
      <c r="B2307" s="9" t="s">
        <v>18</v>
      </c>
      <c r="C2307" s="9" t="s">
        <v>230</v>
      </c>
      <c r="D2307" s="52">
        <v>46247</v>
      </c>
      <c r="E2307" s="48">
        <v>0.63958333333333328</v>
      </c>
      <c r="F2307" s="48">
        <v>0.64583333333333337</v>
      </c>
      <c r="G2307" s="43">
        <f>(F2307-E2307)*1440</f>
        <v>9.0000000000001279</v>
      </c>
      <c r="H2307" s="9" t="s">
        <v>1779</v>
      </c>
      <c r="I2307" s="9" t="s">
        <v>214</v>
      </c>
      <c r="J2307" s="44">
        <v>4.74</v>
      </c>
      <c r="K2307" s="60">
        <v>3.34</v>
      </c>
      <c r="L2307" s="56">
        <v>3.25</v>
      </c>
      <c r="M2307" s="14">
        <f>K2307-L2307</f>
        <v>8.9999999999999858E-2</v>
      </c>
      <c r="N2307" s="15">
        <f>IFERROR(M2307/K2307,0)</f>
        <v>2.6946107784431097E-2</v>
      </c>
      <c r="O2307" s="14">
        <f>IFERROR(L2307/J2307,0)</f>
        <v>0.68565400843881852</v>
      </c>
      <c r="P2307" s="14">
        <f>IFERROR(L2307/G2307,0)</f>
        <v>0.361111111111106</v>
      </c>
    </row>
    <row r="2308" spans="1:19" x14ac:dyDescent="0.3">
      <c r="A2308" s="9" t="s">
        <v>4894</v>
      </c>
      <c r="B2308" s="9" t="s">
        <v>18</v>
      </c>
      <c r="C2308" s="9" t="s">
        <v>184</v>
      </c>
      <c r="D2308" s="52">
        <v>46247</v>
      </c>
      <c r="E2308" s="48">
        <v>0.6694444444444444</v>
      </c>
      <c r="F2308" s="48">
        <v>0.67708333333333337</v>
      </c>
      <c r="G2308" s="43">
        <f>(F2308-E2308)*1440</f>
        <v>11.000000000000121</v>
      </c>
      <c r="H2308" s="9" t="s">
        <v>214</v>
      </c>
      <c r="I2308" s="9" t="s">
        <v>243</v>
      </c>
      <c r="J2308" s="44">
        <v>6.38</v>
      </c>
      <c r="K2308" s="60">
        <v>5.99</v>
      </c>
      <c r="L2308" s="56">
        <v>4.07</v>
      </c>
      <c r="M2308" s="14">
        <f>K2308-L2308</f>
        <v>1.92</v>
      </c>
      <c r="N2308" s="15">
        <f>IFERROR(M2308/K2308,0)</f>
        <v>0.32053422370617696</v>
      </c>
      <c r="O2308" s="14">
        <f>IFERROR(L2308/J2308,0)</f>
        <v>0.63793103448275867</v>
      </c>
      <c r="P2308" s="14">
        <f>IFERROR(L2308/G2308,0)</f>
        <v>0.36999999999999594</v>
      </c>
    </row>
    <row r="2309" spans="1:19" x14ac:dyDescent="0.3">
      <c r="A2309" s="9" t="s">
        <v>4895</v>
      </c>
      <c r="B2309" s="9" t="s">
        <v>18</v>
      </c>
      <c r="C2309" s="9" t="s">
        <v>184</v>
      </c>
      <c r="D2309" s="52">
        <v>46247</v>
      </c>
      <c r="E2309" s="48">
        <v>0.67638888888888893</v>
      </c>
      <c r="F2309" s="48">
        <v>0.68402777777777779</v>
      </c>
      <c r="G2309" s="43">
        <f>(F2309-E2309)*1440</f>
        <v>10.999999999999961</v>
      </c>
      <c r="H2309" s="9" t="s">
        <v>243</v>
      </c>
      <c r="I2309" s="9" t="s">
        <v>2262</v>
      </c>
      <c r="J2309" s="44">
        <v>7.54</v>
      </c>
      <c r="K2309" s="60">
        <v>4.93</v>
      </c>
      <c r="L2309" s="56">
        <v>4.24</v>
      </c>
      <c r="M2309" s="14">
        <f>K2309-L2309</f>
        <v>0.6899999999999995</v>
      </c>
      <c r="N2309" s="15">
        <f>IFERROR(M2309/K2309,0)</f>
        <v>0.13995943204868144</v>
      </c>
      <c r="O2309" s="14">
        <f>IFERROR(L2309/J2309,0)</f>
        <v>0.56233421750663137</v>
      </c>
      <c r="P2309" s="14">
        <f>IFERROR(L2309/G2309,0)</f>
        <v>0.38545454545454683</v>
      </c>
    </row>
    <row r="2310" spans="1:19" x14ac:dyDescent="0.3">
      <c r="A2310" s="9" t="s">
        <v>4896</v>
      </c>
      <c r="B2310" s="9" t="s">
        <v>18</v>
      </c>
      <c r="C2310" s="9" t="s">
        <v>184</v>
      </c>
      <c r="D2310" s="52">
        <v>46247</v>
      </c>
      <c r="E2310" s="48">
        <v>0.68611111111111101</v>
      </c>
      <c r="F2310" s="48">
        <v>0.69513888888888886</v>
      </c>
      <c r="G2310" s="43">
        <f>(F2310-E2310)*1440</f>
        <v>13.000000000000114</v>
      </c>
      <c r="H2310" s="9" t="s">
        <v>1171</v>
      </c>
      <c r="I2310" s="9" t="s">
        <v>1728</v>
      </c>
      <c r="J2310" s="44">
        <v>6.14</v>
      </c>
      <c r="K2310" s="60">
        <v>8.94</v>
      </c>
      <c r="L2310" s="56">
        <v>5.81</v>
      </c>
      <c r="M2310" s="14">
        <f>K2310-L2310</f>
        <v>3.13</v>
      </c>
      <c r="N2310" s="15">
        <f>IFERROR(M2310/K2310,0)</f>
        <v>0.35011185682326623</v>
      </c>
      <c r="O2310" s="14">
        <f>IFERROR(L2310/J2310,0)</f>
        <v>0.94625407166123776</v>
      </c>
      <c r="P2310" s="14">
        <f>IFERROR(L2310/G2310,0)</f>
        <v>0.44692307692307298</v>
      </c>
    </row>
    <row r="2311" spans="1:19" x14ac:dyDescent="0.3">
      <c r="A2311" s="9" t="s">
        <v>4897</v>
      </c>
      <c r="B2311" s="9" t="s">
        <v>18</v>
      </c>
      <c r="C2311" s="9" t="s">
        <v>184</v>
      </c>
      <c r="D2311" s="52">
        <v>46247</v>
      </c>
      <c r="E2311" s="48">
        <v>0.74513888888888891</v>
      </c>
      <c r="F2311" s="48">
        <v>0.75208333333333333</v>
      </c>
      <c r="G2311" s="43">
        <f>(F2311-E2311)*1440</f>
        <v>9.9999999999999645</v>
      </c>
      <c r="H2311" s="9" t="s">
        <v>4304</v>
      </c>
      <c r="I2311" s="9" t="s">
        <v>754</v>
      </c>
      <c r="J2311" s="44">
        <v>2.98</v>
      </c>
      <c r="K2311" s="60">
        <v>3.94</v>
      </c>
      <c r="L2311" s="56">
        <v>3.8</v>
      </c>
      <c r="M2311" s="14">
        <f>K2311-L2311</f>
        <v>0.14000000000000012</v>
      </c>
      <c r="N2311" s="15">
        <f>IFERROR(M2311/K2311,0)</f>
        <v>3.5532994923857898E-2</v>
      </c>
      <c r="O2311" s="14">
        <f>IFERROR(L2311/J2311,0)</f>
        <v>1.2751677852348993</v>
      </c>
      <c r="P2311" s="14">
        <f>IFERROR(L2311/G2311,0)</f>
        <v>0.38000000000000134</v>
      </c>
    </row>
    <row r="2312" spans="1:19" x14ac:dyDescent="0.3">
      <c r="A2312" s="9" t="s">
        <v>4898</v>
      </c>
      <c r="B2312" s="9" t="s">
        <v>18</v>
      </c>
      <c r="C2312" s="9" t="s">
        <v>184</v>
      </c>
      <c r="D2312" s="52">
        <v>46247</v>
      </c>
      <c r="E2312" s="48">
        <v>0.75694444444444453</v>
      </c>
      <c r="F2312" s="48">
        <v>0.7597222222222223</v>
      </c>
      <c r="G2312" s="43">
        <f>(F2312-E2312)*1440</f>
        <v>3.9999999999999858</v>
      </c>
      <c r="H2312" s="9" t="s">
        <v>728</v>
      </c>
      <c r="I2312" s="9" t="s">
        <v>5161</v>
      </c>
      <c r="J2312" s="44">
        <v>1.6</v>
      </c>
      <c r="K2312" s="60">
        <v>4.95</v>
      </c>
      <c r="L2312" s="56">
        <v>3.3</v>
      </c>
      <c r="M2312" s="14">
        <f>K2312-L2312</f>
        <v>1.6500000000000004</v>
      </c>
      <c r="N2312" s="15">
        <f>IFERROR(M2312/K2312,0)</f>
        <v>0.33333333333333337</v>
      </c>
      <c r="O2312" s="14">
        <f>IFERROR(L2312/J2312,0)</f>
        <v>2.0624999999999996</v>
      </c>
      <c r="P2312" s="14">
        <f>IFERROR(L2312/G2312,0)</f>
        <v>0.82500000000000284</v>
      </c>
    </row>
    <row r="2313" spans="1:19" x14ac:dyDescent="0.3">
      <c r="A2313" s="9" t="s">
        <v>4899</v>
      </c>
      <c r="B2313" s="9" t="s">
        <v>18</v>
      </c>
      <c r="C2313" s="9" t="s">
        <v>196</v>
      </c>
      <c r="D2313" s="52">
        <v>46247</v>
      </c>
      <c r="E2313" s="48">
        <v>0.76388888888888884</v>
      </c>
      <c r="F2313" s="48">
        <v>0.77083333333333337</v>
      </c>
      <c r="G2313" s="43">
        <f>(F2313-E2313)*1440</f>
        <v>10.000000000000124</v>
      </c>
      <c r="H2313" s="9" t="s">
        <v>632</v>
      </c>
      <c r="I2313" s="9" t="s">
        <v>4646</v>
      </c>
      <c r="J2313" s="44">
        <v>7.23</v>
      </c>
      <c r="K2313" s="60">
        <v>7.97</v>
      </c>
      <c r="L2313" s="56">
        <v>5.33</v>
      </c>
      <c r="M2313" s="14">
        <f>K2313-L2313</f>
        <v>2.6399999999999997</v>
      </c>
      <c r="N2313" s="15">
        <f>IFERROR(M2313/K2313,0)</f>
        <v>0.33124215809284813</v>
      </c>
      <c r="O2313" s="14">
        <f>IFERROR(L2313/J2313,0)</f>
        <v>0.73720608575380353</v>
      </c>
      <c r="P2313" s="14">
        <f>IFERROR(L2313/G2313,0)</f>
        <v>0.53299999999999337</v>
      </c>
      <c r="S2313" s="61">
        <v>2</v>
      </c>
    </row>
    <row r="2314" spans="1:19" x14ac:dyDescent="0.3">
      <c r="A2314" s="9" t="s">
        <v>4900</v>
      </c>
      <c r="B2314" s="9" t="s">
        <v>18</v>
      </c>
      <c r="C2314" s="9" t="s">
        <v>196</v>
      </c>
      <c r="D2314" s="52">
        <v>46247</v>
      </c>
      <c r="E2314" s="48">
        <v>0.7909722222222223</v>
      </c>
      <c r="F2314" s="48">
        <v>0.7993055555555556</v>
      </c>
      <c r="G2314" s="43">
        <f>(F2314-E2314)*1440</f>
        <v>11.999999999999957</v>
      </c>
      <c r="H2314" s="9" t="s">
        <v>2015</v>
      </c>
      <c r="I2314" s="9" t="s">
        <v>2838</v>
      </c>
      <c r="J2314" s="44">
        <v>7.02</v>
      </c>
      <c r="K2314" s="60">
        <v>5.99</v>
      </c>
      <c r="L2314" s="56">
        <v>4.99</v>
      </c>
      <c r="M2314" s="14">
        <f>K2314-L2314</f>
        <v>1</v>
      </c>
      <c r="N2314" s="15">
        <f>IFERROR(M2314/K2314,0)</f>
        <v>0.1669449081803005</v>
      </c>
      <c r="O2314" s="14">
        <f>IFERROR(L2314/J2314,0)</f>
        <v>0.71082621082621089</v>
      </c>
      <c r="P2314" s="14">
        <f>IFERROR(L2314/G2314,0)</f>
        <v>0.41583333333333483</v>
      </c>
    </row>
    <row r="2315" spans="1:19" x14ac:dyDescent="0.3">
      <c r="A2315" s="9" t="s">
        <v>4901</v>
      </c>
      <c r="B2315" s="9" t="s">
        <v>18</v>
      </c>
      <c r="C2315" s="9" t="s">
        <v>184</v>
      </c>
      <c r="D2315" s="52">
        <v>46247</v>
      </c>
      <c r="E2315" s="48">
        <v>0.80208333333333337</v>
      </c>
      <c r="F2315" s="48">
        <v>0.8125</v>
      </c>
      <c r="G2315" s="43">
        <f>(F2315-E2315)*1440</f>
        <v>14.999999999999947</v>
      </c>
      <c r="H2315" s="9" t="s">
        <v>5145</v>
      </c>
      <c r="I2315" s="9" t="s">
        <v>1361</v>
      </c>
      <c r="J2315" s="44">
        <v>8.7200000000000006</v>
      </c>
      <c r="K2315" s="60">
        <v>7.96</v>
      </c>
      <c r="L2315" s="56">
        <v>5.99</v>
      </c>
      <c r="M2315" s="14">
        <f>K2315-L2315</f>
        <v>1.9699999999999998</v>
      </c>
      <c r="N2315" s="15">
        <f>IFERROR(M2315/K2315,0)</f>
        <v>0.24748743718592961</v>
      </c>
      <c r="O2315" s="14">
        <f>IFERROR(L2315/J2315,0)</f>
        <v>0.68692660550458717</v>
      </c>
      <c r="P2315" s="14">
        <f>IFERROR(L2315/G2315,0)</f>
        <v>0.39933333333333476</v>
      </c>
    </row>
    <row r="2316" spans="1:19" x14ac:dyDescent="0.3">
      <c r="A2316" s="9" t="s">
        <v>4902</v>
      </c>
      <c r="B2316" s="9" t="s">
        <v>18</v>
      </c>
      <c r="C2316" s="9" t="s">
        <v>184</v>
      </c>
      <c r="D2316" s="52">
        <v>46247</v>
      </c>
      <c r="E2316" s="48">
        <v>0.82361111111111107</v>
      </c>
      <c r="F2316" s="48">
        <v>0.83124999999999993</v>
      </c>
      <c r="G2316" s="43">
        <f>(F2316-E2316)*1440</f>
        <v>10.999999999999961</v>
      </c>
      <c r="H2316" s="9" t="s">
        <v>5163</v>
      </c>
      <c r="I2316" s="9" t="s">
        <v>5162</v>
      </c>
      <c r="J2316" s="44">
        <v>5.34</v>
      </c>
      <c r="K2316" s="60">
        <v>4.95</v>
      </c>
      <c r="L2316" s="56">
        <v>4.66</v>
      </c>
      <c r="M2316" s="14">
        <f>K2316-L2316</f>
        <v>0.29000000000000004</v>
      </c>
      <c r="N2316" s="15">
        <f>IFERROR(M2316/K2316,0)</f>
        <v>5.8585858585858588E-2</v>
      </c>
      <c r="O2316" s="14">
        <f>IFERROR(L2316/J2316,0)</f>
        <v>0.87265917602996257</v>
      </c>
      <c r="P2316" s="14">
        <f>IFERROR(L2316/G2316,0)</f>
        <v>0.42363636363636514</v>
      </c>
    </row>
    <row r="2317" spans="1:19" x14ac:dyDescent="0.3">
      <c r="A2317" s="9" t="s">
        <v>4903</v>
      </c>
      <c r="B2317" s="9" t="s">
        <v>18</v>
      </c>
      <c r="C2317" s="9" t="s">
        <v>196</v>
      </c>
      <c r="D2317" s="52">
        <v>46247</v>
      </c>
      <c r="E2317" s="48">
        <v>0.8340277777777777</v>
      </c>
      <c r="F2317" s="48">
        <v>0.83888888888888891</v>
      </c>
      <c r="G2317" s="43">
        <f>(F2317-E2317)*1440</f>
        <v>7.000000000000135</v>
      </c>
      <c r="H2317" s="9" t="s">
        <v>5164</v>
      </c>
      <c r="I2317" s="9" t="s">
        <v>5165</v>
      </c>
      <c r="J2317" s="44">
        <v>2.78</v>
      </c>
      <c r="K2317" s="60">
        <v>4.99</v>
      </c>
      <c r="L2317" s="56">
        <v>3.67</v>
      </c>
      <c r="M2317" s="14">
        <f>K2317-L2317</f>
        <v>1.3200000000000003</v>
      </c>
      <c r="N2317" s="15">
        <f>IFERROR(M2317/K2317,0)</f>
        <v>0.26452905811623251</v>
      </c>
      <c r="O2317" s="14">
        <f>IFERROR(L2317/J2317,0)</f>
        <v>1.3201438848920863</v>
      </c>
      <c r="P2317" s="14">
        <f>IFERROR(L2317/G2317,0)</f>
        <v>0.52428571428570414</v>
      </c>
    </row>
    <row r="2318" spans="1:19" x14ac:dyDescent="0.3">
      <c r="A2318" s="9" t="s">
        <v>4904</v>
      </c>
      <c r="B2318" s="9" t="s">
        <v>26</v>
      </c>
      <c r="C2318" s="9" t="s">
        <v>27</v>
      </c>
      <c r="D2318" s="52">
        <v>46247</v>
      </c>
      <c r="E2318" s="48">
        <v>0.59027777777777779</v>
      </c>
      <c r="F2318" s="48">
        <v>0.59791666666666665</v>
      </c>
      <c r="G2318" s="43">
        <f>(F2318-E2318)*1440</f>
        <v>10.999999999999961</v>
      </c>
      <c r="H2318" s="9" t="s">
        <v>628</v>
      </c>
      <c r="I2318" s="9" t="s">
        <v>5166</v>
      </c>
      <c r="J2318" s="44">
        <v>3.8</v>
      </c>
      <c r="K2318" s="60">
        <v>5.99</v>
      </c>
      <c r="L2318" s="56">
        <v>5.1100000000000003</v>
      </c>
      <c r="M2318" s="14">
        <f>K2318-L2318</f>
        <v>0.87999999999999989</v>
      </c>
      <c r="N2318" s="15">
        <f>IFERROR(M2318/K2318,0)</f>
        <v>0.14691151919866441</v>
      </c>
      <c r="O2318" s="14">
        <f>IFERROR(L2318/J2318,0)</f>
        <v>1.3447368421052632</v>
      </c>
      <c r="P2318" s="14">
        <f>IFERROR(L2318/G2318,0)</f>
        <v>0.4645454545454562</v>
      </c>
    </row>
    <row r="2319" spans="1:19" x14ac:dyDescent="0.3">
      <c r="A2319" s="9" t="s">
        <v>4905</v>
      </c>
      <c r="B2319" s="9" t="s">
        <v>26</v>
      </c>
      <c r="C2319" s="9" t="s">
        <v>26</v>
      </c>
      <c r="D2319" s="52">
        <v>46247</v>
      </c>
      <c r="E2319" s="48">
        <v>0.59861111111111109</v>
      </c>
      <c r="F2319" s="48">
        <v>0.60972222222222217</v>
      </c>
      <c r="G2319" s="43">
        <f>(F2319-E2319)*1440</f>
        <v>15.999999999999943</v>
      </c>
      <c r="H2319" s="9" t="s">
        <v>5172</v>
      </c>
      <c r="I2319" s="9" t="s">
        <v>5167</v>
      </c>
      <c r="J2319" s="44">
        <v>10.7</v>
      </c>
      <c r="K2319" s="60">
        <v>8.6300000000000008</v>
      </c>
      <c r="L2319" s="56">
        <v>7.99</v>
      </c>
      <c r="M2319" s="14">
        <f>K2319-L2319</f>
        <v>0.64000000000000057</v>
      </c>
      <c r="N2319" s="15">
        <f>IFERROR(M2319/K2319,0)</f>
        <v>7.4159907300115929E-2</v>
      </c>
      <c r="O2319" s="14">
        <f>IFERROR(L2319/J2319,0)</f>
        <v>0.74672897196261689</v>
      </c>
      <c r="P2319" s="14">
        <f>IFERROR(L2319/G2319,0)</f>
        <v>0.49937500000000179</v>
      </c>
    </row>
    <row r="2320" spans="1:19" x14ac:dyDescent="0.3">
      <c r="A2320" s="9" t="s">
        <v>4906</v>
      </c>
      <c r="B2320" s="9" t="s">
        <v>26</v>
      </c>
      <c r="C2320" s="9" t="s">
        <v>27</v>
      </c>
      <c r="D2320" s="52">
        <v>46247</v>
      </c>
      <c r="E2320" s="48">
        <v>0.62916666666666665</v>
      </c>
      <c r="F2320" s="48">
        <v>0.6381944444444444</v>
      </c>
      <c r="G2320" s="43">
        <f>(F2320-E2320)*1440</f>
        <v>12.999999999999954</v>
      </c>
      <c r="H2320" s="9" t="s">
        <v>1177</v>
      </c>
      <c r="I2320" s="9" t="s">
        <v>1789</v>
      </c>
      <c r="J2320" s="44">
        <v>7.2</v>
      </c>
      <c r="K2320" s="60">
        <v>5.66</v>
      </c>
      <c r="L2320" s="56">
        <v>4.66</v>
      </c>
      <c r="M2320" s="14">
        <f>K2320-L2320</f>
        <v>1</v>
      </c>
      <c r="N2320" s="15">
        <f>IFERROR(M2320/K2320,0)</f>
        <v>0.17667844522968199</v>
      </c>
      <c r="O2320" s="14">
        <f>IFERROR(L2320/J2320,0)</f>
        <v>0.64722222222222225</v>
      </c>
      <c r="P2320" s="14">
        <f>IFERROR(L2320/G2320,0)</f>
        <v>0.35846153846153972</v>
      </c>
    </row>
    <row r="2321" spans="1:16" x14ac:dyDescent="0.3">
      <c r="A2321" s="9" t="s">
        <v>4907</v>
      </c>
      <c r="B2321" s="9" t="s">
        <v>26</v>
      </c>
      <c r="C2321" s="9" t="s">
        <v>27</v>
      </c>
      <c r="D2321" s="52">
        <v>46247</v>
      </c>
      <c r="E2321" s="48">
        <v>0.70347222222222217</v>
      </c>
      <c r="F2321" s="48">
        <v>0.71319444444444446</v>
      </c>
      <c r="G2321" s="43">
        <f>(F2321-E2321)*1440</f>
        <v>14.00000000000011</v>
      </c>
      <c r="H2321" s="9" t="s">
        <v>5168</v>
      </c>
      <c r="I2321" s="9" t="s">
        <v>214</v>
      </c>
      <c r="J2321" s="44">
        <v>6.3</v>
      </c>
      <c r="K2321" s="60">
        <v>5.93</v>
      </c>
      <c r="L2321" s="56">
        <v>4.45</v>
      </c>
      <c r="M2321" s="14">
        <f>K2321-L2321</f>
        <v>1.4799999999999995</v>
      </c>
      <c r="N2321" s="15">
        <f>IFERROR(M2321/K2321,0)</f>
        <v>0.24957841483979756</v>
      </c>
      <c r="O2321" s="14">
        <f>IFERROR(L2321/J2321,0)</f>
        <v>0.70634920634920639</v>
      </c>
      <c r="P2321" s="14">
        <f>IFERROR(L2321/G2321,0)</f>
        <v>0.3178571428571404</v>
      </c>
    </row>
    <row r="2322" spans="1:16" x14ac:dyDescent="0.3">
      <c r="A2322" s="9" t="s">
        <v>4908</v>
      </c>
      <c r="B2322" s="9" t="s">
        <v>26</v>
      </c>
      <c r="C2322" s="9" t="s">
        <v>26</v>
      </c>
      <c r="D2322" s="52">
        <v>46247</v>
      </c>
      <c r="E2322" s="48">
        <v>0.73472222222222217</v>
      </c>
      <c r="F2322" s="48">
        <v>0.74513888888888891</v>
      </c>
      <c r="G2322" s="43">
        <f>(F2322-E2322)*1440</f>
        <v>15.000000000000107</v>
      </c>
      <c r="H2322" s="9" t="s">
        <v>1749</v>
      </c>
      <c r="I2322" s="9" t="s">
        <v>5169</v>
      </c>
      <c r="J2322" s="44">
        <v>8.6</v>
      </c>
      <c r="K2322" s="60">
        <v>8.31</v>
      </c>
      <c r="L2322" s="56">
        <v>6.48</v>
      </c>
      <c r="M2322" s="14">
        <f>K2322-L2322</f>
        <v>1.83</v>
      </c>
      <c r="N2322" s="15">
        <f>IFERROR(M2322/K2322,0)</f>
        <v>0.22021660649819494</v>
      </c>
      <c r="O2322" s="14">
        <f>IFERROR(L2322/J2322,0)</f>
        <v>0.75348837209302333</v>
      </c>
      <c r="P2322" s="14">
        <f>IFERROR(L2322/G2322,0)</f>
        <v>0.43199999999999694</v>
      </c>
    </row>
    <row r="2323" spans="1:16" x14ac:dyDescent="0.3">
      <c r="A2323" s="9" t="s">
        <v>4909</v>
      </c>
      <c r="B2323" s="9" t="s">
        <v>26</v>
      </c>
      <c r="C2323" s="9" t="s">
        <v>27</v>
      </c>
      <c r="D2323" s="52">
        <v>46247</v>
      </c>
      <c r="E2323" s="48">
        <v>0.8520833333333333</v>
      </c>
      <c r="F2323" s="48">
        <v>0.8652777777777777</v>
      </c>
      <c r="G2323" s="43">
        <f>(F2323-E2323)*1440</f>
        <v>18.999999999999932</v>
      </c>
      <c r="H2323" s="9" t="s">
        <v>1380</v>
      </c>
      <c r="I2323" s="9" t="s">
        <v>1260</v>
      </c>
      <c r="J2323" s="44">
        <v>17.5</v>
      </c>
      <c r="K2323" s="60">
        <v>9.93</v>
      </c>
      <c r="L2323" s="56">
        <v>8.1999999999999993</v>
      </c>
      <c r="M2323" s="14">
        <f>K2323-L2323</f>
        <v>1.7300000000000004</v>
      </c>
      <c r="N2323" s="15">
        <f>IFERROR(M2323/K2323,0)</f>
        <v>0.17421953675730115</v>
      </c>
      <c r="O2323" s="14">
        <f>IFERROR(L2323/J2323,0)</f>
        <v>0.46857142857142853</v>
      </c>
      <c r="P2323" s="14">
        <f>IFERROR(L2323/G2323,0)</f>
        <v>0.43157894736842256</v>
      </c>
    </row>
    <row r="2324" spans="1:16" x14ac:dyDescent="0.3">
      <c r="A2324" s="9" t="s">
        <v>4910</v>
      </c>
      <c r="B2324" s="9" t="s">
        <v>26</v>
      </c>
      <c r="C2324" s="9" t="s">
        <v>27</v>
      </c>
      <c r="D2324" s="52">
        <v>46248</v>
      </c>
      <c r="E2324" s="48">
        <v>0.58124999999999993</v>
      </c>
      <c r="F2324" s="48">
        <v>0.59861111111111109</v>
      </c>
      <c r="G2324" s="43">
        <f>(F2324-E2324)*1440</f>
        <v>25.000000000000071</v>
      </c>
      <c r="H2324" s="9" t="s">
        <v>604</v>
      </c>
      <c r="I2324" s="9" t="s">
        <v>698</v>
      </c>
      <c r="J2324" s="44">
        <v>15.5</v>
      </c>
      <c r="K2324" s="60">
        <v>8.93</v>
      </c>
      <c r="L2324" s="56">
        <v>8.43</v>
      </c>
      <c r="M2324" s="14">
        <f>K2324-L2324</f>
        <v>0.5</v>
      </c>
      <c r="N2324" s="15">
        <f>IFERROR(M2324/K2324,0)</f>
        <v>5.5991041433370664E-2</v>
      </c>
      <c r="O2324" s="14">
        <f>IFERROR(L2324/J2324,0)</f>
        <v>0.54387096774193544</v>
      </c>
      <c r="P2324" s="14">
        <f>IFERROR(L2324/G2324,0)</f>
        <v>0.33719999999999906</v>
      </c>
    </row>
    <row r="2325" spans="1:16" x14ac:dyDescent="0.3">
      <c r="A2325" s="9" t="s">
        <v>4911</v>
      </c>
      <c r="B2325" s="9" t="s">
        <v>26</v>
      </c>
      <c r="C2325" s="9" t="s">
        <v>26</v>
      </c>
      <c r="D2325" s="52">
        <v>46248</v>
      </c>
      <c r="E2325" s="48">
        <v>0.6</v>
      </c>
      <c r="F2325" s="48">
        <v>0.61041666666666672</v>
      </c>
      <c r="G2325" s="43">
        <f>(F2325-E2325)*1440</f>
        <v>15.000000000000107</v>
      </c>
      <c r="H2325" s="9" t="s">
        <v>698</v>
      </c>
      <c r="I2325" s="9" t="s">
        <v>242</v>
      </c>
      <c r="J2325" s="44">
        <v>5.0999999999999996</v>
      </c>
      <c r="K2325" s="60">
        <v>5.92</v>
      </c>
      <c r="L2325" s="56">
        <v>4.4400000000000004</v>
      </c>
      <c r="M2325" s="14">
        <f>K2325-L2325</f>
        <v>1.4799999999999995</v>
      </c>
      <c r="N2325" s="15">
        <f>IFERROR(M2325/K2325,0)</f>
        <v>0.24999999999999992</v>
      </c>
      <c r="O2325" s="14">
        <f>IFERROR(L2325/J2325,0)</f>
        <v>0.87058823529411777</v>
      </c>
      <c r="P2325" s="14">
        <f>IFERROR(L2325/G2325,0)</f>
        <v>0.29599999999999793</v>
      </c>
    </row>
    <row r="2326" spans="1:16" x14ac:dyDescent="0.3">
      <c r="A2326" s="9" t="s">
        <v>4912</v>
      </c>
      <c r="B2326" s="9" t="s">
        <v>26</v>
      </c>
      <c r="C2326" s="9" t="s">
        <v>26</v>
      </c>
      <c r="D2326" s="52">
        <v>46248</v>
      </c>
      <c r="E2326" s="48">
        <v>0.61944444444444446</v>
      </c>
      <c r="F2326" s="48">
        <v>0.63194444444444442</v>
      </c>
      <c r="G2326" s="43">
        <f>(F2326-E2326)*1440</f>
        <v>17.999999999999936</v>
      </c>
      <c r="H2326" s="9" t="s">
        <v>736</v>
      </c>
      <c r="I2326" s="9" t="s">
        <v>5170</v>
      </c>
      <c r="J2326" s="44">
        <v>9.3000000000000007</v>
      </c>
      <c r="K2326" s="60">
        <v>12.5</v>
      </c>
      <c r="L2326" s="56">
        <v>9.8699999999999992</v>
      </c>
      <c r="M2326" s="14">
        <f>K2326-L2326</f>
        <v>2.6300000000000008</v>
      </c>
      <c r="N2326" s="15">
        <f>IFERROR(M2326/K2326,0)</f>
        <v>0.21040000000000006</v>
      </c>
      <c r="O2326" s="14">
        <f>IFERROR(L2326/J2326,0)</f>
        <v>1.0612903225806449</v>
      </c>
      <c r="P2326" s="14">
        <f>IFERROR(L2326/G2326,0)</f>
        <v>0.54833333333333523</v>
      </c>
    </row>
    <row r="2327" spans="1:16" x14ac:dyDescent="0.3">
      <c r="A2327" s="9" t="s">
        <v>4913</v>
      </c>
      <c r="B2327" s="9" t="s">
        <v>26</v>
      </c>
      <c r="C2327" s="9" t="s">
        <v>27</v>
      </c>
      <c r="D2327" s="52">
        <v>46248</v>
      </c>
      <c r="E2327" s="48">
        <v>0.63958333333333328</v>
      </c>
      <c r="F2327" s="48">
        <v>0.65416666666666667</v>
      </c>
      <c r="G2327" s="43">
        <f>(F2327-E2327)*1440</f>
        <v>21.000000000000085</v>
      </c>
      <c r="H2327" s="9" t="s">
        <v>4283</v>
      </c>
      <c r="I2327" s="9" t="s">
        <v>1120</v>
      </c>
      <c r="J2327" s="44">
        <v>8.5</v>
      </c>
      <c r="K2327" s="60">
        <v>11.13</v>
      </c>
      <c r="L2327" s="56">
        <v>8.35</v>
      </c>
      <c r="M2327" s="14">
        <f>K2327-L2327</f>
        <v>2.7800000000000011</v>
      </c>
      <c r="N2327" s="15">
        <f>IFERROR(M2327/K2327,0)</f>
        <v>0.24977538185085363</v>
      </c>
      <c r="O2327" s="14">
        <f>IFERROR(L2327/J2327,0)</f>
        <v>0.98235294117647054</v>
      </c>
      <c r="P2327" s="14">
        <f>IFERROR(L2327/G2327,0)</f>
        <v>0.39761904761904598</v>
      </c>
    </row>
    <row r="2328" spans="1:16" x14ac:dyDescent="0.3">
      <c r="A2328" s="9" t="s">
        <v>4914</v>
      </c>
      <c r="B2328" s="9" t="s">
        <v>26</v>
      </c>
      <c r="C2328" s="9" t="s">
        <v>26</v>
      </c>
      <c r="D2328" s="52">
        <v>46248</v>
      </c>
      <c r="E2328" s="48">
        <v>0.65416666666666667</v>
      </c>
      <c r="F2328" s="48">
        <v>0.66111111111111109</v>
      </c>
      <c r="G2328" s="43">
        <f>(F2328-E2328)*1440</f>
        <v>9.9999999999999645</v>
      </c>
      <c r="H2328" s="9" t="s">
        <v>1120</v>
      </c>
      <c r="I2328" s="9" t="s">
        <v>1767</v>
      </c>
      <c r="J2328" s="44">
        <v>4</v>
      </c>
      <c r="K2328" s="60">
        <v>6.08</v>
      </c>
      <c r="L2328" s="56">
        <v>5.57</v>
      </c>
      <c r="M2328" s="14">
        <f>K2328-L2328</f>
        <v>0.50999999999999979</v>
      </c>
      <c r="N2328" s="15">
        <f>IFERROR(M2328/K2328,0)</f>
        <v>8.388157894736839E-2</v>
      </c>
      <c r="O2328" s="14">
        <f>IFERROR(L2328/J2328,0)</f>
        <v>1.3925000000000001</v>
      </c>
      <c r="P2328" s="14">
        <f>IFERROR(L2328/G2328,0)</f>
        <v>0.55700000000000205</v>
      </c>
    </row>
    <row r="2329" spans="1:16" x14ac:dyDescent="0.3">
      <c r="A2329" s="9" t="s">
        <v>4915</v>
      </c>
      <c r="B2329" s="9" t="s">
        <v>26</v>
      </c>
      <c r="C2329" s="9" t="s">
        <v>27</v>
      </c>
      <c r="D2329" s="52">
        <v>46248</v>
      </c>
      <c r="E2329" s="48">
        <v>0.67499999999999993</v>
      </c>
      <c r="F2329" s="48">
        <v>0.6875</v>
      </c>
      <c r="G2329" s="43">
        <f>(F2329-E2329)*1440</f>
        <v>18.000000000000096</v>
      </c>
      <c r="H2329" s="9" t="s">
        <v>5171</v>
      </c>
      <c r="I2329" s="9" t="s">
        <v>5173</v>
      </c>
      <c r="J2329" s="44">
        <v>11.1</v>
      </c>
      <c r="K2329" s="60">
        <v>8.9</v>
      </c>
      <c r="L2329" s="56">
        <v>6.67</v>
      </c>
      <c r="M2329" s="14">
        <f>K2329-L2329</f>
        <v>2.2300000000000004</v>
      </c>
      <c r="N2329" s="15">
        <f>IFERROR(M2329/K2329,0)</f>
        <v>0.25056179775280901</v>
      </c>
      <c r="O2329" s="14">
        <f>IFERROR(L2329/J2329,0)</f>
        <v>0.60090090090090087</v>
      </c>
      <c r="P2329" s="14">
        <f>IFERROR(L2329/G2329,0)</f>
        <v>0.37055555555555358</v>
      </c>
    </row>
    <row r="2330" spans="1:16" x14ac:dyDescent="0.3">
      <c r="A2330" s="9" t="s">
        <v>4916</v>
      </c>
      <c r="B2330" s="9" t="s">
        <v>26</v>
      </c>
      <c r="C2330" s="9" t="s">
        <v>26</v>
      </c>
      <c r="D2330" s="52">
        <v>46248</v>
      </c>
      <c r="E2330" s="48">
        <v>0.71736111111111101</v>
      </c>
      <c r="F2330" s="48">
        <v>0.7319444444444444</v>
      </c>
      <c r="G2330" s="43">
        <f>(F2330-E2330)*1440</f>
        <v>21.000000000000085</v>
      </c>
      <c r="H2330" s="9" t="s">
        <v>5174</v>
      </c>
      <c r="I2330" s="9" t="s">
        <v>754</v>
      </c>
      <c r="J2330" s="44">
        <v>9.1999999999999993</v>
      </c>
      <c r="K2330" s="60">
        <v>5.97</v>
      </c>
      <c r="L2330" s="56">
        <v>5.59</v>
      </c>
      <c r="M2330" s="14">
        <f>K2330-L2330</f>
        <v>0.37999999999999989</v>
      </c>
      <c r="N2330" s="15">
        <f>IFERROR(M2330/K2330,0)</f>
        <v>6.3651591289782233E-2</v>
      </c>
      <c r="O2330" s="14">
        <f>IFERROR(L2330/J2330,0)</f>
        <v>0.6076086956521739</v>
      </c>
      <c r="P2330" s="14">
        <f>IFERROR(L2330/G2330,0)</f>
        <v>0.26619047619047509</v>
      </c>
    </row>
    <row r="2331" spans="1:16" x14ac:dyDescent="0.3">
      <c r="A2331" s="9" t="s">
        <v>4917</v>
      </c>
      <c r="B2331" s="9" t="s">
        <v>26</v>
      </c>
      <c r="C2331" s="9" t="s">
        <v>26</v>
      </c>
      <c r="D2331" s="52">
        <v>46248</v>
      </c>
      <c r="E2331" s="48">
        <v>0.73402777777777783</v>
      </c>
      <c r="F2331" s="48">
        <v>0.74236111111111114</v>
      </c>
      <c r="G2331" s="43">
        <f>(F2331-E2331)*1440</f>
        <v>11.999999999999957</v>
      </c>
      <c r="H2331" s="9" t="s">
        <v>3442</v>
      </c>
      <c r="I2331" s="9" t="s">
        <v>1320</v>
      </c>
      <c r="J2331" s="44">
        <v>7.4</v>
      </c>
      <c r="K2331" s="60">
        <v>6.6</v>
      </c>
      <c r="L2331" s="56">
        <v>5.21</v>
      </c>
      <c r="M2331" s="14">
        <f>K2331-L2331</f>
        <v>1.3899999999999997</v>
      </c>
      <c r="N2331" s="15">
        <f>IFERROR(M2331/K2331,0)</f>
        <v>0.21060606060606057</v>
      </c>
      <c r="O2331" s="14">
        <f>IFERROR(L2331/J2331,0)</f>
        <v>0.70405405405405397</v>
      </c>
      <c r="P2331" s="14">
        <f>IFERROR(L2331/G2331,0)</f>
        <v>0.4341666666666682</v>
      </c>
    </row>
    <row r="2332" spans="1:16" x14ac:dyDescent="0.3">
      <c r="A2332" s="9" t="s">
        <v>4918</v>
      </c>
      <c r="B2332" s="9" t="s">
        <v>26</v>
      </c>
      <c r="C2332" s="9" t="s">
        <v>27</v>
      </c>
      <c r="D2332" s="52">
        <v>46248</v>
      </c>
      <c r="E2332" s="48">
        <v>0.78402777777777777</v>
      </c>
      <c r="F2332" s="48">
        <v>0.80138888888888893</v>
      </c>
      <c r="G2332" s="43">
        <f>(F2332-E2332)*1440</f>
        <v>25.000000000000071</v>
      </c>
      <c r="H2332" s="9" t="s">
        <v>2180</v>
      </c>
      <c r="I2332" s="9" t="s">
        <v>4077</v>
      </c>
      <c r="J2332" s="44">
        <v>12.7</v>
      </c>
      <c r="K2332" s="60">
        <v>9.99</v>
      </c>
      <c r="L2332" s="56">
        <v>7.49</v>
      </c>
      <c r="M2332" s="14">
        <f>K2332-L2332</f>
        <v>2.5</v>
      </c>
      <c r="N2332" s="15">
        <f>IFERROR(M2332/K2332,0)</f>
        <v>0.25025025025025027</v>
      </c>
      <c r="O2332" s="14">
        <f>IFERROR(L2332/J2332,0)</f>
        <v>0.5897637795275591</v>
      </c>
      <c r="P2332" s="14">
        <f>IFERROR(L2332/G2332,0)</f>
        <v>0.29959999999999914</v>
      </c>
    </row>
    <row r="2333" spans="1:16" x14ac:dyDescent="0.3">
      <c r="A2333" s="9" t="s">
        <v>4919</v>
      </c>
      <c r="B2333" s="9" t="s">
        <v>26</v>
      </c>
      <c r="C2333" s="9" t="s">
        <v>27</v>
      </c>
      <c r="D2333" s="52">
        <v>46248</v>
      </c>
      <c r="E2333" s="48">
        <v>0.80625000000000002</v>
      </c>
      <c r="F2333" s="48">
        <v>0.82986111111111116</v>
      </c>
      <c r="G2333" s="43">
        <f>(F2333-E2333)*1440</f>
        <v>34.000000000000043</v>
      </c>
      <c r="H2333" s="9" t="s">
        <v>5175</v>
      </c>
      <c r="I2333" s="9" t="s">
        <v>569</v>
      </c>
      <c r="J2333" s="44">
        <v>18.8</v>
      </c>
      <c r="K2333" s="60">
        <v>12.4</v>
      </c>
      <c r="L2333" s="56">
        <v>9.3000000000000007</v>
      </c>
      <c r="M2333" s="14">
        <f>K2333-L2333</f>
        <v>3.0999999999999996</v>
      </c>
      <c r="N2333" s="15">
        <f>IFERROR(M2333/K2333,0)</f>
        <v>0.24999999999999997</v>
      </c>
      <c r="O2333" s="14">
        <f>IFERROR(L2333/J2333,0)</f>
        <v>0.49468085106382981</v>
      </c>
      <c r="P2333" s="14">
        <f>IFERROR(L2333/G2333,0)</f>
        <v>0.27352941176470558</v>
      </c>
    </row>
    <row r="2334" spans="1:16" x14ac:dyDescent="0.3">
      <c r="A2334" s="9" t="s">
        <v>4920</v>
      </c>
      <c r="B2334" s="9" t="s">
        <v>26</v>
      </c>
      <c r="C2334" s="9" t="s">
        <v>27</v>
      </c>
      <c r="D2334" s="52">
        <v>46248</v>
      </c>
      <c r="E2334" s="48">
        <v>0.83333333333333337</v>
      </c>
      <c r="F2334" s="48">
        <v>0.84097222222222223</v>
      </c>
      <c r="G2334" s="43">
        <f>(F2334-E2334)*1440</f>
        <v>10.999999999999961</v>
      </c>
      <c r="H2334" s="9" t="s">
        <v>214</v>
      </c>
      <c r="I2334" s="9" t="s">
        <v>1725</v>
      </c>
      <c r="J2334" s="44">
        <v>5</v>
      </c>
      <c r="K2334" s="60">
        <v>5</v>
      </c>
      <c r="L2334" s="56">
        <v>3.75</v>
      </c>
      <c r="M2334" s="14">
        <f>K2334-L2334</f>
        <v>1.25</v>
      </c>
      <c r="N2334" s="15">
        <f>IFERROR(M2334/K2334,0)</f>
        <v>0.25</v>
      </c>
      <c r="O2334" s="14">
        <f>IFERROR(L2334/J2334,0)</f>
        <v>0.75</v>
      </c>
      <c r="P2334" s="14">
        <f>IFERROR(L2334/G2334,0)</f>
        <v>0.34090909090909211</v>
      </c>
    </row>
    <row r="2335" spans="1:16" x14ac:dyDescent="0.3">
      <c r="A2335" s="9" t="s">
        <v>4921</v>
      </c>
      <c r="B2335" s="9" t="s">
        <v>18</v>
      </c>
      <c r="C2335" s="9" t="s">
        <v>184</v>
      </c>
      <c r="D2335" s="52">
        <v>46248</v>
      </c>
      <c r="E2335" s="48">
        <v>0.5493055555555556</v>
      </c>
      <c r="F2335" s="48">
        <v>0.55833333333333335</v>
      </c>
      <c r="G2335" s="43">
        <f>(F2335-E2335)*1440</f>
        <v>12.999999999999954</v>
      </c>
      <c r="H2335" s="9" t="s">
        <v>5158</v>
      </c>
      <c r="I2335" s="9" t="s">
        <v>828</v>
      </c>
      <c r="J2335" s="44">
        <v>8.73</v>
      </c>
      <c r="K2335" s="60">
        <v>7.43</v>
      </c>
      <c r="L2335" s="56">
        <v>7.15</v>
      </c>
      <c r="M2335" s="14">
        <f>K2335-L2335</f>
        <v>0.27999999999999936</v>
      </c>
      <c r="N2335" s="15">
        <f>IFERROR(M2335/K2335,0)</f>
        <v>3.7685060565275826E-2</v>
      </c>
      <c r="O2335" s="14">
        <f>IFERROR(L2335/J2335,0)</f>
        <v>0.81901489117983961</v>
      </c>
      <c r="P2335" s="14">
        <f>IFERROR(L2335/G2335,0)</f>
        <v>0.55000000000000193</v>
      </c>
    </row>
    <row r="2336" spans="1:16" x14ac:dyDescent="0.3">
      <c r="A2336" s="9" t="s">
        <v>4922</v>
      </c>
      <c r="B2336" s="9" t="s">
        <v>18</v>
      </c>
      <c r="C2336" s="9" t="s">
        <v>184</v>
      </c>
      <c r="D2336" s="52">
        <v>46248</v>
      </c>
      <c r="E2336" s="48">
        <v>0.61041666666666672</v>
      </c>
      <c r="F2336" s="48">
        <v>0.6166666666666667</v>
      </c>
      <c r="G2336" s="43">
        <f>(F2336-E2336)*1440</f>
        <v>8.999999999999968</v>
      </c>
      <c r="H2336" s="9" t="s">
        <v>211</v>
      </c>
      <c r="I2336" s="9" t="s">
        <v>561</v>
      </c>
      <c r="J2336" s="44">
        <v>3.45</v>
      </c>
      <c r="K2336" s="60">
        <v>5.96</v>
      </c>
      <c r="L2336" s="56">
        <v>3.87</v>
      </c>
      <c r="M2336" s="14">
        <f>K2336-L2336</f>
        <v>2.09</v>
      </c>
      <c r="N2336" s="15">
        <f>IFERROR(M2336/K2336,0)</f>
        <v>0.35067114093959728</v>
      </c>
      <c r="O2336" s="14">
        <f>IFERROR(L2336/J2336,0)</f>
        <v>1.1217391304347826</v>
      </c>
      <c r="P2336" s="14">
        <f>IFERROR(L2336/G2336,0)</f>
        <v>0.43000000000000155</v>
      </c>
    </row>
    <row r="2337" spans="1:16" x14ac:dyDescent="0.3">
      <c r="A2337" s="9" t="s">
        <v>4923</v>
      </c>
      <c r="B2337" s="9" t="s">
        <v>18</v>
      </c>
      <c r="C2337" s="9" t="s">
        <v>196</v>
      </c>
      <c r="D2337" s="52">
        <v>46248</v>
      </c>
      <c r="E2337" s="48">
        <v>0.68611111111111101</v>
      </c>
      <c r="F2337" s="48">
        <v>0.6958333333333333</v>
      </c>
      <c r="G2337" s="43">
        <f>(F2337-E2337)*1440</f>
        <v>14.00000000000011</v>
      </c>
      <c r="H2337" s="9" t="s">
        <v>5176</v>
      </c>
      <c r="I2337" s="9" t="s">
        <v>5177</v>
      </c>
      <c r="J2337" s="44">
        <v>8.98</v>
      </c>
      <c r="K2337" s="60">
        <v>8.98</v>
      </c>
      <c r="L2337" s="56">
        <v>5.98</v>
      </c>
      <c r="M2337" s="14">
        <f>K2337-L2337</f>
        <v>3</v>
      </c>
      <c r="N2337" s="15">
        <f>IFERROR(M2337/K2337,0)</f>
        <v>0.33407572383073497</v>
      </c>
      <c r="O2337" s="14">
        <f>IFERROR(L2337/J2337,0)</f>
        <v>0.66592427616926508</v>
      </c>
      <c r="P2337" s="14">
        <f>IFERROR(L2337/G2337,0)</f>
        <v>0.42714285714285383</v>
      </c>
    </row>
    <row r="2338" spans="1:16" x14ac:dyDescent="0.3">
      <c r="A2338" s="9" t="s">
        <v>4924</v>
      </c>
      <c r="B2338" s="9" t="s">
        <v>18</v>
      </c>
      <c r="C2338" s="9" t="s">
        <v>184</v>
      </c>
      <c r="D2338" s="52">
        <v>46248</v>
      </c>
      <c r="E2338" s="48">
        <v>0.74930555555555556</v>
      </c>
      <c r="F2338" s="48">
        <v>0.76250000000000007</v>
      </c>
      <c r="G2338" s="43">
        <f>(F2338-E2338)*1440</f>
        <v>19.000000000000092</v>
      </c>
      <c r="H2338" s="9" t="s">
        <v>214</v>
      </c>
      <c r="I2338" s="9" t="s">
        <v>681</v>
      </c>
      <c r="J2338" s="44">
        <v>8.56</v>
      </c>
      <c r="K2338" s="60">
        <v>8.9499999999999993</v>
      </c>
      <c r="L2338" s="56">
        <v>7.34</v>
      </c>
      <c r="M2338" s="14">
        <f>K2338-L2338</f>
        <v>1.6099999999999994</v>
      </c>
      <c r="N2338" s="15">
        <f>IFERROR(M2338/K2338,0)</f>
        <v>0.17988826815642453</v>
      </c>
      <c r="O2338" s="14">
        <f>IFERROR(L2338/J2338,0)</f>
        <v>0.85747663551401865</v>
      </c>
      <c r="P2338" s="14">
        <f>IFERROR(L2338/G2338,0)</f>
        <v>0.38631578947368234</v>
      </c>
    </row>
    <row r="2339" spans="1:16" x14ac:dyDescent="0.3">
      <c r="A2339" s="9" t="s">
        <v>4925</v>
      </c>
      <c r="B2339" s="9" t="s">
        <v>18</v>
      </c>
      <c r="C2339" s="9" t="s">
        <v>184</v>
      </c>
      <c r="D2339" s="52">
        <v>46248</v>
      </c>
      <c r="E2339" s="48">
        <v>0.84236111111111101</v>
      </c>
      <c r="F2339" s="48">
        <v>0.86249999999999993</v>
      </c>
      <c r="G2339" s="43">
        <f>(F2339-E2339)*1440</f>
        <v>29.000000000000057</v>
      </c>
      <c r="H2339" s="9" t="s">
        <v>5179</v>
      </c>
      <c r="I2339" s="9" t="s">
        <v>5178</v>
      </c>
      <c r="J2339" s="44">
        <v>22.11</v>
      </c>
      <c r="K2339" s="60">
        <v>14.95</v>
      </c>
      <c r="L2339" s="56">
        <v>9.7200000000000006</v>
      </c>
      <c r="M2339" s="14">
        <f>K2339-L2339</f>
        <v>5.2299999999999986</v>
      </c>
      <c r="N2339" s="15">
        <f>IFERROR(M2339/K2339,0)</f>
        <v>0.34983277591973239</v>
      </c>
      <c r="O2339" s="14">
        <f>IFERROR(L2339/J2339,0)</f>
        <v>0.43962008141112624</v>
      </c>
      <c r="P2339" s="14">
        <f>IFERROR(L2339/G2339,0)</f>
        <v>0.33517241379310281</v>
      </c>
    </row>
    <row r="2340" spans="1:16" x14ac:dyDescent="0.3">
      <c r="A2340" s="9" t="s">
        <v>4926</v>
      </c>
      <c r="B2340" s="9" t="s">
        <v>18</v>
      </c>
      <c r="C2340" s="9" t="s">
        <v>184</v>
      </c>
      <c r="D2340" s="52">
        <v>46249</v>
      </c>
      <c r="E2340" s="48">
        <v>0.53888888888888886</v>
      </c>
      <c r="F2340" s="48">
        <v>0.54305555555555551</v>
      </c>
      <c r="G2340" s="43">
        <f>(F2340-E2340)*1440</f>
        <v>5.9999999999999787</v>
      </c>
      <c r="H2340" s="9" t="s">
        <v>4099</v>
      </c>
      <c r="I2340" s="9" t="s">
        <v>2160</v>
      </c>
      <c r="J2340" s="44">
        <v>3.51</v>
      </c>
      <c r="K2340" s="60">
        <v>3.95</v>
      </c>
      <c r="L2340" s="56">
        <v>3.43</v>
      </c>
      <c r="M2340" s="14">
        <f>K2340-L2340</f>
        <v>0.52</v>
      </c>
      <c r="N2340" s="15">
        <f>IFERROR(M2340/K2340,0)</f>
        <v>0.13164556962025317</v>
      </c>
      <c r="O2340" s="14">
        <f>IFERROR(L2340/J2340,0)</f>
        <v>0.97720797720797736</v>
      </c>
      <c r="P2340" s="14">
        <f>IFERROR(L2340/G2340,0)</f>
        <v>0.57166666666666877</v>
      </c>
    </row>
    <row r="2341" spans="1:16" x14ac:dyDescent="0.3">
      <c r="A2341" s="9" t="s">
        <v>4927</v>
      </c>
      <c r="B2341" s="9" t="s">
        <v>18</v>
      </c>
      <c r="C2341" s="9" t="s">
        <v>184</v>
      </c>
      <c r="D2341" s="52">
        <v>46249</v>
      </c>
      <c r="E2341" s="48">
        <v>0.5493055555555556</v>
      </c>
      <c r="F2341" s="48">
        <v>0.5625</v>
      </c>
      <c r="G2341" s="43">
        <f>(F2341-E2341)*1440</f>
        <v>18.999999999999932</v>
      </c>
      <c r="H2341" s="9" t="s">
        <v>5180</v>
      </c>
      <c r="I2341" s="9" t="s">
        <v>828</v>
      </c>
      <c r="J2341" s="44">
        <v>17.670000000000002</v>
      </c>
      <c r="K2341" s="60">
        <v>10.33</v>
      </c>
      <c r="L2341" s="56">
        <v>10.029999999999999</v>
      </c>
      <c r="M2341" s="14">
        <f>K2341-L2341</f>
        <v>0.30000000000000071</v>
      </c>
      <c r="N2341" s="15">
        <f>IFERROR(M2341/K2341,0)</f>
        <v>2.904162633107461E-2</v>
      </c>
      <c r="O2341" s="14">
        <f>IFERROR(L2341/J2341,0)</f>
        <v>0.56762874929258622</v>
      </c>
      <c r="P2341" s="14">
        <f>IFERROR(L2341/G2341,0)</f>
        <v>0.52789473684210708</v>
      </c>
    </row>
    <row r="2342" spans="1:16" x14ac:dyDescent="0.3">
      <c r="A2342" s="9" t="s">
        <v>4928</v>
      </c>
      <c r="B2342" s="9" t="s">
        <v>18</v>
      </c>
      <c r="C2342" s="9" t="s">
        <v>184</v>
      </c>
      <c r="D2342" s="52">
        <v>46249</v>
      </c>
      <c r="E2342" s="48">
        <v>0.60277777777777775</v>
      </c>
      <c r="F2342" s="48">
        <v>0.61805555555555558</v>
      </c>
      <c r="G2342" s="43">
        <f>(F2342-E2342)*1440</f>
        <v>22.000000000000082</v>
      </c>
      <c r="H2342" s="9" t="s">
        <v>2248</v>
      </c>
      <c r="I2342" s="9" t="s">
        <v>5181</v>
      </c>
      <c r="J2342" s="44">
        <v>13.36</v>
      </c>
      <c r="K2342" s="60">
        <v>9.94</v>
      </c>
      <c r="L2342" s="56">
        <v>6.98</v>
      </c>
      <c r="M2342" s="14">
        <f>K2342-L2342</f>
        <v>2.9599999999999991</v>
      </c>
      <c r="N2342" s="15">
        <f>IFERROR(M2342/K2342,0)</f>
        <v>0.29778672032193149</v>
      </c>
      <c r="O2342" s="14">
        <f>IFERROR(L2342/J2342,0)</f>
        <v>0.52245508982035938</v>
      </c>
      <c r="P2342" s="14">
        <f>IFERROR(L2342/G2342,0)</f>
        <v>0.3172727272727261</v>
      </c>
    </row>
    <row r="2343" spans="1:16" x14ac:dyDescent="0.3">
      <c r="A2343" s="9" t="s">
        <v>4929</v>
      </c>
      <c r="B2343" s="9" t="s">
        <v>18</v>
      </c>
      <c r="C2343" s="9" t="s">
        <v>184</v>
      </c>
      <c r="D2343" s="52">
        <v>46249</v>
      </c>
      <c r="E2343" s="48">
        <v>0.61944444444444446</v>
      </c>
      <c r="F2343" s="48">
        <v>0.62916666666666665</v>
      </c>
      <c r="G2343" s="43">
        <f>(F2343-E2343)*1440</f>
        <v>13.99999999999995</v>
      </c>
      <c r="H2343" s="9" t="s">
        <v>2524</v>
      </c>
      <c r="I2343" s="9" t="s">
        <v>855</v>
      </c>
      <c r="J2343" s="44">
        <v>10.3</v>
      </c>
      <c r="K2343" s="60">
        <v>6.96</v>
      </c>
      <c r="L2343" s="56">
        <v>4.5199999999999996</v>
      </c>
      <c r="M2343" s="14">
        <f>K2343-L2343</f>
        <v>2.4400000000000004</v>
      </c>
      <c r="N2343" s="15">
        <f>IFERROR(M2343/K2343,0)</f>
        <v>0.35057471264367823</v>
      </c>
      <c r="O2343" s="14">
        <f>IFERROR(L2343/J2343,0)</f>
        <v>0.43883495145631063</v>
      </c>
      <c r="P2343" s="14">
        <f>IFERROR(L2343/G2343,0)</f>
        <v>0.32285714285714395</v>
      </c>
    </row>
    <row r="2344" spans="1:16" x14ac:dyDescent="0.3">
      <c r="A2344" s="9" t="s">
        <v>4930</v>
      </c>
      <c r="B2344" s="9" t="s">
        <v>18</v>
      </c>
      <c r="C2344" s="9" t="s">
        <v>184</v>
      </c>
      <c r="D2344" s="52">
        <v>46249</v>
      </c>
      <c r="E2344" s="48">
        <v>0.63611111111111118</v>
      </c>
      <c r="F2344" s="48">
        <v>0.64097222222222217</v>
      </c>
      <c r="G2344" s="43">
        <f>(F2344-E2344)*1440</f>
        <v>6.9999999999998153</v>
      </c>
      <c r="H2344" s="9" t="s">
        <v>5182</v>
      </c>
      <c r="I2344" s="9" t="s">
        <v>5183</v>
      </c>
      <c r="J2344" s="44">
        <v>3.75</v>
      </c>
      <c r="K2344" s="60">
        <v>3.96</v>
      </c>
      <c r="L2344" s="56">
        <v>3.44</v>
      </c>
      <c r="M2344" s="14">
        <f>K2344-L2344</f>
        <v>0.52</v>
      </c>
      <c r="N2344" s="15">
        <f>IFERROR(M2344/K2344,0)</f>
        <v>0.13131313131313133</v>
      </c>
      <c r="O2344" s="14">
        <f>IFERROR(L2344/J2344,0)</f>
        <v>0.91733333333333333</v>
      </c>
      <c r="P2344" s="14">
        <f>IFERROR(L2344/G2344,0)</f>
        <v>0.49142857142858437</v>
      </c>
    </row>
    <row r="2345" spans="1:16" x14ac:dyDescent="0.3">
      <c r="A2345" s="9" t="s">
        <v>4931</v>
      </c>
      <c r="B2345" s="9" t="s">
        <v>18</v>
      </c>
      <c r="C2345" s="9" t="s">
        <v>184</v>
      </c>
      <c r="D2345" s="52">
        <v>46249</v>
      </c>
      <c r="E2345" s="48">
        <v>0.71111111111111114</v>
      </c>
      <c r="F2345" s="48">
        <v>0.71388888888888891</v>
      </c>
      <c r="G2345" s="43">
        <f>(F2345-E2345)*1440</f>
        <v>3.9999999999999858</v>
      </c>
      <c r="H2345" s="9" t="s">
        <v>5183</v>
      </c>
      <c r="I2345" s="9" t="s">
        <v>561</v>
      </c>
      <c r="J2345" s="44">
        <v>1.67</v>
      </c>
      <c r="K2345" s="60">
        <v>4.95</v>
      </c>
      <c r="L2345" s="56">
        <v>3.38</v>
      </c>
      <c r="M2345" s="14">
        <f>K2345-L2345</f>
        <v>1.5700000000000003</v>
      </c>
      <c r="N2345" s="15">
        <f>IFERROR(M2345/K2345,0)</f>
        <v>0.31717171717171722</v>
      </c>
      <c r="O2345" s="14">
        <f>IFERROR(L2345/J2345,0)</f>
        <v>2.0239520958083834</v>
      </c>
      <c r="P2345" s="14">
        <f>IFERROR(L2345/G2345,0)</f>
        <v>0.84500000000000297</v>
      </c>
    </row>
    <row r="2346" spans="1:16" x14ac:dyDescent="0.3">
      <c r="A2346" s="9" t="s">
        <v>4932</v>
      </c>
      <c r="B2346" s="9" t="s">
        <v>18</v>
      </c>
      <c r="C2346" s="9" t="s">
        <v>184</v>
      </c>
      <c r="D2346" s="52">
        <v>46249</v>
      </c>
      <c r="E2346" s="48">
        <v>0.77083333333333337</v>
      </c>
      <c r="F2346" s="48">
        <v>0.78194444444444444</v>
      </c>
      <c r="G2346" s="43">
        <f>(F2346-E2346)*1440</f>
        <v>15.999999999999943</v>
      </c>
      <c r="H2346" s="9" t="s">
        <v>4748</v>
      </c>
      <c r="I2346" s="9" t="s">
        <v>5184</v>
      </c>
      <c r="J2346" s="44">
        <v>12.59</v>
      </c>
      <c r="K2346" s="60">
        <v>9.9499999999999993</v>
      </c>
      <c r="L2346" s="56">
        <v>6.47</v>
      </c>
      <c r="M2346" s="14">
        <f>K2346-L2346</f>
        <v>3.4799999999999995</v>
      </c>
      <c r="N2346" s="15">
        <f>IFERROR(M2346/K2346,0)</f>
        <v>0.34974874371859294</v>
      </c>
      <c r="O2346" s="14">
        <f>IFERROR(L2346/J2346,0)</f>
        <v>0.51389992057188238</v>
      </c>
      <c r="P2346" s="14">
        <f>IFERROR(L2346/G2346,0)</f>
        <v>0.40437500000000143</v>
      </c>
    </row>
    <row r="2347" spans="1:16" x14ac:dyDescent="0.3">
      <c r="A2347" s="9" t="s">
        <v>4933</v>
      </c>
      <c r="B2347" s="9" t="s">
        <v>18</v>
      </c>
      <c r="C2347" s="9" t="s">
        <v>184</v>
      </c>
      <c r="D2347" s="52">
        <v>46249</v>
      </c>
      <c r="E2347" s="48">
        <v>0.78472222222222221</v>
      </c>
      <c r="F2347" s="48">
        <v>0.79722222222222217</v>
      </c>
      <c r="G2347" s="43">
        <f>(F2347-E2347)*1440</f>
        <v>17.999999999999936</v>
      </c>
      <c r="H2347" s="9" t="s">
        <v>5185</v>
      </c>
      <c r="I2347" s="9" t="s">
        <v>5186</v>
      </c>
      <c r="J2347" s="44">
        <v>20.03</v>
      </c>
      <c r="K2347" s="60">
        <v>11.96</v>
      </c>
      <c r="L2347" s="56">
        <v>9.1199999999999992</v>
      </c>
      <c r="M2347" s="14">
        <f>K2347-L2347</f>
        <v>2.8400000000000016</v>
      </c>
      <c r="N2347" s="15">
        <f>IFERROR(M2347/K2347,0)</f>
        <v>0.23745819397993323</v>
      </c>
      <c r="O2347" s="14">
        <f>IFERROR(L2347/J2347,0)</f>
        <v>0.45531702446330496</v>
      </c>
      <c r="P2347" s="14">
        <f>IFERROR(L2347/G2347,0)</f>
        <v>0.50666666666666837</v>
      </c>
    </row>
    <row r="2348" spans="1:16" x14ac:dyDescent="0.3">
      <c r="A2348" s="9" t="s">
        <v>4934</v>
      </c>
      <c r="B2348" s="9" t="s">
        <v>26</v>
      </c>
      <c r="C2348" s="9" t="s">
        <v>27</v>
      </c>
      <c r="D2348" s="52">
        <v>46249</v>
      </c>
      <c r="E2348" s="48">
        <v>0.57152777777777775</v>
      </c>
      <c r="F2348" s="48">
        <v>0.58680555555555558</v>
      </c>
      <c r="G2348" s="43">
        <f>(F2348-E2348)*1440</f>
        <v>22.000000000000082</v>
      </c>
      <c r="H2348" s="9" t="s">
        <v>1763</v>
      </c>
      <c r="I2348" s="9" t="s">
        <v>5187</v>
      </c>
      <c r="J2348" s="44">
        <v>13.2</v>
      </c>
      <c r="K2348" s="60">
        <v>10.68</v>
      </c>
      <c r="L2348" s="56">
        <v>8.01</v>
      </c>
      <c r="M2348" s="14">
        <f>K2348-L2348</f>
        <v>2.67</v>
      </c>
      <c r="N2348" s="15">
        <f>IFERROR(M2348/K2348,0)</f>
        <v>0.25</v>
      </c>
      <c r="O2348" s="14">
        <f>IFERROR(L2348/J2348,0)</f>
        <v>0.60681818181818181</v>
      </c>
      <c r="P2348" s="14">
        <f>IFERROR(L2348/G2348,0)</f>
        <v>0.36409090909090774</v>
      </c>
    </row>
    <row r="2349" spans="1:16" x14ac:dyDescent="0.3">
      <c r="A2349" s="9" t="s">
        <v>4935</v>
      </c>
      <c r="B2349" s="9" t="s">
        <v>26</v>
      </c>
      <c r="C2349" s="9" t="s">
        <v>26</v>
      </c>
      <c r="D2349" s="52">
        <v>46249</v>
      </c>
      <c r="E2349" s="48">
        <v>0.58958333333333335</v>
      </c>
      <c r="F2349" s="48">
        <v>0.59652777777777777</v>
      </c>
      <c r="G2349" s="43">
        <f>(F2349-E2349)*1440</f>
        <v>9.9999999999999645</v>
      </c>
      <c r="H2349" s="9" t="s">
        <v>5188</v>
      </c>
      <c r="I2349" s="9" t="s">
        <v>569</v>
      </c>
      <c r="J2349" s="44">
        <v>6.7</v>
      </c>
      <c r="K2349" s="60">
        <v>5.99</v>
      </c>
      <c r="L2349" s="56">
        <v>4.99</v>
      </c>
      <c r="M2349" s="14">
        <f>K2349-L2349</f>
        <v>1</v>
      </c>
      <c r="N2349" s="15">
        <f>IFERROR(M2349/K2349,0)</f>
        <v>0.1669449081803005</v>
      </c>
      <c r="O2349" s="14">
        <f>IFERROR(L2349/J2349,0)</f>
        <v>0.74477611940298505</v>
      </c>
      <c r="P2349" s="14">
        <f>IFERROR(L2349/G2349,0)</f>
        <v>0.49900000000000178</v>
      </c>
    </row>
    <row r="2350" spans="1:16" x14ac:dyDescent="0.3">
      <c r="A2350" s="9" t="s">
        <v>4936</v>
      </c>
      <c r="B2350" s="9" t="s">
        <v>26</v>
      </c>
      <c r="C2350" s="9" t="s">
        <v>27</v>
      </c>
      <c r="D2350" s="52">
        <v>46249</v>
      </c>
      <c r="E2350" s="48">
        <v>0.59930555555555554</v>
      </c>
      <c r="F2350" s="48">
        <v>0.60833333333333328</v>
      </c>
      <c r="G2350" s="43">
        <f>(F2350-E2350)*1440</f>
        <v>12.999999999999954</v>
      </c>
      <c r="H2350" s="9" t="s">
        <v>2149</v>
      </c>
      <c r="I2350" s="9" t="s">
        <v>261</v>
      </c>
      <c r="J2350" s="44">
        <v>7.9</v>
      </c>
      <c r="K2350" s="60">
        <v>6.92</v>
      </c>
      <c r="L2350" s="56">
        <v>5.19</v>
      </c>
      <c r="M2350" s="14">
        <f>K2350-L2350</f>
        <v>1.7299999999999995</v>
      </c>
      <c r="N2350" s="15">
        <f>IFERROR(M2350/K2350,0)</f>
        <v>0.24999999999999994</v>
      </c>
      <c r="O2350" s="14">
        <f>IFERROR(L2350/J2350,0)</f>
        <v>0.65696202531645576</v>
      </c>
      <c r="P2350" s="14">
        <f>IFERROR(L2350/G2350,0)</f>
        <v>0.39923076923077067</v>
      </c>
    </row>
    <row r="2351" spans="1:16" x14ac:dyDescent="0.3">
      <c r="A2351" s="9" t="s">
        <v>4937</v>
      </c>
      <c r="B2351" s="9" t="s">
        <v>26</v>
      </c>
      <c r="C2351" s="9" t="s">
        <v>26</v>
      </c>
      <c r="D2351" s="52">
        <v>46249</v>
      </c>
      <c r="E2351" s="48">
        <v>0.66736111111111107</v>
      </c>
      <c r="F2351" s="48">
        <v>0.67986111111111114</v>
      </c>
      <c r="G2351" s="43">
        <f>(F2351-E2351)*1440</f>
        <v>18.000000000000096</v>
      </c>
      <c r="H2351" s="9" t="s">
        <v>242</v>
      </c>
      <c r="I2351" s="9" t="s">
        <v>1171</v>
      </c>
      <c r="J2351" s="44">
        <v>5.7</v>
      </c>
      <c r="K2351" s="60">
        <v>6.96</v>
      </c>
      <c r="L2351" s="56">
        <v>5.22</v>
      </c>
      <c r="M2351" s="14">
        <f>K2351-L2351</f>
        <v>1.7400000000000002</v>
      </c>
      <c r="N2351" s="15">
        <f>IFERROR(M2351/K2351,0)</f>
        <v>0.25000000000000006</v>
      </c>
      <c r="O2351" s="14">
        <f>IFERROR(L2351/J2351,0)</f>
        <v>0.91578947368421049</v>
      </c>
      <c r="P2351" s="14">
        <f>IFERROR(L2351/G2351,0)</f>
        <v>0.28999999999999843</v>
      </c>
    </row>
    <row r="2352" spans="1:16" x14ac:dyDescent="0.3">
      <c r="A2352" s="9" t="s">
        <v>4938</v>
      </c>
      <c r="B2352" s="9" t="s">
        <v>26</v>
      </c>
      <c r="C2352" s="9" t="s">
        <v>27</v>
      </c>
      <c r="D2352" s="52">
        <v>46249</v>
      </c>
      <c r="E2352" s="48">
        <v>0.68194444444444446</v>
      </c>
      <c r="F2352" s="48">
        <v>0.69305555555555554</v>
      </c>
      <c r="G2352" s="43">
        <f>(F2352-E2352)*1440</f>
        <v>15.999999999999943</v>
      </c>
      <c r="H2352" s="9" t="s">
        <v>1840</v>
      </c>
      <c r="I2352" s="9" t="s">
        <v>5189</v>
      </c>
      <c r="J2352" s="44">
        <v>10.4</v>
      </c>
      <c r="K2352" s="60">
        <v>8.9700000000000006</v>
      </c>
      <c r="L2352" s="56">
        <v>6.73</v>
      </c>
      <c r="M2352" s="14">
        <f>K2352-L2352</f>
        <v>2.2400000000000002</v>
      </c>
      <c r="N2352" s="15">
        <f>IFERROR(M2352/K2352,0)</f>
        <v>0.24972129319955408</v>
      </c>
      <c r="O2352" s="14">
        <f>IFERROR(L2352/J2352,0)</f>
        <v>0.64711538461538465</v>
      </c>
      <c r="P2352" s="14">
        <f>IFERROR(L2352/G2352,0)</f>
        <v>0.42062500000000153</v>
      </c>
    </row>
    <row r="2353" spans="1:19" x14ac:dyDescent="0.3">
      <c r="A2353" s="9" t="s">
        <v>4939</v>
      </c>
      <c r="B2353" s="9" t="s">
        <v>26</v>
      </c>
      <c r="C2353" s="9" t="s">
        <v>27</v>
      </c>
      <c r="D2353" s="52">
        <v>46249</v>
      </c>
      <c r="E2353" s="48">
        <v>0.69652777777777775</v>
      </c>
      <c r="F2353" s="48">
        <v>0.7104166666666667</v>
      </c>
      <c r="G2353" s="43">
        <f>(F2353-E2353)*1440</f>
        <v>20.000000000000089</v>
      </c>
      <c r="H2353" s="9" t="s">
        <v>5190</v>
      </c>
      <c r="I2353" s="9" t="s">
        <v>1950</v>
      </c>
      <c r="J2353" s="44">
        <v>9.8000000000000007</v>
      </c>
      <c r="K2353" s="60">
        <v>7.93</v>
      </c>
      <c r="L2353" s="56">
        <v>5.95</v>
      </c>
      <c r="M2353" s="14">
        <f>K2353-L2353</f>
        <v>1.9799999999999995</v>
      </c>
      <c r="N2353" s="15">
        <f>IFERROR(M2353/K2353,0)</f>
        <v>0.24968474148802014</v>
      </c>
      <c r="O2353" s="14">
        <f>IFERROR(L2353/J2353,0)</f>
        <v>0.6071428571428571</v>
      </c>
      <c r="P2353" s="14">
        <f>IFERROR(L2353/G2353,0)</f>
        <v>0.29749999999999871</v>
      </c>
    </row>
    <row r="2354" spans="1:19" x14ac:dyDescent="0.3">
      <c r="A2354" s="9" t="s">
        <v>4940</v>
      </c>
      <c r="B2354" s="9" t="s">
        <v>26</v>
      </c>
      <c r="C2354" s="9" t="s">
        <v>26</v>
      </c>
      <c r="D2354" s="52">
        <v>46249</v>
      </c>
      <c r="E2354" s="48">
        <v>0.71875</v>
      </c>
      <c r="F2354" s="48">
        <v>0.72152777777777777</v>
      </c>
      <c r="G2354" s="43">
        <f>(F2354-E2354)*1440</f>
        <v>3.9999999999999858</v>
      </c>
      <c r="H2354" s="9" t="s">
        <v>852</v>
      </c>
      <c r="I2354" s="9" t="s">
        <v>5191</v>
      </c>
      <c r="J2354" s="44">
        <v>2.2000000000000002</v>
      </c>
      <c r="K2354" s="60">
        <v>4.62</v>
      </c>
      <c r="L2354" s="56">
        <v>3.46</v>
      </c>
      <c r="M2354" s="14">
        <f>K2354-L2354</f>
        <v>1.1600000000000001</v>
      </c>
      <c r="N2354" s="15">
        <f>IFERROR(M2354/K2354,0)</f>
        <v>0.25108225108225113</v>
      </c>
      <c r="O2354" s="14">
        <f>IFERROR(L2354/J2354,0)</f>
        <v>1.5727272727272725</v>
      </c>
      <c r="P2354" s="14">
        <f>IFERROR(L2354/G2354,0)</f>
        <v>0.8650000000000031</v>
      </c>
    </row>
    <row r="2355" spans="1:19" x14ac:dyDescent="0.3">
      <c r="A2355" s="9" t="s">
        <v>4941</v>
      </c>
      <c r="B2355" s="9" t="s">
        <v>26</v>
      </c>
      <c r="C2355" s="9" t="s">
        <v>27</v>
      </c>
      <c r="D2355" s="52">
        <v>46249</v>
      </c>
      <c r="E2355" s="48">
        <v>0.7270833333333333</v>
      </c>
      <c r="F2355" s="48">
        <v>0.73611111111111116</v>
      </c>
      <c r="G2355" s="43">
        <f>(F2355-E2355)*1440</f>
        <v>13.000000000000114</v>
      </c>
      <c r="H2355" s="9" t="s">
        <v>2009</v>
      </c>
      <c r="I2355" s="9" t="s">
        <v>2549</v>
      </c>
      <c r="J2355" s="44">
        <v>5</v>
      </c>
      <c r="K2355" s="60">
        <v>5.38</v>
      </c>
      <c r="L2355" s="56">
        <v>4.03</v>
      </c>
      <c r="M2355" s="14">
        <f>K2355-L2355</f>
        <v>1.3499999999999996</v>
      </c>
      <c r="N2355" s="15">
        <f>IFERROR(M2355/K2355,0)</f>
        <v>0.2509293680297397</v>
      </c>
      <c r="O2355" s="14">
        <f>IFERROR(L2355/J2355,0)</f>
        <v>0.80600000000000005</v>
      </c>
      <c r="P2355" s="14">
        <f>IFERROR(L2355/G2355,0)</f>
        <v>0.30999999999999733</v>
      </c>
    </row>
    <row r="2356" spans="1:19" x14ac:dyDescent="0.3">
      <c r="A2356" s="9" t="s">
        <v>4942</v>
      </c>
      <c r="B2356" s="9" t="s">
        <v>26</v>
      </c>
      <c r="C2356" s="9" t="s">
        <v>27</v>
      </c>
      <c r="D2356" s="52">
        <v>46249</v>
      </c>
      <c r="E2356" s="48">
        <v>0.73749999999999993</v>
      </c>
      <c r="F2356" s="48">
        <v>0.75902777777777775</v>
      </c>
      <c r="G2356" s="43">
        <f>(F2356-E2356)*1440</f>
        <v>31.00000000000005</v>
      </c>
      <c r="H2356" s="9" t="s">
        <v>3307</v>
      </c>
      <c r="I2356" s="9" t="s">
        <v>5192</v>
      </c>
      <c r="J2356" s="44">
        <v>15.6</v>
      </c>
      <c r="K2356" s="60">
        <v>12.56</v>
      </c>
      <c r="L2356" s="56">
        <v>9.42</v>
      </c>
      <c r="M2356" s="14">
        <f>K2356-L2356</f>
        <v>3.1400000000000006</v>
      </c>
      <c r="N2356" s="15">
        <f>IFERROR(M2356/K2356,0)</f>
        <v>0.25000000000000006</v>
      </c>
      <c r="O2356" s="14">
        <f>IFERROR(L2356/J2356,0)</f>
        <v>0.60384615384615381</v>
      </c>
      <c r="P2356" s="14">
        <f>IFERROR(L2356/G2356,0)</f>
        <v>0.30387096774193501</v>
      </c>
    </row>
    <row r="2357" spans="1:19" x14ac:dyDescent="0.3">
      <c r="A2357" s="9" t="s">
        <v>4943</v>
      </c>
      <c r="B2357" s="9" t="s">
        <v>26</v>
      </c>
      <c r="C2357" s="9" t="s">
        <v>27</v>
      </c>
      <c r="D2357" s="52">
        <v>46249</v>
      </c>
      <c r="E2357" s="48">
        <v>0.7597222222222223</v>
      </c>
      <c r="F2357" s="48">
        <v>0.77222222222222225</v>
      </c>
      <c r="G2357" s="43">
        <f>(F2357-E2357)*1440</f>
        <v>17.999999999999936</v>
      </c>
      <c r="H2357" s="9" t="s">
        <v>5193</v>
      </c>
      <c r="I2357" s="9" t="s">
        <v>1904</v>
      </c>
      <c r="J2357" s="44">
        <v>16.5</v>
      </c>
      <c r="K2357" s="60">
        <v>9.98</v>
      </c>
      <c r="L2357" s="56">
        <v>7.48</v>
      </c>
      <c r="M2357" s="14">
        <f>K2357-L2357</f>
        <v>2.5</v>
      </c>
      <c r="N2357" s="15">
        <f>IFERROR(M2357/K2357,0)</f>
        <v>0.25050100200400799</v>
      </c>
      <c r="O2357" s="14">
        <f>IFERROR(L2357/J2357,0)</f>
        <v>0.45333333333333337</v>
      </c>
      <c r="P2357" s="14">
        <f>IFERROR(L2357/G2357,0)</f>
        <v>0.41555555555555707</v>
      </c>
    </row>
    <row r="2358" spans="1:19" x14ac:dyDescent="0.3">
      <c r="A2358" s="9" t="s">
        <v>4944</v>
      </c>
      <c r="B2358" s="9" t="s">
        <v>26</v>
      </c>
      <c r="C2358" s="9" t="s">
        <v>27</v>
      </c>
      <c r="D2358" s="52">
        <v>46250</v>
      </c>
      <c r="E2358" s="48">
        <v>0.54722222222222217</v>
      </c>
      <c r="F2358" s="48">
        <v>0.55277777777777781</v>
      </c>
      <c r="G2358" s="43">
        <f>(F2358-E2358)*1440</f>
        <v>8.0000000000001315</v>
      </c>
      <c r="H2358" s="9" t="s">
        <v>4004</v>
      </c>
      <c r="I2358" s="9" t="s">
        <v>569</v>
      </c>
      <c r="J2358" s="44">
        <v>5.3</v>
      </c>
      <c r="K2358" s="60">
        <v>5.72</v>
      </c>
      <c r="L2358" s="56">
        <v>4.29</v>
      </c>
      <c r="M2358" s="14">
        <f>K2358-L2358</f>
        <v>1.4299999999999997</v>
      </c>
      <c r="N2358" s="15">
        <f>IFERROR(M2358/K2358,0)</f>
        <v>0.24999999999999997</v>
      </c>
      <c r="O2358" s="14">
        <f>IFERROR(L2358/J2358,0)</f>
        <v>0.80943396226415099</v>
      </c>
      <c r="P2358" s="14">
        <f>IFERROR(L2358/G2358,0)</f>
        <v>0.53624999999999123</v>
      </c>
    </row>
    <row r="2359" spans="1:19" x14ac:dyDescent="0.3">
      <c r="A2359" s="9" t="s">
        <v>4945</v>
      </c>
      <c r="B2359" s="9" t="s">
        <v>26</v>
      </c>
      <c r="C2359" s="9" t="s">
        <v>27</v>
      </c>
      <c r="D2359" s="52">
        <v>46250</v>
      </c>
      <c r="E2359" s="48">
        <v>0.55972222222222223</v>
      </c>
      <c r="F2359" s="48">
        <v>0.56944444444444442</v>
      </c>
      <c r="G2359" s="43">
        <f>(F2359-E2359)*1440</f>
        <v>13.99999999999995</v>
      </c>
      <c r="H2359" s="9" t="s">
        <v>2803</v>
      </c>
      <c r="I2359" s="9" t="s">
        <v>5194</v>
      </c>
      <c r="J2359" s="44">
        <v>8</v>
      </c>
      <c r="K2359" s="60">
        <v>6.92</v>
      </c>
      <c r="L2359" s="56">
        <v>5.19</v>
      </c>
      <c r="M2359" s="14">
        <f>K2359-L2359</f>
        <v>1.7299999999999995</v>
      </c>
      <c r="N2359" s="15">
        <f>IFERROR(M2359/K2359,0)</f>
        <v>0.24999999999999994</v>
      </c>
      <c r="O2359" s="14">
        <f>IFERROR(L2359/J2359,0)</f>
        <v>0.64875000000000005</v>
      </c>
      <c r="P2359" s="14">
        <f>IFERROR(L2359/G2359,0)</f>
        <v>0.37071428571428705</v>
      </c>
    </row>
    <row r="2360" spans="1:19" x14ac:dyDescent="0.3">
      <c r="A2360" s="9" t="s">
        <v>4946</v>
      </c>
      <c r="B2360" s="9" t="s">
        <v>26</v>
      </c>
      <c r="C2360" s="9" t="s">
        <v>27</v>
      </c>
      <c r="D2360" s="52">
        <v>46250</v>
      </c>
      <c r="E2360" s="48">
        <v>0.57152777777777775</v>
      </c>
      <c r="F2360" s="48">
        <v>0.58680555555555558</v>
      </c>
      <c r="G2360" s="43">
        <f>(F2360-E2360)*1440</f>
        <v>22.000000000000082</v>
      </c>
      <c r="H2360" s="9" t="s">
        <v>2527</v>
      </c>
      <c r="I2360" s="9" t="s">
        <v>1120</v>
      </c>
      <c r="J2360" s="44">
        <v>12.5</v>
      </c>
      <c r="K2360" s="60">
        <v>11.9</v>
      </c>
      <c r="L2360" s="56">
        <v>8.92</v>
      </c>
      <c r="M2360" s="14">
        <f>K2360-L2360</f>
        <v>2.9800000000000004</v>
      </c>
      <c r="N2360" s="15">
        <f>IFERROR(M2360/K2360,0)</f>
        <v>0.25042016806722694</v>
      </c>
      <c r="O2360" s="14">
        <f>IFERROR(L2360/J2360,0)</f>
        <v>0.71360000000000001</v>
      </c>
      <c r="P2360" s="14">
        <f>IFERROR(L2360/G2360,0)</f>
        <v>0.40545454545454396</v>
      </c>
    </row>
    <row r="2361" spans="1:19" x14ac:dyDescent="0.3">
      <c r="A2361" s="9" t="s">
        <v>4947</v>
      </c>
      <c r="B2361" s="9" t="s">
        <v>26</v>
      </c>
      <c r="C2361" s="9" t="s">
        <v>26</v>
      </c>
      <c r="D2361" s="52">
        <v>46250</v>
      </c>
      <c r="E2361" s="48">
        <v>0.58750000000000002</v>
      </c>
      <c r="F2361" s="48">
        <v>0.59791666666666665</v>
      </c>
      <c r="G2361" s="43">
        <f>(F2361-E2361)*1440</f>
        <v>14.999999999999947</v>
      </c>
      <c r="H2361" s="9" t="s">
        <v>1120</v>
      </c>
      <c r="I2361" s="9" t="s">
        <v>1695</v>
      </c>
      <c r="J2361" s="44">
        <v>7.3</v>
      </c>
      <c r="K2361" s="60">
        <v>5.84</v>
      </c>
      <c r="L2361" s="56">
        <v>5.41</v>
      </c>
      <c r="M2361" s="14">
        <f>K2361-L2361</f>
        <v>0.42999999999999972</v>
      </c>
      <c r="N2361" s="15">
        <f>IFERROR(M2361/K2361,0)</f>
        <v>7.3630136986301317E-2</v>
      </c>
      <c r="O2361" s="14">
        <f>IFERROR(L2361/J2361,0)</f>
        <v>0.74109589041095891</v>
      </c>
      <c r="P2361" s="14">
        <f>IFERROR(L2361/G2361,0)</f>
        <v>0.36066666666666797</v>
      </c>
    </row>
    <row r="2362" spans="1:19" x14ac:dyDescent="0.3">
      <c r="A2362" s="9" t="s">
        <v>4948</v>
      </c>
      <c r="B2362" s="9" t="s">
        <v>26</v>
      </c>
      <c r="C2362" s="9" t="s">
        <v>26</v>
      </c>
      <c r="D2362" s="52">
        <v>46250</v>
      </c>
      <c r="E2362" s="48">
        <v>0.69374999999999998</v>
      </c>
      <c r="F2362" s="48">
        <v>0.70347222222222217</v>
      </c>
      <c r="G2362" s="43">
        <f>(F2362-E2362)*1440</f>
        <v>13.99999999999995</v>
      </c>
      <c r="H2362" s="9" t="s">
        <v>638</v>
      </c>
      <c r="I2362" s="9" t="s">
        <v>4139</v>
      </c>
      <c r="J2362" s="44">
        <v>7.1</v>
      </c>
      <c r="K2362" s="60">
        <v>6.53</v>
      </c>
      <c r="L2362" s="56">
        <v>4.9000000000000004</v>
      </c>
      <c r="M2362" s="14">
        <f>K2362-L2362</f>
        <v>1.63</v>
      </c>
      <c r="N2362" s="15">
        <f>IFERROR(M2362/K2362,0)</f>
        <v>0.24961715160796322</v>
      </c>
      <c r="O2362" s="14">
        <f>IFERROR(L2362/J2362,0)</f>
        <v>0.69014084507042261</v>
      </c>
      <c r="P2362" s="14">
        <f>IFERROR(L2362/G2362,0)</f>
        <v>0.35000000000000125</v>
      </c>
    </row>
    <row r="2363" spans="1:19" x14ac:dyDescent="0.3">
      <c r="A2363" s="9" t="s">
        <v>4949</v>
      </c>
      <c r="B2363" s="9" t="s">
        <v>26</v>
      </c>
      <c r="C2363" s="9" t="s">
        <v>27</v>
      </c>
      <c r="D2363" s="52">
        <v>46250</v>
      </c>
      <c r="E2363" s="48">
        <v>0.71250000000000002</v>
      </c>
      <c r="F2363" s="48">
        <v>0.71944444444444444</v>
      </c>
      <c r="G2363" s="43">
        <f>(F2363-E2363)*1440</f>
        <v>9.9999999999999645</v>
      </c>
      <c r="H2363" s="9" t="s">
        <v>2787</v>
      </c>
      <c r="I2363" s="9" t="s">
        <v>5195</v>
      </c>
      <c r="J2363" s="44">
        <v>7.6</v>
      </c>
      <c r="K2363" s="60">
        <v>5.97</v>
      </c>
      <c r="L2363" s="56">
        <v>4.4800000000000004</v>
      </c>
      <c r="M2363" s="14">
        <f>K2363-L2363</f>
        <v>1.4899999999999993</v>
      </c>
      <c r="N2363" s="15">
        <f>IFERROR(M2363/K2363,0)</f>
        <v>0.24958123953098818</v>
      </c>
      <c r="O2363" s="14">
        <f>IFERROR(L2363/J2363,0)</f>
        <v>0.58947368421052637</v>
      </c>
      <c r="P2363" s="14">
        <f>IFERROR(L2363/G2363,0)</f>
        <v>0.44800000000000162</v>
      </c>
    </row>
    <row r="2364" spans="1:19" x14ac:dyDescent="0.3">
      <c r="A2364" s="9" t="s">
        <v>4950</v>
      </c>
      <c r="B2364" s="9" t="s">
        <v>26</v>
      </c>
      <c r="C2364" s="9" t="s">
        <v>27</v>
      </c>
      <c r="D2364" s="52">
        <v>46250</v>
      </c>
      <c r="E2364" s="48">
        <v>0.79375000000000007</v>
      </c>
      <c r="F2364" s="48">
        <v>0.7993055555555556</v>
      </c>
      <c r="G2364" s="43">
        <f>(F2364-E2364)*1440</f>
        <v>7.9999999999999716</v>
      </c>
      <c r="H2364" s="9" t="s">
        <v>2214</v>
      </c>
      <c r="I2364" s="68" t="s">
        <v>5196</v>
      </c>
      <c r="J2364" s="44">
        <v>4.0999999999999996</v>
      </c>
      <c r="K2364" s="60">
        <v>6.31</v>
      </c>
      <c r="L2364" s="56">
        <v>4.7300000000000004</v>
      </c>
      <c r="M2364" s="14">
        <f>K2364-L2364</f>
        <v>1.5799999999999992</v>
      </c>
      <c r="N2364" s="15">
        <f>IFERROR(M2364/K2364,0)</f>
        <v>0.25039619651347056</v>
      </c>
      <c r="O2364" s="14">
        <f>IFERROR(L2364/J2364,0)</f>
        <v>1.153658536585366</v>
      </c>
      <c r="P2364" s="14">
        <f>IFERROR(L2364/G2364,0)</f>
        <v>0.59125000000000216</v>
      </c>
    </row>
    <row r="2365" spans="1:19" x14ac:dyDescent="0.3">
      <c r="A2365" s="9" t="s">
        <v>4951</v>
      </c>
      <c r="B2365" s="9" t="s">
        <v>26</v>
      </c>
      <c r="C2365" s="9" t="s">
        <v>26</v>
      </c>
      <c r="D2365" s="52">
        <v>46250</v>
      </c>
      <c r="E2365" s="48">
        <v>0.80208333333333337</v>
      </c>
      <c r="F2365" s="48">
        <v>0.81111111111111101</v>
      </c>
      <c r="G2365" s="43">
        <f>(F2365-E2365)*1440</f>
        <v>12.999999999999794</v>
      </c>
      <c r="H2365" s="9" t="s">
        <v>5197</v>
      </c>
      <c r="I2365" s="9" t="s">
        <v>5198</v>
      </c>
      <c r="J2365" s="44">
        <v>6.6</v>
      </c>
      <c r="K2365" s="60">
        <v>4.99</v>
      </c>
      <c r="L2365" s="56">
        <v>4.68</v>
      </c>
      <c r="M2365" s="14">
        <f>K2365-L2365</f>
        <v>0.3100000000000005</v>
      </c>
      <c r="N2365" s="15">
        <f>IFERROR(M2365/K2365,0)</f>
        <v>6.2124248496994085E-2</v>
      </c>
      <c r="O2365" s="14">
        <f>IFERROR(L2365/J2365,0)</f>
        <v>0.70909090909090911</v>
      </c>
      <c r="P2365" s="14">
        <f>IFERROR(L2365/G2365,0)</f>
        <v>0.3600000000000057</v>
      </c>
    </row>
    <row r="2366" spans="1:19" x14ac:dyDescent="0.3">
      <c r="A2366" s="9" t="s">
        <v>4952</v>
      </c>
      <c r="B2366" s="9" t="s">
        <v>26</v>
      </c>
      <c r="C2366" s="9" t="s">
        <v>26</v>
      </c>
      <c r="D2366" s="52">
        <v>46250</v>
      </c>
      <c r="E2366" s="48">
        <v>0.81319444444444444</v>
      </c>
      <c r="F2366" s="48">
        <v>0.82430555555555562</v>
      </c>
      <c r="G2366" s="43">
        <f>(F2366-E2366)*1440</f>
        <v>16.000000000000103</v>
      </c>
      <c r="H2366" s="9" t="s">
        <v>2927</v>
      </c>
      <c r="I2366" s="9" t="s">
        <v>225</v>
      </c>
      <c r="J2366" s="44">
        <v>9.9</v>
      </c>
      <c r="K2366" s="60">
        <v>7.9</v>
      </c>
      <c r="L2366" s="56">
        <v>5.92</v>
      </c>
      <c r="M2366" s="14">
        <f>K2366-L2366</f>
        <v>1.9800000000000004</v>
      </c>
      <c r="N2366" s="15">
        <f>IFERROR(M2366/K2366,0)</f>
        <v>0.25063291139240512</v>
      </c>
      <c r="O2366" s="14">
        <f>IFERROR(L2366/J2366,0)</f>
        <v>0.59797979797979794</v>
      </c>
      <c r="P2366" s="14">
        <f>IFERROR(L2366/G2366,0)</f>
        <v>0.36999999999999761</v>
      </c>
    </row>
    <row r="2367" spans="1:19" x14ac:dyDescent="0.3">
      <c r="A2367" s="9" t="s">
        <v>4953</v>
      </c>
      <c r="B2367" s="9" t="s">
        <v>18</v>
      </c>
      <c r="C2367" s="9" t="s">
        <v>184</v>
      </c>
      <c r="D2367" s="52">
        <v>46250</v>
      </c>
      <c r="E2367" s="48">
        <v>0.51666666666666672</v>
      </c>
      <c r="F2367" s="48">
        <v>0.53055555555555556</v>
      </c>
      <c r="G2367" s="43">
        <f>(F2367-E2367)*1440</f>
        <v>19.999999999999929</v>
      </c>
      <c r="H2367" s="9" t="s">
        <v>545</v>
      </c>
      <c r="I2367" s="9" t="s">
        <v>5199</v>
      </c>
      <c r="J2367" s="44">
        <v>23.57</v>
      </c>
      <c r="K2367" s="60">
        <v>11.41</v>
      </c>
      <c r="L2367" s="56">
        <v>9.4499999999999993</v>
      </c>
      <c r="M2367" s="14">
        <f>K2367-L2367</f>
        <v>1.9600000000000009</v>
      </c>
      <c r="N2367" s="15">
        <f>IFERROR(M2367/K2367,0)</f>
        <v>0.17177914110429454</v>
      </c>
      <c r="O2367" s="14">
        <f>IFERROR(L2367/J2367,0)</f>
        <v>0.40093338990241828</v>
      </c>
      <c r="P2367" s="14">
        <f>IFERROR(L2367/G2367,0)</f>
        <v>0.47250000000000164</v>
      </c>
    </row>
    <row r="2368" spans="1:19" x14ac:dyDescent="0.3">
      <c r="A2368" s="9" t="s">
        <v>4954</v>
      </c>
      <c r="B2368" s="9" t="s">
        <v>18</v>
      </c>
      <c r="C2368" s="9" t="s">
        <v>184</v>
      </c>
      <c r="D2368" s="52">
        <v>46250</v>
      </c>
      <c r="E2368" s="48">
        <v>0.59791666666666665</v>
      </c>
      <c r="F2368" s="48">
        <v>0.60763888888888895</v>
      </c>
      <c r="G2368" s="43">
        <f>(F2368-E2368)*1440</f>
        <v>14.00000000000011</v>
      </c>
      <c r="H2368" s="9" t="s">
        <v>214</v>
      </c>
      <c r="I2368" s="9" t="s">
        <v>1171</v>
      </c>
      <c r="J2368" s="44">
        <v>9.7799999999999994</v>
      </c>
      <c r="K2368" s="60">
        <v>8.9499999999999993</v>
      </c>
      <c r="L2368" s="56">
        <v>5.82</v>
      </c>
      <c r="M2368" s="14">
        <f>K2368-L2368</f>
        <v>3.129999999999999</v>
      </c>
      <c r="N2368" s="15">
        <f>IFERROR(M2368/K2368,0)</f>
        <v>0.34972067039106136</v>
      </c>
      <c r="O2368" s="14">
        <f>IFERROR(L2368/J2368,0)</f>
        <v>0.59509202453987742</v>
      </c>
      <c r="P2368" s="14">
        <f>IFERROR(L2368/G2368,0)</f>
        <v>0.41571428571428248</v>
      </c>
      <c r="S2368" s="61">
        <v>5</v>
      </c>
    </row>
    <row r="2369" spans="1:16" x14ac:dyDescent="0.3">
      <c r="A2369" s="9" t="s">
        <v>4955</v>
      </c>
      <c r="B2369" s="9" t="s">
        <v>18</v>
      </c>
      <c r="C2369" s="9" t="s">
        <v>184</v>
      </c>
      <c r="D2369" s="52">
        <v>46250</v>
      </c>
      <c r="E2369" s="48">
        <v>0.61527777777777781</v>
      </c>
      <c r="F2369" s="48">
        <v>0.62638888888888888</v>
      </c>
      <c r="G2369" s="43">
        <f>(F2369-E2369)*1440</f>
        <v>15.999999999999943</v>
      </c>
      <c r="H2369" s="9" t="s">
        <v>1171</v>
      </c>
      <c r="I2369" s="9" t="s">
        <v>4625</v>
      </c>
      <c r="J2369" s="44">
        <v>13.66</v>
      </c>
      <c r="K2369" s="60">
        <v>11.95</v>
      </c>
      <c r="L2369" s="56">
        <v>7.77</v>
      </c>
      <c r="M2369" s="14">
        <f>K2369-L2369</f>
        <v>4.18</v>
      </c>
      <c r="N2369" s="15">
        <f>IFERROR(M2369/K2369,0)</f>
        <v>0.3497907949790795</v>
      </c>
      <c r="O2369" s="14">
        <f>IFERROR(L2369/J2369,0)</f>
        <v>0.56881405563689602</v>
      </c>
      <c r="P2369" s="14">
        <f>IFERROR(L2369/G2369,0)</f>
        <v>0.48562500000000169</v>
      </c>
    </row>
    <row r="2370" spans="1:16" x14ac:dyDescent="0.3">
      <c r="A2370" s="9" t="s">
        <v>4956</v>
      </c>
      <c r="B2370" s="9" t="s">
        <v>18</v>
      </c>
      <c r="C2370" s="9" t="s">
        <v>184</v>
      </c>
      <c r="D2370" s="52">
        <v>46250</v>
      </c>
      <c r="E2370" s="48">
        <v>0.63750000000000007</v>
      </c>
      <c r="F2370" s="48">
        <v>0.65138888888888891</v>
      </c>
      <c r="G2370" s="43">
        <f>(F2370-E2370)*1440</f>
        <v>19.999999999999929</v>
      </c>
      <c r="H2370" s="9" t="s">
        <v>5200</v>
      </c>
      <c r="I2370" s="9" t="s">
        <v>1230</v>
      </c>
      <c r="J2370" s="44">
        <v>15.59</v>
      </c>
      <c r="K2370" s="60">
        <v>10.95</v>
      </c>
      <c r="L2370" s="56">
        <v>7.54</v>
      </c>
      <c r="M2370" s="14">
        <f>K2370-L2370</f>
        <v>3.4099999999999993</v>
      </c>
      <c r="N2370" s="15">
        <f>IFERROR(M2370/K2370,0)</f>
        <v>0.31141552511415521</v>
      </c>
      <c r="O2370" s="14">
        <f>IFERROR(L2370/J2370,0)</f>
        <v>0.48364336112892881</v>
      </c>
      <c r="P2370" s="14">
        <f>IFERROR(L2370/G2370,0)</f>
        <v>0.37700000000000133</v>
      </c>
    </row>
    <row r="2371" spans="1:16" x14ac:dyDescent="0.3">
      <c r="A2371" s="9" t="s">
        <v>4957</v>
      </c>
      <c r="B2371" s="9" t="s">
        <v>18</v>
      </c>
      <c r="C2371" s="9" t="s">
        <v>184</v>
      </c>
      <c r="D2371" s="52">
        <v>46250</v>
      </c>
      <c r="E2371" s="48">
        <v>0.6694444444444444</v>
      </c>
      <c r="F2371" s="48">
        <v>0.67569444444444438</v>
      </c>
      <c r="G2371" s="43">
        <f>(F2371-E2371)*1440</f>
        <v>8.999999999999968</v>
      </c>
      <c r="H2371" s="9" t="s">
        <v>576</v>
      </c>
      <c r="I2371" s="9" t="s">
        <v>632</v>
      </c>
      <c r="J2371" s="44">
        <v>5.27</v>
      </c>
      <c r="K2371" s="60">
        <v>4.9400000000000004</v>
      </c>
      <c r="L2371" s="56">
        <v>4.75</v>
      </c>
      <c r="M2371" s="14">
        <f>K2371-L2371</f>
        <v>0.19000000000000039</v>
      </c>
      <c r="N2371" s="15">
        <f>IFERROR(M2371/K2371,0)</f>
        <v>3.846153846153854E-2</v>
      </c>
      <c r="O2371" s="14">
        <f>IFERROR(L2371/J2371,0)</f>
        <v>0.90132827324478182</v>
      </c>
      <c r="P2371" s="14">
        <f>IFERROR(L2371/G2371,0)</f>
        <v>0.52777777777777968</v>
      </c>
    </row>
    <row r="2372" spans="1:16" x14ac:dyDescent="0.3">
      <c r="A2372" s="9" t="s">
        <v>4958</v>
      </c>
      <c r="B2372" s="9" t="s">
        <v>18</v>
      </c>
      <c r="C2372" s="9" t="s">
        <v>196</v>
      </c>
      <c r="D2372" s="52">
        <v>46250</v>
      </c>
      <c r="E2372" s="48">
        <v>0.68055555555555547</v>
      </c>
      <c r="F2372" s="48">
        <v>0.68958333333333333</v>
      </c>
      <c r="G2372" s="43">
        <f>(F2372-E2372)*1440</f>
        <v>13.000000000000114</v>
      </c>
      <c r="H2372" s="9" t="s">
        <v>1945</v>
      </c>
      <c r="I2372" s="9" t="s">
        <v>1728</v>
      </c>
      <c r="J2372" s="44">
        <v>7.85</v>
      </c>
      <c r="K2372" s="60">
        <v>8.99</v>
      </c>
      <c r="L2372" s="56">
        <v>5.84</v>
      </c>
      <c r="M2372" s="14">
        <f>K2372-L2372</f>
        <v>3.1500000000000004</v>
      </c>
      <c r="N2372" s="15">
        <f>IFERROR(M2372/K2372,0)</f>
        <v>0.35038932146829815</v>
      </c>
      <c r="O2372" s="14">
        <f>IFERROR(L2372/J2372,0)</f>
        <v>0.74394904458598732</v>
      </c>
      <c r="P2372" s="14">
        <f>IFERROR(L2372/G2372,0)</f>
        <v>0.44923076923076527</v>
      </c>
    </row>
    <row r="2373" spans="1:16" x14ac:dyDescent="0.3">
      <c r="A2373" s="9" t="s">
        <v>4959</v>
      </c>
      <c r="B2373" s="9" t="s">
        <v>18</v>
      </c>
      <c r="C2373" s="9" t="s">
        <v>196</v>
      </c>
      <c r="D2373" s="52">
        <v>46250</v>
      </c>
      <c r="E2373" s="48">
        <v>0.70416666666666661</v>
      </c>
      <c r="F2373" s="48">
        <v>0.70833333333333337</v>
      </c>
      <c r="G2373" s="43">
        <f>(F2373-E2373)*1440</f>
        <v>6.0000000000001386</v>
      </c>
      <c r="H2373" s="9" t="s">
        <v>1171</v>
      </c>
      <c r="I2373" s="9" t="s">
        <v>5201</v>
      </c>
      <c r="J2373" s="44">
        <v>2.13</v>
      </c>
      <c r="K2373" s="60">
        <v>8.99</v>
      </c>
      <c r="L2373" s="56">
        <v>5.84</v>
      </c>
      <c r="M2373" s="14">
        <f>K2373-L2373</f>
        <v>3.1500000000000004</v>
      </c>
      <c r="N2373" s="15">
        <f>IFERROR(M2373/K2373,0)</f>
        <v>0.35038932146829815</v>
      </c>
      <c r="O2373" s="14">
        <f>IFERROR(L2373/J2373,0)</f>
        <v>2.7417840375586855</v>
      </c>
      <c r="P2373" s="14">
        <f>IFERROR(L2373/G2373,0)</f>
        <v>0.97333333333331085</v>
      </c>
    </row>
    <row r="2374" spans="1:16" x14ac:dyDescent="0.3">
      <c r="A2374" s="9" t="s">
        <v>4960</v>
      </c>
      <c r="B2374" s="9" t="s">
        <v>18</v>
      </c>
      <c r="C2374" s="9" t="s">
        <v>184</v>
      </c>
      <c r="D2374" s="52">
        <v>46250</v>
      </c>
      <c r="E2374" s="48">
        <v>0.71944444444444444</v>
      </c>
      <c r="F2374" s="48">
        <v>0.73402777777777783</v>
      </c>
      <c r="G2374" s="43">
        <f>(F2374-E2374)*1440</f>
        <v>21.000000000000085</v>
      </c>
      <c r="H2374" s="9" t="s">
        <v>4153</v>
      </c>
      <c r="I2374" s="9" t="s">
        <v>584</v>
      </c>
      <c r="J2374" s="44">
        <v>16.95</v>
      </c>
      <c r="K2374" s="60">
        <v>10.95</v>
      </c>
      <c r="L2374" s="56">
        <v>8.09</v>
      </c>
      <c r="M2374" s="14">
        <f>K2374-L2374</f>
        <v>2.8599999999999994</v>
      </c>
      <c r="N2374" s="15">
        <f>IFERROR(M2374/K2374,0)</f>
        <v>0.26118721461187211</v>
      </c>
      <c r="O2374" s="14">
        <f>IFERROR(L2374/J2374,0)</f>
        <v>0.47728613569321537</v>
      </c>
      <c r="P2374" s="14">
        <f>IFERROR(L2374/G2374,0)</f>
        <v>0.38523809523809366</v>
      </c>
    </row>
    <row r="2375" spans="1:16" x14ac:dyDescent="0.3">
      <c r="A2375" s="9" t="s">
        <v>4961</v>
      </c>
      <c r="B2375" s="9" t="s">
        <v>18</v>
      </c>
      <c r="C2375" s="9" t="s">
        <v>184</v>
      </c>
      <c r="D2375" s="52">
        <v>46250</v>
      </c>
      <c r="E2375" s="48">
        <v>0.73541666666666661</v>
      </c>
      <c r="F2375" s="48">
        <v>0.75277777777777777</v>
      </c>
      <c r="G2375" s="43">
        <f>(F2375-E2375)*1440</f>
        <v>25.000000000000071</v>
      </c>
      <c r="H2375" s="9" t="s">
        <v>584</v>
      </c>
      <c r="I2375" s="9" t="s">
        <v>2223</v>
      </c>
      <c r="J2375" s="44">
        <v>14.44</v>
      </c>
      <c r="K2375" s="60">
        <v>11.94</v>
      </c>
      <c r="L2375" s="56">
        <v>7.81</v>
      </c>
      <c r="M2375" s="14">
        <f>K2375-L2375</f>
        <v>4.13</v>
      </c>
      <c r="N2375" s="15">
        <f>IFERROR(M2375/K2375,0)</f>
        <v>0.34589614740368507</v>
      </c>
      <c r="O2375" s="14">
        <f>IFERROR(L2375/J2375,0)</f>
        <v>0.54085872576177285</v>
      </c>
      <c r="P2375" s="14">
        <f>IFERROR(L2375/G2375,0)</f>
        <v>0.31239999999999912</v>
      </c>
    </row>
    <row r="2376" spans="1:16" x14ac:dyDescent="0.3">
      <c r="A2376" s="9" t="s">
        <v>4962</v>
      </c>
      <c r="B2376" s="9" t="s">
        <v>18</v>
      </c>
      <c r="C2376" s="9" t="s">
        <v>184</v>
      </c>
      <c r="D2376" s="52">
        <v>46250</v>
      </c>
      <c r="E2376" s="48">
        <v>0.8305555555555556</v>
      </c>
      <c r="F2376" s="48">
        <v>0.84583333333333333</v>
      </c>
      <c r="G2376" s="43">
        <f>(F2376-E2376)*1440</f>
        <v>21.999999999999922</v>
      </c>
      <c r="H2376" s="9" t="s">
        <v>229</v>
      </c>
      <c r="I2376" s="9" t="s">
        <v>5202</v>
      </c>
      <c r="J2376" s="44">
        <v>18.93</v>
      </c>
      <c r="K2376" s="60">
        <v>13.2</v>
      </c>
      <c r="L2376" s="56">
        <v>8.48</v>
      </c>
      <c r="M2376" s="14">
        <f>K2376-L2376</f>
        <v>4.7199999999999989</v>
      </c>
      <c r="N2376" s="15">
        <f>IFERROR(M2376/K2376,0)</f>
        <v>0.35757575757575749</v>
      </c>
      <c r="O2376" s="14">
        <f>IFERROR(L2376/J2376,0)</f>
        <v>0.44796619123085052</v>
      </c>
      <c r="P2376" s="14">
        <f>IFERROR(L2376/G2376,0)</f>
        <v>0.38545454545454683</v>
      </c>
    </row>
    <row r="2377" spans="1:16" x14ac:dyDescent="0.3">
      <c r="A2377" s="9" t="s">
        <v>4963</v>
      </c>
      <c r="B2377" s="9" t="s">
        <v>18</v>
      </c>
      <c r="C2377" s="9" t="s">
        <v>196</v>
      </c>
      <c r="D2377" s="52">
        <v>46251</v>
      </c>
      <c r="E2377" s="48">
        <v>0.60972222222222217</v>
      </c>
      <c r="F2377" s="48">
        <v>0.6166666666666667</v>
      </c>
      <c r="G2377" s="43">
        <f>(F2377-E2377)*1440</f>
        <v>10.000000000000124</v>
      </c>
      <c r="H2377" s="9" t="s">
        <v>696</v>
      </c>
      <c r="I2377" s="9" t="s">
        <v>226</v>
      </c>
      <c r="J2377" s="44">
        <v>4.91</v>
      </c>
      <c r="K2377" s="60">
        <v>7.99</v>
      </c>
      <c r="L2377" s="56">
        <v>5.19</v>
      </c>
      <c r="M2377" s="14">
        <f>K2377-L2377</f>
        <v>2.8</v>
      </c>
      <c r="N2377" s="15">
        <f>IFERROR(M2377/K2377,0)</f>
        <v>0.35043804755944929</v>
      </c>
      <c r="O2377" s="14">
        <f>IFERROR(L2377/J2377,0)</f>
        <v>1.0570264765784114</v>
      </c>
      <c r="P2377" s="14">
        <f>IFERROR(L2377/G2377,0)</f>
        <v>0.51899999999999358</v>
      </c>
    </row>
    <row r="2378" spans="1:16" x14ac:dyDescent="0.3">
      <c r="A2378" s="9" t="s">
        <v>4964</v>
      </c>
      <c r="B2378" s="9" t="s">
        <v>18</v>
      </c>
      <c r="C2378" s="9" t="s">
        <v>196</v>
      </c>
      <c r="D2378" s="52">
        <v>46251</v>
      </c>
      <c r="E2378" s="48">
        <v>0.68888888888888899</v>
      </c>
      <c r="F2378" s="48">
        <v>0.69444444444444453</v>
      </c>
      <c r="G2378" s="43">
        <f>(F2378-E2378)*1440</f>
        <v>7.9999999999999716</v>
      </c>
      <c r="H2378" s="9" t="s">
        <v>5203</v>
      </c>
      <c r="I2378" s="9" t="s">
        <v>1152</v>
      </c>
      <c r="J2378" s="44">
        <v>5.41</v>
      </c>
      <c r="K2378" s="60">
        <v>5.98</v>
      </c>
      <c r="L2378" s="56">
        <v>3.89</v>
      </c>
      <c r="M2378" s="14">
        <f>K2378-L2378</f>
        <v>2.0900000000000003</v>
      </c>
      <c r="N2378" s="15">
        <f>IFERROR(M2378/K2378,0)</f>
        <v>0.34949832775919737</v>
      </c>
      <c r="O2378" s="14">
        <f>IFERROR(L2378/J2378,0)</f>
        <v>0.71903881700554528</v>
      </c>
      <c r="P2378" s="14">
        <f>IFERROR(L2378/G2378,0)</f>
        <v>0.48625000000000174</v>
      </c>
    </row>
    <row r="2379" spans="1:16" x14ac:dyDescent="0.3">
      <c r="A2379" s="9" t="s">
        <v>4965</v>
      </c>
      <c r="B2379" s="9" t="s">
        <v>18</v>
      </c>
      <c r="C2379" s="9" t="s">
        <v>184</v>
      </c>
      <c r="D2379" s="52">
        <v>46251</v>
      </c>
      <c r="E2379" s="48">
        <v>0.71944444444444444</v>
      </c>
      <c r="F2379" s="48">
        <v>0.72569444444444453</v>
      </c>
      <c r="G2379" s="43">
        <f>(F2379-E2379)*1440</f>
        <v>9.0000000000001279</v>
      </c>
      <c r="H2379" s="9" t="s">
        <v>705</v>
      </c>
      <c r="I2379" s="9" t="s">
        <v>854</v>
      </c>
      <c r="J2379" s="44">
        <v>5.47</v>
      </c>
      <c r="K2379" s="60">
        <v>4.93</v>
      </c>
      <c r="L2379" s="56">
        <v>4.4000000000000004</v>
      </c>
      <c r="M2379" s="14">
        <f>K2379-L2379</f>
        <v>0.52999999999999936</v>
      </c>
      <c r="N2379" s="15">
        <f>IFERROR(M2379/K2379,0)</f>
        <v>0.10750507099391468</v>
      </c>
      <c r="O2379" s="14">
        <f>IFERROR(L2379/J2379,0)</f>
        <v>0.80438756855575877</v>
      </c>
      <c r="P2379" s="14">
        <f>IFERROR(L2379/G2379,0)</f>
        <v>0.48888888888888199</v>
      </c>
    </row>
    <row r="2380" spans="1:16" x14ac:dyDescent="0.3">
      <c r="A2380" s="9" t="s">
        <v>4966</v>
      </c>
      <c r="B2380" s="9" t="s">
        <v>18</v>
      </c>
      <c r="C2380" s="9" t="s">
        <v>196</v>
      </c>
      <c r="D2380" s="52">
        <v>46251</v>
      </c>
      <c r="E2380" s="48">
        <v>0.73055555555555562</v>
      </c>
      <c r="F2380" s="48">
        <v>0.74652777777777779</v>
      </c>
      <c r="G2380" s="43">
        <f>(F2380-E2380)*1440</f>
        <v>22.999999999999918</v>
      </c>
      <c r="H2380" s="9" t="s">
        <v>5204</v>
      </c>
      <c r="I2380" s="9" t="s">
        <v>1120</v>
      </c>
      <c r="J2380" s="44">
        <v>13.56</v>
      </c>
      <c r="K2380" s="60">
        <v>10.99</v>
      </c>
      <c r="L2380" s="56">
        <v>10.56</v>
      </c>
      <c r="M2380" s="14">
        <f>K2380-L2380</f>
        <v>0.42999999999999972</v>
      </c>
      <c r="N2380" s="15">
        <f>IFERROR(M2380/K2380,0)</f>
        <v>3.9126478616924448E-2</v>
      </c>
      <c r="O2380" s="14">
        <f>IFERROR(L2380/J2380,0)</f>
        <v>0.77876106194690264</v>
      </c>
      <c r="P2380" s="14">
        <f>IFERROR(L2380/G2380,0)</f>
        <v>0.45913043478261034</v>
      </c>
    </row>
    <row r="2381" spans="1:16" x14ac:dyDescent="0.3">
      <c r="A2381" s="9" t="s">
        <v>4967</v>
      </c>
      <c r="B2381" s="9" t="s">
        <v>18</v>
      </c>
      <c r="C2381" s="9" t="s">
        <v>196</v>
      </c>
      <c r="D2381" s="52">
        <v>46251</v>
      </c>
      <c r="E2381" s="48">
        <v>0.77569444444444446</v>
      </c>
      <c r="F2381" s="48">
        <v>0.78472222222222221</v>
      </c>
      <c r="G2381" s="43">
        <f>(F2381-E2381)*1440</f>
        <v>12.999999999999954</v>
      </c>
      <c r="H2381" s="9" t="s">
        <v>584</v>
      </c>
      <c r="I2381" s="9" t="s">
        <v>5205</v>
      </c>
      <c r="J2381" s="44">
        <v>11.91</v>
      </c>
      <c r="K2381" s="60">
        <v>11.96</v>
      </c>
      <c r="L2381" s="56">
        <v>7.77</v>
      </c>
      <c r="M2381" s="14">
        <f>K2381-L2381</f>
        <v>4.1900000000000013</v>
      </c>
      <c r="N2381" s="15">
        <f>IFERROR(M2381/K2381,0)</f>
        <v>0.35033444816053522</v>
      </c>
      <c r="O2381" s="14">
        <f>IFERROR(L2381/J2381,0)</f>
        <v>0.65239294710327456</v>
      </c>
      <c r="P2381" s="14">
        <f>IFERROR(L2381/G2381,0)</f>
        <v>0.59769230769230974</v>
      </c>
    </row>
    <row r="2382" spans="1:16" x14ac:dyDescent="0.3">
      <c r="A2382" s="9" t="s">
        <v>4968</v>
      </c>
      <c r="B2382" s="9" t="s">
        <v>18</v>
      </c>
      <c r="C2382" s="9" t="s">
        <v>184</v>
      </c>
      <c r="D2382" s="52">
        <v>46251</v>
      </c>
      <c r="E2382" s="48">
        <v>0.79236111111111107</v>
      </c>
      <c r="F2382" s="48">
        <v>0.80486111111111114</v>
      </c>
      <c r="G2382" s="43">
        <f>(F2382-E2382)*1440</f>
        <v>18.000000000000096</v>
      </c>
      <c r="H2382" s="9" t="s">
        <v>4245</v>
      </c>
      <c r="I2382" s="9" t="s">
        <v>1269</v>
      </c>
      <c r="J2382" s="44">
        <v>9.7799999999999994</v>
      </c>
      <c r="K2382" s="60">
        <v>7.94</v>
      </c>
      <c r="L2382" s="56">
        <v>5.51</v>
      </c>
      <c r="M2382" s="14">
        <f>K2382-L2382</f>
        <v>2.4300000000000006</v>
      </c>
      <c r="N2382" s="15">
        <f>IFERROR(M2382/K2382,0)</f>
        <v>0.30604534005037787</v>
      </c>
      <c r="O2382" s="14">
        <f>IFERROR(L2382/J2382,0)</f>
        <v>0.56339468302658491</v>
      </c>
      <c r="P2382" s="14">
        <f>IFERROR(L2382/G2382,0)</f>
        <v>0.30611111111110945</v>
      </c>
    </row>
    <row r="2383" spans="1:16" x14ac:dyDescent="0.3">
      <c r="A2383" s="9" t="s">
        <v>4969</v>
      </c>
      <c r="B2383" s="9" t="s">
        <v>18</v>
      </c>
      <c r="C2383" s="9" t="s">
        <v>184</v>
      </c>
      <c r="D2383" s="52">
        <v>46251</v>
      </c>
      <c r="E2383" s="48">
        <v>0.83611111111111114</v>
      </c>
      <c r="F2383" s="48">
        <v>0.84722222222222221</v>
      </c>
      <c r="G2383" s="43">
        <f>(F2383-E2383)*1440</f>
        <v>15.999999999999943</v>
      </c>
      <c r="H2383" s="9" t="s">
        <v>243</v>
      </c>
      <c r="I2383" s="9" t="s">
        <v>5206</v>
      </c>
      <c r="J2383" s="44">
        <v>12.76</v>
      </c>
      <c r="K2383" s="60">
        <v>7.2</v>
      </c>
      <c r="L2383" s="56">
        <v>6.99</v>
      </c>
      <c r="M2383" s="14">
        <f>K2383-L2383</f>
        <v>0.20999999999999996</v>
      </c>
      <c r="N2383" s="15">
        <f>IFERROR(M2383/K2383,0)</f>
        <v>2.916666666666666E-2</v>
      </c>
      <c r="O2383" s="14">
        <f>IFERROR(L2383/J2383,0)</f>
        <v>0.54780564263322884</v>
      </c>
      <c r="P2383" s="14">
        <f>IFERROR(L2383/G2383,0)</f>
        <v>0.43687500000000157</v>
      </c>
    </row>
    <row r="2384" spans="1:16" x14ac:dyDescent="0.3">
      <c r="A2384" s="9" t="s">
        <v>4970</v>
      </c>
      <c r="B2384" s="9" t="s">
        <v>26</v>
      </c>
      <c r="C2384" s="9" t="s">
        <v>27</v>
      </c>
      <c r="D2384" s="52">
        <v>46251</v>
      </c>
      <c r="E2384" s="48">
        <v>0.54791666666666672</v>
      </c>
      <c r="F2384" s="48">
        <v>0.56180555555555556</v>
      </c>
      <c r="G2384" s="43">
        <f>(F2384-E2384)*1440</f>
        <v>19.999999999999929</v>
      </c>
      <c r="H2384" s="9" t="s">
        <v>5123</v>
      </c>
      <c r="I2384" s="9" t="s">
        <v>5207</v>
      </c>
      <c r="J2384" s="44">
        <v>19.8</v>
      </c>
      <c r="K2384" s="60">
        <v>12.1</v>
      </c>
      <c r="L2384" s="56">
        <v>9.01</v>
      </c>
      <c r="M2384" s="14">
        <f>K2384-L2384</f>
        <v>3.09</v>
      </c>
      <c r="N2384" s="15">
        <f>IFERROR(M2384/K2384,0)</f>
        <v>0.25537190082644629</v>
      </c>
      <c r="O2384" s="14">
        <f>IFERROR(L2384/J2384,0)</f>
        <v>0.45505050505050504</v>
      </c>
      <c r="P2384" s="14">
        <f>IFERROR(L2384/G2384,0)</f>
        <v>0.45050000000000157</v>
      </c>
    </row>
    <row r="2385" spans="1:19" x14ac:dyDescent="0.3">
      <c r="A2385" s="9" t="s">
        <v>4971</v>
      </c>
      <c r="B2385" s="9" t="s">
        <v>26</v>
      </c>
      <c r="C2385" s="9" t="s">
        <v>27</v>
      </c>
      <c r="D2385" s="52">
        <v>46251</v>
      </c>
      <c r="E2385" s="48">
        <v>0.56805555555555554</v>
      </c>
      <c r="F2385" s="48">
        <v>0.58333333333333337</v>
      </c>
      <c r="G2385" s="43">
        <f>(F2385-E2385)*1440</f>
        <v>22.000000000000082</v>
      </c>
      <c r="H2385" s="9" t="s">
        <v>5208</v>
      </c>
      <c r="I2385" s="9" t="s">
        <v>1821</v>
      </c>
      <c r="J2385" s="44">
        <v>12.1</v>
      </c>
      <c r="K2385" s="60">
        <v>11.52</v>
      </c>
      <c r="L2385" s="56">
        <v>9.5</v>
      </c>
      <c r="M2385" s="14">
        <f>K2385-L2385</f>
        <v>2.0199999999999996</v>
      </c>
      <c r="N2385" s="15">
        <f>IFERROR(M2385/K2385,0)</f>
        <v>0.17534722222222218</v>
      </c>
      <c r="O2385" s="14">
        <f>IFERROR(L2385/J2385,0)</f>
        <v>0.78512396694214881</v>
      </c>
      <c r="P2385" s="14">
        <f>IFERROR(L2385/G2385,0)</f>
        <v>0.43181818181818021</v>
      </c>
    </row>
    <row r="2386" spans="1:19" x14ac:dyDescent="0.3">
      <c r="A2386" s="9" t="s">
        <v>4972</v>
      </c>
      <c r="B2386" s="9" t="s">
        <v>26</v>
      </c>
      <c r="C2386" s="9" t="s">
        <v>27</v>
      </c>
      <c r="D2386" s="52">
        <v>46251</v>
      </c>
      <c r="E2386" s="48">
        <v>0.5854166666666667</v>
      </c>
      <c r="F2386" s="48">
        <v>0.60069444444444442</v>
      </c>
      <c r="G2386" s="43">
        <f>(F2386-E2386)*1440</f>
        <v>21.999999999999922</v>
      </c>
      <c r="H2386" s="9" t="s">
        <v>584</v>
      </c>
      <c r="I2386" s="9" t="s">
        <v>5209</v>
      </c>
      <c r="J2386" s="44">
        <v>15</v>
      </c>
      <c r="K2386" s="60">
        <v>11.42</v>
      </c>
      <c r="L2386" s="56">
        <v>9.06</v>
      </c>
      <c r="M2386" s="14">
        <f>K2386-L2386</f>
        <v>2.3599999999999994</v>
      </c>
      <c r="N2386" s="15">
        <f>IFERROR(M2386/K2386,0)</f>
        <v>0.20665499124343253</v>
      </c>
      <c r="O2386" s="14">
        <f>IFERROR(L2386/J2386,0)</f>
        <v>0.60399999999999998</v>
      </c>
      <c r="P2386" s="14">
        <f>IFERROR(L2386/G2386,0)</f>
        <v>0.4118181818181833</v>
      </c>
      <c r="S2386" s="61">
        <v>2</v>
      </c>
    </row>
    <row r="2387" spans="1:19" x14ac:dyDescent="0.3">
      <c r="A2387" s="9" t="s">
        <v>4973</v>
      </c>
      <c r="B2387" s="9" t="s">
        <v>26</v>
      </c>
      <c r="C2387" s="9" t="s">
        <v>26</v>
      </c>
      <c r="D2387" s="52">
        <v>46251</v>
      </c>
      <c r="E2387" s="48">
        <v>0.60138888888888886</v>
      </c>
      <c r="F2387" s="48">
        <v>0.61111111111111105</v>
      </c>
      <c r="G2387" s="43">
        <f>(F2387-E2387)*1440</f>
        <v>13.99999999999995</v>
      </c>
      <c r="H2387" s="9" t="s">
        <v>5210</v>
      </c>
      <c r="I2387" s="9" t="s">
        <v>1167</v>
      </c>
      <c r="J2387" s="44">
        <v>8.1</v>
      </c>
      <c r="K2387" s="60">
        <v>4.99</v>
      </c>
      <c r="L2387" s="56">
        <v>6.53</v>
      </c>
      <c r="M2387" s="14">
        <f>K2387-L2387</f>
        <v>-1.54</v>
      </c>
      <c r="N2387" s="15">
        <f>IFERROR(M2387/K2387,0)</f>
        <v>-0.30861723446893785</v>
      </c>
      <c r="O2387" s="14">
        <f>IFERROR(L2387/J2387,0)</f>
        <v>0.80617283950617291</v>
      </c>
      <c r="P2387" s="14">
        <f>IFERROR(L2387/G2387,0)</f>
        <v>0.46642857142857308</v>
      </c>
    </row>
    <row r="2388" spans="1:19" x14ac:dyDescent="0.3">
      <c r="A2388" s="9" t="s">
        <v>4974</v>
      </c>
      <c r="B2388" s="9" t="s">
        <v>26</v>
      </c>
      <c r="C2388" s="9" t="s">
        <v>27</v>
      </c>
      <c r="D2388" s="52">
        <v>46251</v>
      </c>
      <c r="E2388" s="48">
        <v>0.6381944444444444</v>
      </c>
      <c r="F2388" s="48">
        <v>0.64513888888888882</v>
      </c>
      <c r="G2388" s="43">
        <f>(F2388-E2388)*1440</f>
        <v>9.9999999999999645</v>
      </c>
      <c r="H2388" s="9" t="s">
        <v>5211</v>
      </c>
      <c r="I2388" s="9" t="s">
        <v>1950</v>
      </c>
      <c r="J2388" s="44">
        <v>9</v>
      </c>
      <c r="K2388" s="60">
        <v>5.42</v>
      </c>
      <c r="L2388" s="56">
        <v>5.08</v>
      </c>
      <c r="M2388" s="14">
        <f>K2388-L2388</f>
        <v>0.33999999999999986</v>
      </c>
      <c r="N2388" s="15">
        <f>IFERROR(M2388/K2388,0)</f>
        <v>6.2730627306273032E-2</v>
      </c>
      <c r="O2388" s="14">
        <f>IFERROR(L2388/J2388,0)</f>
        <v>0.56444444444444442</v>
      </c>
      <c r="P2388" s="14">
        <f>IFERROR(L2388/G2388,0)</f>
        <v>0.50800000000000178</v>
      </c>
    </row>
    <row r="2389" spans="1:19" x14ac:dyDescent="0.3">
      <c r="A2389" s="9" t="s">
        <v>4975</v>
      </c>
      <c r="B2389" s="9" t="s">
        <v>26</v>
      </c>
      <c r="C2389" s="9" t="s">
        <v>27</v>
      </c>
      <c r="D2389" s="52">
        <v>46251</v>
      </c>
      <c r="E2389" s="48">
        <v>0.64652777777777781</v>
      </c>
      <c r="F2389" s="48">
        <v>0.65625</v>
      </c>
      <c r="G2389" s="43">
        <f>(F2389-E2389)*1440</f>
        <v>13.99999999999995</v>
      </c>
      <c r="H2389" s="9" t="s">
        <v>1950</v>
      </c>
      <c r="I2389" s="9" t="s">
        <v>654</v>
      </c>
      <c r="J2389" s="44">
        <v>11.5</v>
      </c>
      <c r="K2389" s="60">
        <v>8.92</v>
      </c>
      <c r="L2389" s="56">
        <v>6.69</v>
      </c>
      <c r="M2389" s="14">
        <f>K2389-L2389</f>
        <v>2.2299999999999995</v>
      </c>
      <c r="N2389" s="15">
        <f>IFERROR(M2389/K2389,0)</f>
        <v>0.24999999999999994</v>
      </c>
      <c r="O2389" s="14">
        <f>IFERROR(L2389/J2389,0)</f>
        <v>0.58173913043478265</v>
      </c>
      <c r="P2389" s="14">
        <f>IFERROR(L2389/G2389,0)</f>
        <v>0.47785714285714459</v>
      </c>
    </row>
    <row r="2390" spans="1:19" x14ac:dyDescent="0.3">
      <c r="A2390" s="9" t="s">
        <v>4976</v>
      </c>
      <c r="B2390" s="9" t="s">
        <v>26</v>
      </c>
      <c r="C2390" s="9" t="s">
        <v>26</v>
      </c>
      <c r="D2390" s="52">
        <v>46251</v>
      </c>
      <c r="E2390" s="48">
        <v>0.65625</v>
      </c>
      <c r="F2390" s="48">
        <v>0.66597222222222219</v>
      </c>
      <c r="G2390" s="43">
        <f>(F2390-E2390)*1440</f>
        <v>13.99999999999995</v>
      </c>
      <c r="H2390" s="9" t="s">
        <v>1189</v>
      </c>
      <c r="I2390" s="9" t="s">
        <v>5212</v>
      </c>
      <c r="J2390" s="44">
        <v>7.9</v>
      </c>
      <c r="K2390" s="60">
        <v>5.63</v>
      </c>
      <c r="L2390" s="56">
        <v>5.28</v>
      </c>
      <c r="M2390" s="14">
        <f>K2390-L2390</f>
        <v>0.34999999999999964</v>
      </c>
      <c r="N2390" s="15">
        <f>IFERROR(M2390/K2390,0)</f>
        <v>6.2166962699822317E-2</v>
      </c>
      <c r="O2390" s="14">
        <f>IFERROR(L2390/J2390,0)</f>
        <v>0.66835443037974684</v>
      </c>
      <c r="P2390" s="14">
        <f>IFERROR(L2390/G2390,0)</f>
        <v>0.3771428571428585</v>
      </c>
    </row>
    <row r="2391" spans="1:19" x14ac:dyDescent="0.3">
      <c r="A2391" s="9" t="s">
        <v>4977</v>
      </c>
      <c r="B2391" s="9" t="s">
        <v>26</v>
      </c>
      <c r="C2391" s="9" t="s">
        <v>26</v>
      </c>
      <c r="D2391" s="52">
        <v>46251</v>
      </c>
      <c r="E2391" s="48">
        <v>0.70694444444444438</v>
      </c>
      <c r="F2391" s="48">
        <v>0.71805555555555556</v>
      </c>
      <c r="G2391" s="43">
        <f>(F2391-E2391)*1440</f>
        <v>16.000000000000103</v>
      </c>
      <c r="H2391" s="9" t="s">
        <v>5213</v>
      </c>
      <c r="I2391" s="9" t="s">
        <v>5214</v>
      </c>
      <c r="J2391" s="44">
        <v>11.2</v>
      </c>
      <c r="K2391" s="60">
        <v>7.72</v>
      </c>
      <c r="L2391" s="56">
        <v>6.1</v>
      </c>
      <c r="M2391" s="14">
        <f>K2391-L2391</f>
        <v>1.62</v>
      </c>
      <c r="N2391" s="15">
        <f>IFERROR(M2391/K2391,0)</f>
        <v>0.20984455958549225</v>
      </c>
      <c r="O2391" s="14">
        <f>IFERROR(L2391/J2391,0)</f>
        <v>0.5446428571428571</v>
      </c>
      <c r="P2391" s="14">
        <f>IFERROR(L2391/G2391,0)</f>
        <v>0.38124999999999754</v>
      </c>
    </row>
    <row r="2392" spans="1:19" x14ac:dyDescent="0.3">
      <c r="A2392" s="9" t="s">
        <v>4978</v>
      </c>
      <c r="B2392" s="9" t="s">
        <v>26</v>
      </c>
      <c r="C2392" s="9" t="s">
        <v>26</v>
      </c>
      <c r="D2392" s="52">
        <v>46251</v>
      </c>
      <c r="E2392" s="48">
        <v>0.81180555555555556</v>
      </c>
      <c r="F2392" s="48">
        <v>0.81874999999999998</v>
      </c>
      <c r="G2392" s="43">
        <f>(F2392-E2392)*1440</f>
        <v>9.9999999999999645</v>
      </c>
      <c r="H2392" s="9" t="s">
        <v>698</v>
      </c>
      <c r="I2392" s="9" t="s">
        <v>242</v>
      </c>
      <c r="J2392" s="44">
        <v>5.0999999999999996</v>
      </c>
      <c r="K2392" s="60">
        <v>5.93</v>
      </c>
      <c r="L2392" s="56">
        <v>4.45</v>
      </c>
      <c r="M2392" s="14">
        <f>K2392-L2392</f>
        <v>1.4799999999999995</v>
      </c>
      <c r="N2392" s="15">
        <f>IFERROR(M2392/K2392,0)</f>
        <v>0.24957841483979756</v>
      </c>
      <c r="O2392" s="14">
        <f>IFERROR(L2392/J2392,0)</f>
        <v>0.87254901960784326</v>
      </c>
      <c r="P2392" s="14">
        <f>IFERROR(L2392/G2392,0)</f>
        <v>0.44500000000000162</v>
      </c>
    </row>
    <row r="2393" spans="1:19" x14ac:dyDescent="0.3">
      <c r="A2393" s="9" t="s">
        <v>4979</v>
      </c>
      <c r="B2393" s="9" t="s">
        <v>26</v>
      </c>
      <c r="C2393" s="9" t="s">
        <v>26</v>
      </c>
      <c r="D2393" s="52">
        <v>46251</v>
      </c>
      <c r="E2393" s="48">
        <v>0.82013888888888886</v>
      </c>
      <c r="F2393" s="48">
        <v>0.82638888888888884</v>
      </c>
      <c r="G2393" s="43">
        <f>(F2393-E2393)*1440</f>
        <v>8.999999999999968</v>
      </c>
      <c r="H2393" s="9" t="s">
        <v>242</v>
      </c>
      <c r="I2393" s="9" t="s">
        <v>852</v>
      </c>
      <c r="J2393" s="44">
        <v>3.4</v>
      </c>
      <c r="K2393" s="60">
        <v>5.04</v>
      </c>
      <c r="L2393" s="56">
        <v>3.78</v>
      </c>
      <c r="M2393" s="14">
        <f>K2393-L2393</f>
        <v>1.2600000000000002</v>
      </c>
      <c r="N2393" s="15">
        <f>IFERROR(M2393/K2393,0)</f>
        <v>0.25000000000000006</v>
      </c>
      <c r="O2393" s="14">
        <f>IFERROR(L2393/J2393,0)</f>
        <v>1.111764705882353</v>
      </c>
      <c r="P2393" s="14">
        <f>IFERROR(L2393/G2393,0)</f>
        <v>0.42000000000000148</v>
      </c>
    </row>
    <row r="2394" spans="1:19" x14ac:dyDescent="0.3">
      <c r="A2394" s="9" t="s">
        <v>4980</v>
      </c>
      <c r="B2394" s="9" t="s">
        <v>26</v>
      </c>
      <c r="C2394" s="9" t="s">
        <v>26</v>
      </c>
      <c r="D2394" s="52">
        <v>46251</v>
      </c>
      <c r="E2394" s="48">
        <v>0.8305555555555556</v>
      </c>
      <c r="F2394" s="48">
        <v>0.83750000000000002</v>
      </c>
      <c r="G2394" s="43">
        <f>(F2394-E2394)*1440</f>
        <v>9.9999999999999645</v>
      </c>
      <c r="H2394" s="9" t="s">
        <v>558</v>
      </c>
      <c r="I2394" s="9" t="s">
        <v>242</v>
      </c>
      <c r="J2394" s="44">
        <v>4.5</v>
      </c>
      <c r="K2394" s="60">
        <v>4.92</v>
      </c>
      <c r="L2394" s="56">
        <v>3.69</v>
      </c>
      <c r="M2394" s="14">
        <f>K2394-L2394</f>
        <v>1.23</v>
      </c>
      <c r="N2394" s="15">
        <f>IFERROR(M2394/K2394,0)</f>
        <v>0.25</v>
      </c>
      <c r="O2394" s="14">
        <f>IFERROR(L2394/J2394,0)</f>
        <v>0.82</v>
      </c>
      <c r="P2394" s="14">
        <f>IFERROR(L2394/G2394,0)</f>
        <v>0.36900000000000133</v>
      </c>
    </row>
    <row r="2395" spans="1:19" x14ac:dyDescent="0.3">
      <c r="A2395" s="9" t="s">
        <v>4981</v>
      </c>
      <c r="B2395" s="9" t="s">
        <v>26</v>
      </c>
      <c r="C2395" s="9" t="s">
        <v>26</v>
      </c>
      <c r="D2395" s="52">
        <v>46251</v>
      </c>
      <c r="E2395" s="48">
        <v>0.83750000000000002</v>
      </c>
      <c r="F2395" s="48">
        <v>0.84166666666666667</v>
      </c>
      <c r="G2395" s="43">
        <f>(F2395-E2395)*1440</f>
        <v>5.9999999999999787</v>
      </c>
      <c r="H2395" s="9" t="s">
        <v>242</v>
      </c>
      <c r="I2395" s="9" t="s">
        <v>1950</v>
      </c>
      <c r="J2395" s="44">
        <v>1.9</v>
      </c>
      <c r="K2395" s="60">
        <v>4.55</v>
      </c>
      <c r="L2395" s="56">
        <v>3.87</v>
      </c>
      <c r="M2395" s="14">
        <f>K2395-L2395</f>
        <v>0.67999999999999972</v>
      </c>
      <c r="N2395" s="15">
        <f>IFERROR(M2395/K2395,0)</f>
        <v>0.14945054945054939</v>
      </c>
      <c r="O2395" s="14">
        <f>IFERROR(L2395/J2395,0)</f>
        <v>2.0368421052631582</v>
      </c>
      <c r="P2395" s="14">
        <f>IFERROR(L2395/G2395,0)</f>
        <v>0.64500000000000235</v>
      </c>
    </row>
    <row r="2396" spans="1:19" x14ac:dyDescent="0.3">
      <c r="A2396" s="9" t="s">
        <v>4982</v>
      </c>
      <c r="B2396" s="9" t="s">
        <v>26</v>
      </c>
      <c r="C2396" s="9" t="s">
        <v>27</v>
      </c>
      <c r="D2396" s="52">
        <v>46251</v>
      </c>
      <c r="E2396" s="48">
        <v>0.875</v>
      </c>
      <c r="F2396" s="48">
        <v>0.88888888888888884</v>
      </c>
      <c r="G2396" s="43">
        <f>(F2396-E2396)*1440</f>
        <v>19.999999999999929</v>
      </c>
      <c r="H2396" s="9" t="s">
        <v>584</v>
      </c>
      <c r="I2396" s="9" t="s">
        <v>1697</v>
      </c>
      <c r="J2396" s="44">
        <v>13.7</v>
      </c>
      <c r="K2396" s="60">
        <v>9.99</v>
      </c>
      <c r="L2396" s="56">
        <v>7.49</v>
      </c>
      <c r="M2396" s="14">
        <f>K2396-L2396</f>
        <v>2.5</v>
      </c>
      <c r="N2396" s="15">
        <f>IFERROR(M2396/K2396,0)</f>
        <v>0.25025025025025027</v>
      </c>
      <c r="O2396" s="14">
        <f>IFERROR(L2396/J2396,0)</f>
        <v>0.54671532846715332</v>
      </c>
      <c r="P2396" s="14">
        <f>IFERROR(L2396/G2396,0)</f>
        <v>0.37450000000000133</v>
      </c>
    </row>
    <row r="2397" spans="1:19" x14ac:dyDescent="0.3">
      <c r="A2397" s="9" t="s">
        <v>4983</v>
      </c>
      <c r="B2397" s="9" t="s">
        <v>26</v>
      </c>
      <c r="C2397" s="9" t="s">
        <v>27</v>
      </c>
      <c r="D2397" s="52">
        <v>46255</v>
      </c>
      <c r="E2397" s="48">
        <v>0.57708333333333328</v>
      </c>
      <c r="F2397" s="48">
        <v>0.59236111111111112</v>
      </c>
      <c r="G2397" s="43">
        <f>(F2397-E2397)*1440</f>
        <v>22.000000000000082</v>
      </c>
      <c r="H2397" s="9" t="s">
        <v>5215</v>
      </c>
      <c r="I2397" s="9" t="s">
        <v>610</v>
      </c>
      <c r="J2397" s="44">
        <v>12.5</v>
      </c>
      <c r="K2397" s="60">
        <v>10.41</v>
      </c>
      <c r="L2397" s="56">
        <v>7.81</v>
      </c>
      <c r="M2397" s="14">
        <f>K2397-L2397</f>
        <v>2.6000000000000005</v>
      </c>
      <c r="N2397" s="15">
        <f>IFERROR(M2397/K2397,0)</f>
        <v>0.24975984630163309</v>
      </c>
      <c r="O2397" s="14">
        <f>IFERROR(L2397/J2397,0)</f>
        <v>0.62480000000000002</v>
      </c>
      <c r="P2397" s="14">
        <f>IFERROR(L2397/G2397,0)</f>
        <v>0.35499999999999865</v>
      </c>
    </row>
    <row r="2398" spans="1:19" x14ac:dyDescent="0.3">
      <c r="A2398" s="9" t="s">
        <v>4984</v>
      </c>
      <c r="B2398" s="9" t="s">
        <v>26</v>
      </c>
      <c r="C2398" s="9" t="s">
        <v>26</v>
      </c>
      <c r="D2398" s="52">
        <v>46255</v>
      </c>
      <c r="E2398" s="48">
        <v>0.60347222222222219</v>
      </c>
      <c r="F2398" s="48">
        <v>0.61458333333333337</v>
      </c>
      <c r="G2398" s="43">
        <f>(F2398-E2398)*1440</f>
        <v>16.000000000000103</v>
      </c>
      <c r="H2398" s="9" t="s">
        <v>578</v>
      </c>
      <c r="I2398" s="9" t="s">
        <v>5216</v>
      </c>
      <c r="J2398" s="44">
        <v>8</v>
      </c>
      <c r="K2398" s="60">
        <v>6.4</v>
      </c>
      <c r="L2398" s="56">
        <v>6</v>
      </c>
      <c r="M2398" s="14">
        <f>K2398-L2398</f>
        <v>0.40000000000000036</v>
      </c>
      <c r="N2398" s="15">
        <f>IFERROR(M2398/K2398,0)</f>
        <v>6.2500000000000056E-2</v>
      </c>
      <c r="O2398" s="14">
        <f>IFERROR(L2398/J2398,0)</f>
        <v>0.75</v>
      </c>
      <c r="P2398" s="14">
        <f>IFERROR(L2398/G2398,0)</f>
        <v>0.37499999999999756</v>
      </c>
    </row>
    <row r="2399" spans="1:19" x14ac:dyDescent="0.3">
      <c r="A2399" s="9" t="s">
        <v>4985</v>
      </c>
      <c r="B2399" s="9" t="s">
        <v>26</v>
      </c>
      <c r="C2399" s="9" t="s">
        <v>27</v>
      </c>
      <c r="D2399" s="52">
        <v>46255</v>
      </c>
      <c r="E2399" s="48">
        <v>0.67083333333333339</v>
      </c>
      <c r="F2399" s="48">
        <v>0.68402777777777779</v>
      </c>
      <c r="G2399" s="43">
        <f>(F2399-E2399)*1440</f>
        <v>18.999999999999932</v>
      </c>
      <c r="H2399" s="9" t="s">
        <v>852</v>
      </c>
      <c r="I2399" s="9" t="s">
        <v>5217</v>
      </c>
      <c r="J2399" s="44">
        <v>10.5</v>
      </c>
      <c r="K2399" s="60">
        <v>9.98</v>
      </c>
      <c r="L2399" s="56">
        <v>7.48</v>
      </c>
      <c r="M2399" s="14">
        <f>K2399-L2399</f>
        <v>2.5</v>
      </c>
      <c r="N2399" s="15">
        <f>IFERROR(M2399/K2399,0)</f>
        <v>0.25050100200400799</v>
      </c>
      <c r="O2399" s="14">
        <f>IFERROR(L2399/J2399,0)</f>
        <v>0.71238095238095245</v>
      </c>
      <c r="P2399" s="14">
        <f>IFERROR(L2399/G2399,0)</f>
        <v>0.39368421052631719</v>
      </c>
    </row>
    <row r="2400" spans="1:19" x14ac:dyDescent="0.3">
      <c r="A2400" s="9" t="s">
        <v>4986</v>
      </c>
      <c r="B2400" s="9" t="s">
        <v>26</v>
      </c>
      <c r="C2400" s="9" t="s">
        <v>26</v>
      </c>
      <c r="D2400" s="52">
        <v>46255</v>
      </c>
      <c r="E2400" s="48">
        <v>0.73125000000000007</v>
      </c>
      <c r="F2400" s="48">
        <v>0.73749999999999993</v>
      </c>
      <c r="G2400" s="43">
        <f>(F2400-E2400)*1440</f>
        <v>8.9999999999998082</v>
      </c>
      <c r="H2400" s="9" t="s">
        <v>606</v>
      </c>
      <c r="I2400" s="9" t="s">
        <v>243</v>
      </c>
      <c r="J2400" s="44">
        <v>5.5</v>
      </c>
      <c r="K2400" s="60">
        <v>5.23</v>
      </c>
      <c r="L2400" s="56">
        <v>4.59</v>
      </c>
      <c r="M2400" s="14">
        <f>K2400-L2400</f>
        <v>0.64000000000000057</v>
      </c>
      <c r="N2400" s="15">
        <f>IFERROR(M2400/K2400,0)</f>
        <v>0.12237093690248575</v>
      </c>
      <c r="O2400" s="14">
        <f>IFERROR(L2400/J2400,0)</f>
        <v>0.83454545454545448</v>
      </c>
      <c r="P2400" s="14">
        <f>IFERROR(L2400/G2400,0)</f>
        <v>0.51000000000001089</v>
      </c>
    </row>
    <row r="2401" spans="1:16" x14ac:dyDescent="0.3">
      <c r="A2401" s="9" t="s">
        <v>4987</v>
      </c>
      <c r="B2401" s="9" t="s">
        <v>26</v>
      </c>
      <c r="C2401" s="9" t="s">
        <v>27</v>
      </c>
      <c r="D2401" s="52">
        <v>46255</v>
      </c>
      <c r="E2401" s="48">
        <v>0.81180555555555556</v>
      </c>
      <c r="F2401" s="48">
        <v>0.81666666666666676</v>
      </c>
      <c r="G2401" s="43">
        <f>(F2401-E2401)*1440</f>
        <v>7.000000000000135</v>
      </c>
      <c r="H2401" s="9" t="s">
        <v>5218</v>
      </c>
      <c r="I2401" s="9" t="s">
        <v>2865</v>
      </c>
      <c r="J2401" s="44">
        <v>3.7</v>
      </c>
      <c r="K2401" s="60">
        <v>4.9800000000000004</v>
      </c>
      <c r="L2401" s="56">
        <v>4.0999999999999996</v>
      </c>
      <c r="M2401" s="14">
        <f>K2401-L2401</f>
        <v>0.88000000000000078</v>
      </c>
      <c r="N2401" s="15">
        <f>IFERROR(M2401/K2401,0)</f>
        <v>0.17670682730923709</v>
      </c>
      <c r="O2401" s="14">
        <f>IFERROR(L2401/J2401,0)</f>
        <v>1.1081081081081079</v>
      </c>
      <c r="P2401" s="14">
        <f>IFERROR(L2401/G2401,0)</f>
        <v>0.58571428571427442</v>
      </c>
    </row>
    <row r="2402" spans="1:16" x14ac:dyDescent="0.3">
      <c r="A2402" s="9" t="s">
        <v>4988</v>
      </c>
      <c r="B2402" s="9" t="s">
        <v>18</v>
      </c>
      <c r="C2402" s="9" t="s">
        <v>184</v>
      </c>
      <c r="D2402" s="52">
        <v>46255</v>
      </c>
      <c r="E2402" s="48">
        <v>0.53263888888888888</v>
      </c>
      <c r="F2402" s="48">
        <v>0.5493055555555556</v>
      </c>
      <c r="G2402" s="43">
        <f>(F2402-E2402)*1440</f>
        <v>24.000000000000075</v>
      </c>
      <c r="H2402" s="9" t="s">
        <v>5219</v>
      </c>
      <c r="I2402" s="9" t="s">
        <v>1120</v>
      </c>
      <c r="J2402" s="44">
        <v>18.84</v>
      </c>
      <c r="K2402" s="60">
        <v>11.94</v>
      </c>
      <c r="L2402" s="56">
        <v>8.56</v>
      </c>
      <c r="M2402" s="14">
        <f>K2402-L2402</f>
        <v>3.379999999999999</v>
      </c>
      <c r="N2402" s="15">
        <f>IFERROR(M2402/K2402,0)</f>
        <v>0.28308207705192623</v>
      </c>
      <c r="O2402" s="14">
        <f>IFERROR(L2402/J2402,0)</f>
        <v>0.45435244161358812</v>
      </c>
      <c r="P2402" s="14">
        <f>IFERROR(L2402/G2402,0)</f>
        <v>0.35666666666666558</v>
      </c>
    </row>
    <row r="2403" spans="1:16" x14ac:dyDescent="0.3">
      <c r="A2403" s="9" t="s">
        <v>4989</v>
      </c>
      <c r="B2403" s="9" t="s">
        <v>18</v>
      </c>
      <c r="C2403" s="9" t="s">
        <v>196</v>
      </c>
      <c r="D2403" s="52">
        <v>46255</v>
      </c>
      <c r="E2403" s="48">
        <v>0.55833333333333335</v>
      </c>
      <c r="F2403" s="48">
        <v>0.56874999999999998</v>
      </c>
      <c r="G2403" s="43">
        <f>(F2403-E2403)*1440</f>
        <v>14.999999999999947</v>
      </c>
      <c r="H2403" s="9" t="s">
        <v>5220</v>
      </c>
      <c r="I2403" s="9" t="s">
        <v>1968</v>
      </c>
      <c r="J2403" s="44">
        <v>4.8099999999999996</v>
      </c>
      <c r="K2403" s="60">
        <v>5.41</v>
      </c>
      <c r="L2403" s="56">
        <v>4.33</v>
      </c>
      <c r="M2403" s="14">
        <f>K2403-L2403</f>
        <v>1.08</v>
      </c>
      <c r="N2403" s="15">
        <f>IFERROR(M2403/K2403,0)</f>
        <v>0.19963031423290203</v>
      </c>
      <c r="O2403" s="14">
        <f>IFERROR(L2403/J2403,0)</f>
        <v>0.90020790020790031</v>
      </c>
      <c r="P2403" s="14">
        <f>IFERROR(L2403/G2403,0)</f>
        <v>0.28866666666666768</v>
      </c>
    </row>
    <row r="2404" spans="1:16" x14ac:dyDescent="0.3">
      <c r="A2404" s="9" t="s">
        <v>4990</v>
      </c>
      <c r="B2404" s="9" t="s">
        <v>18</v>
      </c>
      <c r="C2404" s="9" t="s">
        <v>184</v>
      </c>
      <c r="D2404" s="52">
        <v>46255</v>
      </c>
      <c r="E2404" s="48">
        <v>0.61736111111111114</v>
      </c>
      <c r="F2404" s="48">
        <v>0.62708333333333333</v>
      </c>
      <c r="G2404" s="43">
        <f>(F2404-E2404)*1440</f>
        <v>13.99999999999995</v>
      </c>
      <c r="H2404" s="9" t="s">
        <v>5221</v>
      </c>
      <c r="I2404" s="9" t="s">
        <v>5222</v>
      </c>
      <c r="J2404" s="44">
        <v>12.74</v>
      </c>
      <c r="K2404" s="60">
        <v>8.94</v>
      </c>
      <c r="L2404" s="56">
        <v>7.77</v>
      </c>
      <c r="M2404" s="14">
        <f>K2404-L2404</f>
        <v>1.17</v>
      </c>
      <c r="N2404" s="15">
        <f>IFERROR(M2404/K2404,0)</f>
        <v>0.13087248322147652</v>
      </c>
      <c r="O2404" s="14">
        <f>IFERROR(L2404/J2404,0)</f>
        <v>0.60989010989010983</v>
      </c>
      <c r="P2404" s="14">
        <f>IFERROR(L2404/G2404,0)</f>
        <v>0.55500000000000194</v>
      </c>
    </row>
    <row r="2405" spans="1:16" x14ac:dyDescent="0.3">
      <c r="A2405" s="9" t="s">
        <v>4991</v>
      </c>
      <c r="B2405" s="9" t="s">
        <v>18</v>
      </c>
      <c r="C2405" s="9" t="s">
        <v>184</v>
      </c>
      <c r="D2405" s="52">
        <v>46255</v>
      </c>
      <c r="E2405" s="48">
        <v>0.63611111111111118</v>
      </c>
      <c r="F2405" s="48">
        <v>0.64513888888888882</v>
      </c>
      <c r="G2405" s="43">
        <f>(F2405-E2405)*1440</f>
        <v>12.999999999999794</v>
      </c>
      <c r="H2405" s="9" t="s">
        <v>5223</v>
      </c>
      <c r="I2405" s="9" t="s">
        <v>558</v>
      </c>
      <c r="J2405" s="44">
        <v>7.63</v>
      </c>
      <c r="K2405" s="60">
        <v>6.96</v>
      </c>
      <c r="L2405" s="56">
        <v>5.27</v>
      </c>
      <c r="M2405" s="14">
        <f>K2405-L2405</f>
        <v>1.6900000000000004</v>
      </c>
      <c r="N2405" s="15">
        <f>IFERROR(M2405/K2405,0)</f>
        <v>0.24281609195402304</v>
      </c>
      <c r="O2405" s="14">
        <f>IFERROR(L2405/J2405,0)</f>
        <v>0.69069462647444291</v>
      </c>
      <c r="P2405" s="14">
        <f>IFERROR(L2405/G2405,0)</f>
        <v>0.40538461538462178</v>
      </c>
    </row>
    <row r="2406" spans="1:16" x14ac:dyDescent="0.3">
      <c r="A2406" s="9" t="s">
        <v>4992</v>
      </c>
      <c r="B2406" s="9" t="s">
        <v>18</v>
      </c>
      <c r="C2406" s="9" t="s">
        <v>184</v>
      </c>
      <c r="D2406" s="52">
        <v>46255</v>
      </c>
      <c r="E2406" s="48">
        <v>0.68472222222222223</v>
      </c>
      <c r="F2406" s="48">
        <v>0.6972222222222223</v>
      </c>
      <c r="G2406" s="43">
        <f>(F2406-E2406)*1440</f>
        <v>18.000000000000096</v>
      </c>
      <c r="H2406" s="9" t="s">
        <v>2831</v>
      </c>
      <c r="I2406" s="9" t="s">
        <v>1162</v>
      </c>
      <c r="J2406" s="44">
        <v>11.25</v>
      </c>
      <c r="K2406" s="60">
        <v>7.96</v>
      </c>
      <c r="L2406" s="56">
        <v>5.18</v>
      </c>
      <c r="M2406" s="14">
        <f>K2406-L2406</f>
        <v>2.7800000000000002</v>
      </c>
      <c r="N2406" s="15">
        <f>IFERROR(M2406/K2406,0)</f>
        <v>0.34924623115577891</v>
      </c>
      <c r="O2406" s="14">
        <f>IFERROR(L2406/J2406,0)</f>
        <v>0.46044444444444443</v>
      </c>
      <c r="P2406" s="14">
        <f>IFERROR(L2406/G2406,0)</f>
        <v>0.28777777777777624</v>
      </c>
    </row>
    <row r="2407" spans="1:16" x14ac:dyDescent="0.3">
      <c r="A2407" s="9" t="s">
        <v>4993</v>
      </c>
      <c r="B2407" s="9" t="s">
        <v>18</v>
      </c>
      <c r="C2407" s="9" t="s">
        <v>184</v>
      </c>
      <c r="D2407" s="52">
        <v>46255</v>
      </c>
      <c r="E2407" s="48">
        <v>0.6958333333333333</v>
      </c>
      <c r="F2407" s="48">
        <v>0.70624999999999993</v>
      </c>
      <c r="G2407" s="43">
        <f>(F2407-E2407)*1440</f>
        <v>14.999999999999947</v>
      </c>
      <c r="H2407" s="9" t="s">
        <v>836</v>
      </c>
      <c r="I2407" s="9" t="s">
        <v>214</v>
      </c>
      <c r="J2407" s="44">
        <v>8.68</v>
      </c>
      <c r="K2407" s="60">
        <v>9.9600000000000009</v>
      </c>
      <c r="L2407" s="56">
        <v>6.47</v>
      </c>
      <c r="M2407" s="14">
        <f>K2407-L2407</f>
        <v>3.4900000000000011</v>
      </c>
      <c r="N2407" s="15">
        <f>IFERROR(M2407/K2407,0)</f>
        <v>0.35040160642570289</v>
      </c>
      <c r="O2407" s="14">
        <f>IFERROR(L2407/J2407,0)</f>
        <v>0.74539170506912444</v>
      </c>
      <c r="P2407" s="14">
        <f>IFERROR(L2407/G2407,0)</f>
        <v>0.43133333333333485</v>
      </c>
    </row>
    <row r="2408" spans="1:16" x14ac:dyDescent="0.3">
      <c r="A2408" s="9" t="s">
        <v>4994</v>
      </c>
      <c r="B2408" s="9" t="s">
        <v>18</v>
      </c>
      <c r="C2408" s="9" t="s">
        <v>184</v>
      </c>
      <c r="D2408" s="52">
        <v>46255</v>
      </c>
      <c r="E2408" s="48">
        <v>0.71527777777777779</v>
      </c>
      <c r="F2408" s="48">
        <v>0.72430555555555554</v>
      </c>
      <c r="G2408" s="43">
        <f>(F2408-E2408)*1440</f>
        <v>12.999999999999954</v>
      </c>
      <c r="H2408" s="9" t="s">
        <v>725</v>
      </c>
      <c r="I2408" s="9" t="s">
        <v>4125</v>
      </c>
      <c r="J2408" s="44">
        <v>6.57</v>
      </c>
      <c r="K2408" s="60">
        <v>5.95</v>
      </c>
      <c r="L2408" s="56">
        <v>4.3</v>
      </c>
      <c r="M2408" s="14">
        <f>K2408-L2408</f>
        <v>1.6500000000000004</v>
      </c>
      <c r="N2408" s="15">
        <f>IFERROR(M2408/K2408,0)</f>
        <v>0.27731092436974797</v>
      </c>
      <c r="O2408" s="14">
        <f>IFERROR(L2408/J2408,0)</f>
        <v>0.65449010654490103</v>
      </c>
      <c r="P2408" s="14">
        <f>IFERROR(L2408/G2408,0)</f>
        <v>0.33076923076923193</v>
      </c>
    </row>
    <row r="2409" spans="1:16" x14ac:dyDescent="0.3">
      <c r="A2409" s="9" t="s">
        <v>4995</v>
      </c>
      <c r="B2409" s="9" t="s">
        <v>18</v>
      </c>
      <c r="C2409" s="9" t="s">
        <v>196</v>
      </c>
      <c r="D2409" s="52">
        <v>46255</v>
      </c>
      <c r="E2409" s="48">
        <v>0.74305555555555547</v>
      </c>
      <c r="F2409" s="48">
        <v>0.75902777777777775</v>
      </c>
      <c r="G2409" s="43">
        <f>(F2409-E2409)*1440</f>
        <v>23.000000000000078</v>
      </c>
      <c r="H2409" s="9" t="s">
        <v>5224</v>
      </c>
      <c r="I2409" s="9" t="s">
        <v>5225</v>
      </c>
      <c r="J2409" s="44">
        <v>19.61</v>
      </c>
      <c r="K2409" s="60">
        <v>16.97</v>
      </c>
      <c r="L2409" s="56">
        <v>11.03</v>
      </c>
      <c r="M2409" s="14">
        <f>K2409-L2409</f>
        <v>5.9399999999999995</v>
      </c>
      <c r="N2409" s="15">
        <f>IFERROR(M2409/K2409,0)</f>
        <v>0.35002946375957572</v>
      </c>
      <c r="O2409" s="14">
        <f>IFERROR(L2409/J2409,0)</f>
        <v>0.56246812850586436</v>
      </c>
      <c r="P2409" s="14">
        <f>IFERROR(L2409/G2409,0)</f>
        <v>0.4795652173913027</v>
      </c>
    </row>
    <row r="2410" spans="1:16" x14ac:dyDescent="0.3">
      <c r="A2410" s="9" t="s">
        <v>4996</v>
      </c>
      <c r="B2410" s="9" t="s">
        <v>18</v>
      </c>
      <c r="C2410" s="9" t="s">
        <v>184</v>
      </c>
      <c r="D2410" s="52">
        <v>46255</v>
      </c>
      <c r="E2410" s="48">
        <v>0.78611111111111109</v>
      </c>
      <c r="F2410" s="48">
        <v>0.7895833333333333</v>
      </c>
      <c r="G2410" s="43">
        <f>(F2410-E2410)*1440</f>
        <v>4.9999999999999822</v>
      </c>
      <c r="H2410" s="9" t="s">
        <v>5226</v>
      </c>
      <c r="I2410" s="9" t="s">
        <v>1207</v>
      </c>
      <c r="J2410" s="44">
        <v>2.04</v>
      </c>
      <c r="K2410" s="60">
        <v>4.9400000000000004</v>
      </c>
      <c r="L2410" s="56">
        <v>3.3</v>
      </c>
      <c r="M2410" s="14">
        <f>K2410-L2410</f>
        <v>1.6400000000000006</v>
      </c>
      <c r="N2410" s="15">
        <f>IFERROR(M2410/K2410,0)</f>
        <v>0.33198380566801627</v>
      </c>
      <c r="O2410" s="14">
        <f>IFERROR(L2410/J2410,0)</f>
        <v>1.6176470588235292</v>
      </c>
      <c r="P2410" s="14">
        <f>IFERROR(L2410/G2410,0)</f>
        <v>0.66000000000000236</v>
      </c>
    </row>
    <row r="2411" spans="1:16" x14ac:dyDescent="0.3">
      <c r="A2411" s="9" t="s">
        <v>4997</v>
      </c>
      <c r="B2411" s="9" t="s">
        <v>18</v>
      </c>
      <c r="C2411" s="9" t="s">
        <v>196</v>
      </c>
      <c r="D2411" s="52">
        <v>46255</v>
      </c>
      <c r="E2411" s="48">
        <v>0.7909722222222223</v>
      </c>
      <c r="F2411" s="48">
        <v>0.79999999999999993</v>
      </c>
      <c r="G2411" s="43">
        <f>(F2411-E2411)*1440</f>
        <v>12.999999999999794</v>
      </c>
      <c r="H2411" s="9" t="s">
        <v>1207</v>
      </c>
      <c r="I2411" s="9" t="s">
        <v>5227</v>
      </c>
      <c r="J2411" s="44">
        <v>3.35</v>
      </c>
      <c r="K2411" s="60">
        <v>5.97</v>
      </c>
      <c r="L2411" s="56">
        <v>4.46</v>
      </c>
      <c r="M2411" s="14">
        <f>K2411-L2411</f>
        <v>1.5099999999999998</v>
      </c>
      <c r="N2411" s="15">
        <f>IFERROR(M2411/K2411,0)</f>
        <v>0.25293132328308204</v>
      </c>
      <c r="O2411" s="14">
        <f>IFERROR(L2411/J2411,0)</f>
        <v>1.3313432835820895</v>
      </c>
      <c r="P2411" s="14">
        <f>IFERROR(L2411/G2411,0)</f>
        <v>0.3430769230769285</v>
      </c>
    </row>
    <row r="2412" spans="1:16" x14ac:dyDescent="0.3">
      <c r="A2412" s="9" t="s">
        <v>4998</v>
      </c>
      <c r="B2412" s="9" t="s">
        <v>18</v>
      </c>
      <c r="C2412" s="9" t="s">
        <v>184</v>
      </c>
      <c r="D2412" s="52">
        <v>46255</v>
      </c>
      <c r="E2412" s="48">
        <v>0.81805555555555554</v>
      </c>
      <c r="F2412" s="48">
        <v>0.8340277777777777</v>
      </c>
      <c r="G2412" s="43">
        <f>(F2412-E2412)*1440</f>
        <v>22.999999999999918</v>
      </c>
      <c r="H2412" s="9" t="s">
        <v>1207</v>
      </c>
      <c r="I2412" s="9" t="s">
        <v>5228</v>
      </c>
      <c r="J2412" s="44">
        <v>10.77</v>
      </c>
      <c r="K2412" s="60">
        <v>6.98</v>
      </c>
      <c r="L2412" s="56">
        <v>6.77</v>
      </c>
      <c r="M2412" s="14">
        <f>K2412-L2412</f>
        <v>0.21000000000000085</v>
      </c>
      <c r="N2412" s="15">
        <f>IFERROR(M2412/K2412,0)</f>
        <v>3.008595988538694E-2</v>
      </c>
      <c r="O2412" s="14">
        <f>IFERROR(L2412/J2412,0)</f>
        <v>0.62859795728876511</v>
      </c>
      <c r="P2412" s="14">
        <f>IFERROR(L2412/G2412,0)</f>
        <v>0.29434782608695753</v>
      </c>
    </row>
    <row r="2413" spans="1:16" x14ac:dyDescent="0.3">
      <c r="A2413" s="9" t="s">
        <v>4999</v>
      </c>
      <c r="B2413" s="9" t="s">
        <v>18</v>
      </c>
      <c r="C2413" s="9" t="s">
        <v>196</v>
      </c>
      <c r="D2413" s="52">
        <v>46255</v>
      </c>
      <c r="E2413" s="48">
        <v>0.83819444444444446</v>
      </c>
      <c r="F2413" s="48">
        <v>0.84236111111111101</v>
      </c>
      <c r="G2413" s="43">
        <f>(F2413-E2413)*1440</f>
        <v>5.9999999999998188</v>
      </c>
      <c r="H2413" s="9" t="s">
        <v>5229</v>
      </c>
      <c r="I2413" s="9" t="s">
        <v>1968</v>
      </c>
      <c r="J2413" s="44">
        <v>2.2799999999999998</v>
      </c>
      <c r="K2413" s="60">
        <v>5.98</v>
      </c>
      <c r="L2413" s="56">
        <v>4.29</v>
      </c>
      <c r="M2413" s="14">
        <f>K2413-L2413</f>
        <v>1.6900000000000004</v>
      </c>
      <c r="N2413" s="15">
        <f>IFERROR(M2413/K2413,0)</f>
        <v>0.28260869565217395</v>
      </c>
      <c r="O2413" s="14">
        <f>IFERROR(L2413/J2413,0)</f>
        <v>1.8815789473684212</v>
      </c>
      <c r="P2413" s="14">
        <f>IFERROR(L2413/G2413,0)</f>
        <v>0.71500000000002162</v>
      </c>
    </row>
    <row r="2414" spans="1:16" x14ac:dyDescent="0.3">
      <c r="A2414" s="9" t="s">
        <v>5000</v>
      </c>
      <c r="B2414" s="9" t="s">
        <v>18</v>
      </c>
      <c r="C2414" s="9" t="s">
        <v>184</v>
      </c>
      <c r="D2414" s="52">
        <v>46255</v>
      </c>
      <c r="E2414" s="48">
        <v>0.85486111111111107</v>
      </c>
      <c r="F2414" s="48">
        <v>0.86597222222222225</v>
      </c>
      <c r="G2414" s="43">
        <f>(F2414-E2414)*1440</f>
        <v>16.000000000000103</v>
      </c>
      <c r="H2414" s="9" t="s">
        <v>5230</v>
      </c>
      <c r="I2414" s="9" t="s">
        <v>2191</v>
      </c>
      <c r="J2414" s="44">
        <v>10.08</v>
      </c>
      <c r="K2414" s="60">
        <v>7.94</v>
      </c>
      <c r="L2414" s="56">
        <v>6.48</v>
      </c>
      <c r="M2414" s="14">
        <f>K2414-L2414</f>
        <v>1.46</v>
      </c>
      <c r="N2414" s="15">
        <f>IFERROR(M2414/K2414,0)</f>
        <v>0.18387909319899243</v>
      </c>
      <c r="O2414" s="14">
        <f>IFERROR(L2414/J2414,0)</f>
        <v>0.6428571428571429</v>
      </c>
      <c r="P2414" s="14">
        <f>IFERROR(L2414/G2414,0)</f>
        <v>0.40499999999999742</v>
      </c>
    </row>
    <row r="2415" spans="1:16" x14ac:dyDescent="0.3">
      <c r="A2415" s="9" t="s">
        <v>5001</v>
      </c>
      <c r="B2415" s="9" t="s">
        <v>18</v>
      </c>
      <c r="C2415" s="9" t="s">
        <v>184</v>
      </c>
      <c r="D2415" s="52">
        <v>46256</v>
      </c>
      <c r="E2415" s="48">
        <v>0.53888888888888886</v>
      </c>
      <c r="F2415" s="48">
        <v>0.55138888888888882</v>
      </c>
      <c r="G2415" s="43">
        <f>(F2415-E2415)*1440</f>
        <v>17.999999999999936</v>
      </c>
      <c r="H2415" s="9" t="s">
        <v>262</v>
      </c>
      <c r="I2415" s="9" t="s">
        <v>703</v>
      </c>
      <c r="J2415" s="44">
        <v>18.54</v>
      </c>
      <c r="K2415" s="60">
        <v>10.95</v>
      </c>
      <c r="L2415" s="56">
        <v>8.02</v>
      </c>
      <c r="M2415" s="14">
        <f>K2415-L2415</f>
        <v>2.9299999999999997</v>
      </c>
      <c r="N2415" s="15">
        <f>IFERROR(M2415/K2415,0)</f>
        <v>0.26757990867579906</v>
      </c>
      <c r="O2415" s="14">
        <f>IFERROR(L2415/J2415,0)</f>
        <v>0.43257820927723839</v>
      </c>
      <c r="P2415" s="14">
        <f>IFERROR(L2415/G2415,0)</f>
        <v>0.44555555555555709</v>
      </c>
    </row>
    <row r="2416" spans="1:16" x14ac:dyDescent="0.3">
      <c r="A2416" s="9" t="s">
        <v>5002</v>
      </c>
      <c r="B2416" s="9" t="s">
        <v>18</v>
      </c>
      <c r="C2416" s="9" t="s">
        <v>184</v>
      </c>
      <c r="D2416" s="52">
        <v>46256</v>
      </c>
      <c r="E2416" s="48">
        <v>0.55694444444444446</v>
      </c>
      <c r="F2416" s="48">
        <v>0.57222222222222219</v>
      </c>
      <c r="G2416" s="43">
        <f>(F2416-E2416)*1440</f>
        <v>21.999999999999922</v>
      </c>
      <c r="H2416" s="9" t="s">
        <v>703</v>
      </c>
      <c r="I2416" s="9" t="s">
        <v>5231</v>
      </c>
      <c r="J2416" s="44">
        <v>14.93</v>
      </c>
      <c r="K2416" s="60">
        <v>10.93</v>
      </c>
      <c r="L2416" s="56">
        <v>7.2</v>
      </c>
      <c r="M2416" s="14">
        <f>K2416-L2416</f>
        <v>3.7299999999999995</v>
      </c>
      <c r="N2416" s="15">
        <f>IFERROR(M2416/K2416,0)</f>
        <v>0.34126258005489474</v>
      </c>
      <c r="O2416" s="14">
        <f>IFERROR(L2416/J2416,0)</f>
        <v>0.4822505023442733</v>
      </c>
      <c r="P2416" s="14">
        <f>IFERROR(L2416/G2416,0)</f>
        <v>0.32727272727272844</v>
      </c>
    </row>
    <row r="2417" spans="1:16" x14ac:dyDescent="0.3">
      <c r="A2417" s="9" t="s">
        <v>5003</v>
      </c>
      <c r="B2417" s="9" t="s">
        <v>18</v>
      </c>
      <c r="C2417" s="9" t="s">
        <v>196</v>
      </c>
      <c r="D2417" s="52">
        <v>46256</v>
      </c>
      <c r="E2417" s="48">
        <v>0.6118055555555556</v>
      </c>
      <c r="F2417" s="48">
        <v>0.61944444444444446</v>
      </c>
      <c r="G2417" s="43">
        <f>(F2417-E2417)*1440</f>
        <v>10.999999999999961</v>
      </c>
      <c r="H2417" s="9" t="s">
        <v>4793</v>
      </c>
      <c r="I2417" s="9" t="s">
        <v>582</v>
      </c>
      <c r="J2417" s="44">
        <v>6.13</v>
      </c>
      <c r="K2417" s="60">
        <v>6.98</v>
      </c>
      <c r="L2417" s="56">
        <v>5</v>
      </c>
      <c r="M2417" s="14">
        <f>K2417-L2417</f>
        <v>1.9800000000000004</v>
      </c>
      <c r="N2417" s="15">
        <f>IFERROR(M2417/K2417,0)</f>
        <v>0.28366762177650434</v>
      </c>
      <c r="O2417" s="14">
        <f>IFERROR(L2417/J2417,0)</f>
        <v>0.81566068515497558</v>
      </c>
      <c r="P2417" s="14">
        <f>IFERROR(L2417/G2417,0)</f>
        <v>0.45454545454545614</v>
      </c>
    </row>
    <row r="2418" spans="1:16" x14ac:dyDescent="0.3">
      <c r="A2418" s="9" t="s">
        <v>5004</v>
      </c>
      <c r="B2418" s="9" t="s">
        <v>18</v>
      </c>
      <c r="C2418" s="9" t="s">
        <v>230</v>
      </c>
      <c r="D2418" s="52">
        <v>46256</v>
      </c>
      <c r="E2418" s="48">
        <v>0.63055555555555554</v>
      </c>
      <c r="F2418" s="48">
        <v>0.6381944444444444</v>
      </c>
      <c r="G2418" s="43">
        <f>(F2418-E2418)*1440</f>
        <v>10.999999999999961</v>
      </c>
      <c r="H2418" s="9" t="s">
        <v>5232</v>
      </c>
      <c r="I2418" s="9" t="s">
        <v>616</v>
      </c>
      <c r="J2418" s="44">
        <v>6.04</v>
      </c>
      <c r="K2418" s="60">
        <v>4.8</v>
      </c>
      <c r="L2418" s="56">
        <v>4.68</v>
      </c>
      <c r="M2418" s="14">
        <f>K2418-L2418</f>
        <v>0.12000000000000011</v>
      </c>
      <c r="N2418" s="15">
        <f>IFERROR(M2418/K2418,0)</f>
        <v>2.5000000000000022E-2</v>
      </c>
      <c r="O2418" s="14">
        <f>IFERROR(L2418/J2418,0)</f>
        <v>0.77483443708609268</v>
      </c>
      <c r="P2418" s="14">
        <f>IFERROR(L2418/G2418,0)</f>
        <v>0.42545454545454692</v>
      </c>
    </row>
    <row r="2419" spans="1:16" x14ac:dyDescent="0.3">
      <c r="A2419" s="9" t="s">
        <v>5005</v>
      </c>
      <c r="B2419" s="9" t="s">
        <v>18</v>
      </c>
      <c r="C2419" s="9" t="s">
        <v>184</v>
      </c>
      <c r="D2419" s="52">
        <v>46256</v>
      </c>
      <c r="E2419" s="48">
        <v>0.66597222222222219</v>
      </c>
      <c r="F2419" s="48">
        <v>0.67499999999999993</v>
      </c>
      <c r="G2419" s="43">
        <f>(F2419-E2419)*1440</f>
        <v>12.999999999999954</v>
      </c>
      <c r="H2419" s="9" t="s">
        <v>235</v>
      </c>
      <c r="I2419" s="9" t="s">
        <v>5233</v>
      </c>
      <c r="J2419" s="44">
        <v>9.2100000000000009</v>
      </c>
      <c r="K2419" s="60">
        <v>7.95</v>
      </c>
      <c r="L2419" s="56">
        <v>5.17</v>
      </c>
      <c r="M2419" s="14">
        <f>K2419-L2419</f>
        <v>2.7800000000000002</v>
      </c>
      <c r="N2419" s="15">
        <f>IFERROR(M2419/K2419,0)</f>
        <v>0.349685534591195</v>
      </c>
      <c r="O2419" s="14">
        <f>IFERROR(L2419/J2419,0)</f>
        <v>0.56134636264929416</v>
      </c>
      <c r="P2419" s="14">
        <f>IFERROR(L2419/G2419,0)</f>
        <v>0.39769230769230912</v>
      </c>
    </row>
    <row r="2420" spans="1:16" x14ac:dyDescent="0.3">
      <c r="A2420" s="9" t="s">
        <v>5006</v>
      </c>
      <c r="B2420" s="9" t="s">
        <v>18</v>
      </c>
      <c r="C2420" s="9" t="s">
        <v>184</v>
      </c>
      <c r="D2420" s="52">
        <v>46256</v>
      </c>
      <c r="E2420" s="48">
        <v>0.67499999999999993</v>
      </c>
      <c r="F2420" s="48">
        <v>0.68402777777777779</v>
      </c>
      <c r="G2420" s="43">
        <f>(F2420-E2420)*1440</f>
        <v>13.000000000000114</v>
      </c>
      <c r="H2420" s="9" t="s">
        <v>554</v>
      </c>
      <c r="I2420" s="9" t="s">
        <v>4040</v>
      </c>
      <c r="J2420" s="44">
        <v>10.53</v>
      </c>
      <c r="K2420" s="60">
        <v>7.27</v>
      </c>
      <c r="L2420" s="56">
        <v>5.75</v>
      </c>
      <c r="M2420" s="14">
        <f>K2420-L2420</f>
        <v>1.5199999999999996</v>
      </c>
      <c r="N2420" s="15">
        <f>IFERROR(M2420/K2420,0)</f>
        <v>0.20907840440165057</v>
      </c>
      <c r="O2420" s="14">
        <f>IFERROR(L2420/J2420,0)</f>
        <v>0.54605887939221276</v>
      </c>
      <c r="P2420" s="14">
        <f>IFERROR(L2420/G2420,0)</f>
        <v>0.44230769230768846</v>
      </c>
    </row>
    <row r="2421" spans="1:16" x14ac:dyDescent="0.3">
      <c r="A2421" s="9" t="s">
        <v>5007</v>
      </c>
      <c r="B2421" s="9" t="s">
        <v>18</v>
      </c>
      <c r="C2421" s="9" t="s">
        <v>184</v>
      </c>
      <c r="D2421" s="52">
        <v>46256</v>
      </c>
      <c r="E2421" s="48">
        <v>0.73541666666666661</v>
      </c>
      <c r="F2421" s="48">
        <v>0.76250000000000007</v>
      </c>
      <c r="G2421" s="43">
        <f>(F2421-E2421)*1440</f>
        <v>39.000000000000185</v>
      </c>
      <c r="H2421" s="9" t="s">
        <v>766</v>
      </c>
      <c r="I2421" s="9" t="s">
        <v>5234</v>
      </c>
      <c r="J2421" s="44">
        <v>21.65</v>
      </c>
      <c r="K2421" s="60">
        <v>13.37</v>
      </c>
      <c r="L2421" s="56">
        <v>9.58</v>
      </c>
      <c r="M2421" s="14">
        <f>K2421-L2421</f>
        <v>3.7899999999999991</v>
      </c>
      <c r="N2421" s="15">
        <f>IFERROR(M2421/K2421,0)</f>
        <v>0.2834704562453253</v>
      </c>
      <c r="O2421" s="14">
        <f>IFERROR(L2421/J2421,0)</f>
        <v>0.44249422632794461</v>
      </c>
      <c r="P2421" s="14">
        <f>IFERROR(L2421/G2421,0)</f>
        <v>0.24564102564102447</v>
      </c>
    </row>
    <row r="2422" spans="1:16" x14ac:dyDescent="0.3">
      <c r="A2422" s="9" t="s">
        <v>5008</v>
      </c>
      <c r="B2422" s="9" t="s">
        <v>18</v>
      </c>
      <c r="C2422" s="9" t="s">
        <v>184</v>
      </c>
      <c r="D2422" s="52">
        <v>46256</v>
      </c>
      <c r="E2422" s="48">
        <v>0.76736111111111116</v>
      </c>
      <c r="F2422" s="48">
        <v>0.77569444444444446</v>
      </c>
      <c r="G2422" s="43">
        <f>(F2422-E2422)*1440</f>
        <v>11.999999999999957</v>
      </c>
      <c r="H2422" s="9" t="s">
        <v>214</v>
      </c>
      <c r="I2422" s="9" t="s">
        <v>5235</v>
      </c>
      <c r="J2422" s="44">
        <v>8.73</v>
      </c>
      <c r="K2422" s="60">
        <v>7.94</v>
      </c>
      <c r="L2422" s="56">
        <v>5.4</v>
      </c>
      <c r="M2422" s="14">
        <f>K2422-L2422</f>
        <v>2.54</v>
      </c>
      <c r="N2422" s="15">
        <f>IFERROR(M2422/K2422,0)</f>
        <v>0.31989924433249367</v>
      </c>
      <c r="O2422" s="14">
        <f>IFERROR(L2422/J2422,0)</f>
        <v>0.61855670103092786</v>
      </c>
      <c r="P2422" s="14">
        <f>IFERROR(L2422/G2422,0)</f>
        <v>0.45000000000000162</v>
      </c>
    </row>
    <row r="2423" spans="1:16" x14ac:dyDescent="0.3">
      <c r="A2423" s="9" t="s">
        <v>5009</v>
      </c>
      <c r="B2423" s="9" t="s">
        <v>18</v>
      </c>
      <c r="C2423" s="9" t="s">
        <v>184</v>
      </c>
      <c r="D2423" s="52">
        <v>46256</v>
      </c>
      <c r="E2423" s="48">
        <v>0.80138888888888893</v>
      </c>
      <c r="F2423" s="48">
        <v>0.81041666666666667</v>
      </c>
      <c r="G2423" s="43">
        <f>(F2423-E2423)*1440</f>
        <v>12.999999999999954</v>
      </c>
      <c r="H2423" s="9" t="s">
        <v>3336</v>
      </c>
      <c r="I2423" s="9" t="s">
        <v>214</v>
      </c>
      <c r="J2423" s="44">
        <v>7.83</v>
      </c>
      <c r="K2423" s="60">
        <v>6.93</v>
      </c>
      <c r="L2423" s="56">
        <v>4.5</v>
      </c>
      <c r="M2423" s="14">
        <f>K2423-L2423</f>
        <v>2.4299999999999997</v>
      </c>
      <c r="N2423" s="15">
        <f>IFERROR(M2423/K2423,0)</f>
        <v>0.3506493506493506</v>
      </c>
      <c r="O2423" s="14">
        <f>IFERROR(L2423/J2423,0)</f>
        <v>0.57471264367816088</v>
      </c>
      <c r="P2423" s="14">
        <f>IFERROR(L2423/G2423,0)</f>
        <v>0.34615384615384737</v>
      </c>
    </row>
    <row r="2424" spans="1:16" x14ac:dyDescent="0.3">
      <c r="A2424" s="9" t="s">
        <v>5010</v>
      </c>
      <c r="B2424" s="9" t="s">
        <v>18</v>
      </c>
      <c r="C2424" s="9" t="s">
        <v>184</v>
      </c>
      <c r="D2424" s="52">
        <v>46256</v>
      </c>
      <c r="E2424" s="48">
        <v>0.81458333333333333</v>
      </c>
      <c r="F2424" s="48">
        <v>0.8256944444444444</v>
      </c>
      <c r="G2424" s="43">
        <f>(F2424-E2424)*1440</f>
        <v>15.999999999999943</v>
      </c>
      <c r="H2424" s="9" t="s">
        <v>214</v>
      </c>
      <c r="I2424" s="9" t="s">
        <v>5236</v>
      </c>
      <c r="J2424" s="44">
        <v>10.88</v>
      </c>
      <c r="K2424" s="60">
        <v>8.94</v>
      </c>
      <c r="L2424" s="56">
        <v>5.81</v>
      </c>
      <c r="M2424" s="14">
        <f>K2424-L2424</f>
        <v>3.13</v>
      </c>
      <c r="N2424" s="15">
        <f>IFERROR(M2424/K2424,0)</f>
        <v>0.35011185682326623</v>
      </c>
      <c r="O2424" s="14">
        <f>IFERROR(L2424/J2424,0)</f>
        <v>0.53400735294117641</v>
      </c>
      <c r="P2424" s="14">
        <f>IFERROR(L2424/G2424,0)</f>
        <v>0.36312500000000125</v>
      </c>
    </row>
    <row r="2425" spans="1:16" x14ac:dyDescent="0.3">
      <c r="A2425" s="9" t="s">
        <v>5011</v>
      </c>
      <c r="B2425" s="9" t="s">
        <v>18</v>
      </c>
      <c r="C2425" s="9" t="s">
        <v>230</v>
      </c>
      <c r="D2425" s="52">
        <v>46256</v>
      </c>
      <c r="E2425" s="48">
        <v>0.82152777777777775</v>
      </c>
      <c r="F2425" s="48">
        <v>0.83194444444444438</v>
      </c>
      <c r="G2425" s="43">
        <f>(F2425-E2425)*1440</f>
        <v>14.999999999999947</v>
      </c>
      <c r="H2425" s="9" t="s">
        <v>5237</v>
      </c>
      <c r="I2425" s="9" t="s">
        <v>5238</v>
      </c>
      <c r="J2425" s="44">
        <v>11.13</v>
      </c>
      <c r="K2425" s="60">
        <v>7.15</v>
      </c>
      <c r="L2425" s="56">
        <v>6.94</v>
      </c>
      <c r="M2425" s="14">
        <f>K2425-L2425</f>
        <v>0.20999999999999996</v>
      </c>
      <c r="N2425" s="15">
        <f>IFERROR(M2425/K2425,0)</f>
        <v>2.9370629370629363E-2</v>
      </c>
      <c r="O2425" s="14">
        <f>IFERROR(L2425/J2425,0)</f>
        <v>0.62353998203054806</v>
      </c>
      <c r="P2425" s="14">
        <f>IFERROR(L2425/G2425,0)</f>
        <v>0.46266666666666834</v>
      </c>
    </row>
    <row r="2426" spans="1:16" x14ac:dyDescent="0.3">
      <c r="A2426" s="9" t="s">
        <v>5012</v>
      </c>
      <c r="B2426" s="9" t="s">
        <v>26</v>
      </c>
      <c r="C2426" s="9" t="s">
        <v>27</v>
      </c>
      <c r="D2426" s="52">
        <v>46256</v>
      </c>
      <c r="E2426" s="48">
        <v>0.58124999999999993</v>
      </c>
      <c r="F2426" s="48">
        <v>0.59097222222222223</v>
      </c>
      <c r="G2426" s="43">
        <f>(F2426-E2426)*1440</f>
        <v>14.00000000000011</v>
      </c>
      <c r="H2426" s="9" t="s">
        <v>558</v>
      </c>
      <c r="I2426" s="9" t="s">
        <v>638</v>
      </c>
      <c r="J2426" s="44">
        <v>6.7</v>
      </c>
      <c r="K2426" s="60">
        <v>5.83</v>
      </c>
      <c r="L2426" s="56">
        <v>4.37</v>
      </c>
      <c r="M2426" s="14">
        <f>K2426-L2426</f>
        <v>1.46</v>
      </c>
      <c r="N2426" s="15">
        <f>IFERROR(M2426/K2426,0)</f>
        <v>0.2504288164665523</v>
      </c>
      <c r="O2426" s="14">
        <f>IFERROR(L2426/J2426,0)</f>
        <v>0.65223880597014927</v>
      </c>
      <c r="P2426" s="14">
        <f>IFERROR(L2426/G2426,0)</f>
        <v>0.31214285714285467</v>
      </c>
    </row>
    <row r="2427" spans="1:16" x14ac:dyDescent="0.3">
      <c r="A2427" s="9" t="s">
        <v>5013</v>
      </c>
      <c r="B2427" s="9" t="s">
        <v>26</v>
      </c>
      <c r="C2427" s="9" t="s">
        <v>27</v>
      </c>
      <c r="D2427" s="52">
        <v>46256</v>
      </c>
      <c r="E2427" s="48">
        <v>0.59513888888888888</v>
      </c>
      <c r="F2427" s="48">
        <v>0.59930555555555554</v>
      </c>
      <c r="G2427" s="43">
        <f>(F2427-E2427)*1440</f>
        <v>5.9999999999999787</v>
      </c>
      <c r="H2427" s="9" t="s">
        <v>5239</v>
      </c>
      <c r="I2427" s="9" t="s">
        <v>186</v>
      </c>
      <c r="J2427" s="44">
        <v>0.3</v>
      </c>
      <c r="K2427" s="60">
        <v>5</v>
      </c>
      <c r="L2427" s="56">
        <v>4</v>
      </c>
      <c r="M2427" s="14">
        <f>K2427-L2427</f>
        <v>1</v>
      </c>
      <c r="N2427" s="15">
        <f>IFERROR(M2427/K2427,0)</f>
        <v>0.2</v>
      </c>
      <c r="O2427" s="14">
        <f>IFERROR(L2427/J2427,0)</f>
        <v>13.333333333333334</v>
      </c>
      <c r="P2427" s="14">
        <f>IFERROR(L2427/G2427,0)</f>
        <v>0.66666666666666907</v>
      </c>
    </row>
    <row r="2428" spans="1:16" x14ac:dyDescent="0.3">
      <c r="A2428" s="9" t="s">
        <v>5014</v>
      </c>
      <c r="B2428" s="9" t="s">
        <v>26</v>
      </c>
      <c r="C2428" s="9" t="s">
        <v>26</v>
      </c>
      <c r="D2428" s="52">
        <v>46256</v>
      </c>
      <c r="E2428" s="48">
        <v>0.60069444444444442</v>
      </c>
      <c r="F2428" s="48">
        <v>0.6069444444444444</v>
      </c>
      <c r="G2428" s="43">
        <f>(F2428-E2428)*1440</f>
        <v>8.999999999999968</v>
      </c>
      <c r="H2428" s="9" t="s">
        <v>1132</v>
      </c>
      <c r="I2428" s="9" t="s">
        <v>5240</v>
      </c>
      <c r="J2428" s="44">
        <v>5.0999999999999996</v>
      </c>
      <c r="K2428" s="60">
        <v>5.51</v>
      </c>
      <c r="L2428" s="56">
        <v>4.59</v>
      </c>
      <c r="M2428" s="14">
        <f>K2428-L2428</f>
        <v>0.91999999999999993</v>
      </c>
      <c r="N2428" s="15">
        <f>IFERROR(M2428/K2428,0)</f>
        <v>0.16696914700544463</v>
      </c>
      <c r="O2428" s="14">
        <f>IFERROR(L2428/J2428,0)</f>
        <v>0.9</v>
      </c>
      <c r="P2428" s="14">
        <f>IFERROR(L2428/G2428,0)</f>
        <v>0.51000000000000179</v>
      </c>
    </row>
    <row r="2429" spans="1:16" x14ac:dyDescent="0.3">
      <c r="A2429" s="9" t="s">
        <v>5015</v>
      </c>
      <c r="B2429" s="9" t="s">
        <v>26</v>
      </c>
      <c r="C2429" s="9" t="s">
        <v>26</v>
      </c>
      <c r="D2429" s="52">
        <v>46256</v>
      </c>
      <c r="E2429" s="48">
        <v>0.65694444444444444</v>
      </c>
      <c r="F2429" s="48">
        <v>0.66527777777777775</v>
      </c>
      <c r="G2429" s="43">
        <f>(F2429-E2429)*1440</f>
        <v>11.999999999999957</v>
      </c>
      <c r="H2429" s="9" t="s">
        <v>5240</v>
      </c>
      <c r="I2429" s="9" t="s">
        <v>2238</v>
      </c>
      <c r="J2429" s="44">
        <v>5.9</v>
      </c>
      <c r="K2429" s="60">
        <v>5.99</v>
      </c>
      <c r="L2429" s="56">
        <v>4.49</v>
      </c>
      <c r="M2429" s="14">
        <f>K2429-L2429</f>
        <v>1.5</v>
      </c>
      <c r="N2429" s="15">
        <f>IFERROR(M2429/K2429,0)</f>
        <v>0.25041736227045075</v>
      </c>
      <c r="O2429" s="14">
        <f>IFERROR(L2429/J2429,0)</f>
        <v>0.76101694915254237</v>
      </c>
      <c r="P2429" s="14">
        <f>IFERROR(L2429/G2429,0)</f>
        <v>0.37416666666666804</v>
      </c>
    </row>
    <row r="2430" spans="1:16" x14ac:dyDescent="0.3">
      <c r="A2430" s="9" t="s">
        <v>5016</v>
      </c>
      <c r="B2430" s="9" t="s">
        <v>26</v>
      </c>
      <c r="C2430" s="9" t="s">
        <v>26</v>
      </c>
      <c r="D2430" s="52">
        <v>46256</v>
      </c>
      <c r="E2430" s="48">
        <v>0.70000000000000007</v>
      </c>
      <c r="F2430" s="48">
        <v>0.70486111111111116</v>
      </c>
      <c r="G2430" s="43">
        <f>(F2430-E2430)*1440</f>
        <v>6.9999999999999751</v>
      </c>
      <c r="H2430" s="9" t="s">
        <v>635</v>
      </c>
      <c r="I2430" s="9" t="s">
        <v>742</v>
      </c>
      <c r="J2430" s="44">
        <v>3.6</v>
      </c>
      <c r="K2430" s="60">
        <v>4.62</v>
      </c>
      <c r="L2430" s="56">
        <v>3.46</v>
      </c>
      <c r="M2430" s="14">
        <f>K2430-L2430</f>
        <v>1.1600000000000001</v>
      </c>
      <c r="N2430" s="15">
        <f>IFERROR(M2430/K2430,0)</f>
        <v>0.25108225108225113</v>
      </c>
      <c r="O2430" s="14">
        <f>IFERROR(L2430/J2430,0)</f>
        <v>0.96111111111111103</v>
      </c>
      <c r="P2430" s="14">
        <f>IFERROR(L2430/G2430,0)</f>
        <v>0.49428571428571605</v>
      </c>
    </row>
    <row r="2431" spans="1:16" x14ac:dyDescent="0.3">
      <c r="A2431" s="9" t="s">
        <v>5017</v>
      </c>
      <c r="B2431" s="9" t="s">
        <v>26</v>
      </c>
      <c r="C2431" s="9" t="s">
        <v>26</v>
      </c>
      <c r="D2431" s="52">
        <v>46256</v>
      </c>
      <c r="E2431" s="48">
        <v>0.70972222222222225</v>
      </c>
      <c r="F2431" s="48">
        <v>0.71597222222222223</v>
      </c>
      <c r="G2431" s="43">
        <f>(F2431-E2431)*1440</f>
        <v>8.999999999999968</v>
      </c>
      <c r="H2431" s="9" t="s">
        <v>5241</v>
      </c>
      <c r="I2431" s="9" t="s">
        <v>1120</v>
      </c>
      <c r="J2431" s="44">
        <v>5.4</v>
      </c>
      <c r="K2431" s="60">
        <v>5.7</v>
      </c>
      <c r="L2431" s="56">
        <v>4.5</v>
      </c>
      <c r="M2431" s="14">
        <f>K2431-L2431</f>
        <v>1.2000000000000002</v>
      </c>
      <c r="N2431" s="15">
        <f>IFERROR(M2431/K2431,0)</f>
        <v>0.2105263157894737</v>
      </c>
      <c r="O2431" s="14">
        <f>IFERROR(L2431/J2431,0)</f>
        <v>0.83333333333333326</v>
      </c>
      <c r="P2431" s="14">
        <f>IFERROR(L2431/G2431,0)</f>
        <v>0.50000000000000178</v>
      </c>
    </row>
    <row r="2432" spans="1:16" x14ac:dyDescent="0.3">
      <c r="A2432" s="9" t="s">
        <v>5018</v>
      </c>
      <c r="B2432" s="9" t="s">
        <v>26</v>
      </c>
      <c r="C2432" s="9" t="s">
        <v>26</v>
      </c>
      <c r="D2432" s="52">
        <v>46256</v>
      </c>
      <c r="E2432" s="48">
        <v>0.71875</v>
      </c>
      <c r="F2432" s="48">
        <v>0.74236111111111114</v>
      </c>
      <c r="G2432" s="43">
        <f>(F2432-E2432)*1440</f>
        <v>34.000000000000043</v>
      </c>
      <c r="H2432" s="9" t="s">
        <v>1120</v>
      </c>
      <c r="I2432" s="9" t="s">
        <v>2885</v>
      </c>
      <c r="J2432" s="44">
        <v>24.5</v>
      </c>
      <c r="K2432" s="60">
        <v>14.5</v>
      </c>
      <c r="L2432" s="56">
        <v>14.61</v>
      </c>
      <c r="M2432" s="14">
        <f>K2432-L2432</f>
        <v>-0.10999999999999943</v>
      </c>
      <c r="N2432" s="15">
        <f>IFERROR(M2432/K2432,0)</f>
        <v>-7.5862068965516852E-3</v>
      </c>
      <c r="O2432" s="14">
        <f>IFERROR(L2432/J2432,0)</f>
        <v>0.59632653061224483</v>
      </c>
      <c r="P2432" s="14">
        <f>IFERROR(L2432/G2432,0)</f>
        <v>0.4297058823529406</v>
      </c>
    </row>
    <row r="2433" spans="1:19" x14ac:dyDescent="0.3">
      <c r="A2433" s="9" t="s">
        <v>5019</v>
      </c>
      <c r="B2433" s="9" t="s">
        <v>26</v>
      </c>
      <c r="C2433" s="9" t="s">
        <v>26</v>
      </c>
      <c r="D2433" s="52">
        <v>46257</v>
      </c>
      <c r="E2433" s="48">
        <v>0.55902777777777779</v>
      </c>
      <c r="F2433" s="48">
        <v>0.57916666666666672</v>
      </c>
      <c r="G2433" s="43">
        <f>(F2433-E2433)*1440</f>
        <v>29.000000000000057</v>
      </c>
      <c r="H2433" s="9" t="s">
        <v>5242</v>
      </c>
      <c r="I2433" s="9" t="s">
        <v>5243</v>
      </c>
      <c r="J2433" s="44">
        <v>25.5</v>
      </c>
      <c r="K2433" s="60">
        <v>13.4</v>
      </c>
      <c r="L2433" s="56">
        <v>14.35</v>
      </c>
      <c r="M2433" s="14">
        <f>K2433-L2433</f>
        <v>-0.94999999999999929</v>
      </c>
      <c r="N2433" s="15">
        <f>IFERROR(M2433/K2433,0)</f>
        <v>-7.0895522388059642E-2</v>
      </c>
      <c r="O2433" s="14">
        <f>IFERROR(L2433/J2433,0)</f>
        <v>0.56274509803921569</v>
      </c>
      <c r="P2433" s="14">
        <f>IFERROR(L2433/G2433,0)</f>
        <v>0.49482758620689554</v>
      </c>
    </row>
    <row r="2434" spans="1:19" x14ac:dyDescent="0.3">
      <c r="A2434" s="9" t="s">
        <v>5020</v>
      </c>
      <c r="B2434" s="9" t="s">
        <v>26</v>
      </c>
      <c r="C2434" s="9" t="s">
        <v>27</v>
      </c>
      <c r="D2434" s="52">
        <v>46257</v>
      </c>
      <c r="E2434" s="48">
        <v>0.58888888888888891</v>
      </c>
      <c r="F2434" s="48">
        <v>0.60277777777777775</v>
      </c>
      <c r="G2434" s="43">
        <f>(F2434-E2434)*1440</f>
        <v>19.999999999999929</v>
      </c>
      <c r="H2434" s="9" t="s">
        <v>5244</v>
      </c>
      <c r="I2434" s="9" t="s">
        <v>530</v>
      </c>
      <c r="J2434" s="44">
        <v>15.8</v>
      </c>
      <c r="K2434" s="60">
        <v>9.91</v>
      </c>
      <c r="L2434" s="56">
        <v>7.43</v>
      </c>
      <c r="M2434" s="14">
        <f>K2434-L2434</f>
        <v>2.4800000000000004</v>
      </c>
      <c r="N2434" s="15">
        <f>IFERROR(M2434/K2434,0)</f>
        <v>0.25025227043390519</v>
      </c>
      <c r="O2434" s="14">
        <f>IFERROR(L2434/J2434,0)</f>
        <v>0.47025316455696198</v>
      </c>
      <c r="P2434" s="14">
        <f>IFERROR(L2434/G2434,0)</f>
        <v>0.37150000000000133</v>
      </c>
    </row>
    <row r="2435" spans="1:19" x14ac:dyDescent="0.3">
      <c r="A2435" s="9" t="s">
        <v>5021</v>
      </c>
      <c r="B2435" s="9" t="s">
        <v>26</v>
      </c>
      <c r="C2435" s="9" t="s">
        <v>26</v>
      </c>
      <c r="D2435" s="52">
        <v>46257</v>
      </c>
      <c r="E2435" s="48">
        <v>0.6875</v>
      </c>
      <c r="F2435" s="48">
        <v>0.69791666666666663</v>
      </c>
      <c r="G2435" s="43">
        <f>(F2435-E2435)*1440</f>
        <v>14.999999999999947</v>
      </c>
      <c r="H2435" s="9" t="s">
        <v>5245</v>
      </c>
      <c r="I2435" s="9" t="s">
        <v>4577</v>
      </c>
      <c r="J2435" s="44">
        <v>3.8</v>
      </c>
      <c r="K2435" s="60">
        <v>4.62</v>
      </c>
      <c r="L2435" s="56">
        <v>3.46</v>
      </c>
      <c r="M2435" s="14">
        <f>K2435-L2435</f>
        <v>1.1600000000000001</v>
      </c>
      <c r="N2435" s="15">
        <f>IFERROR(M2435/K2435,0)</f>
        <v>0.25108225108225113</v>
      </c>
      <c r="O2435" s="14">
        <f>IFERROR(L2435/J2435,0)</f>
        <v>0.91052631578947374</v>
      </c>
      <c r="P2435" s="14">
        <f>IFERROR(L2435/G2435,0)</f>
        <v>0.23066666666666749</v>
      </c>
    </row>
    <row r="2436" spans="1:19" x14ac:dyDescent="0.3">
      <c r="A2436" s="9" t="s">
        <v>5022</v>
      </c>
      <c r="B2436" s="9" t="s">
        <v>26</v>
      </c>
      <c r="C2436" s="9" t="s">
        <v>27</v>
      </c>
      <c r="D2436" s="52">
        <v>46257</v>
      </c>
      <c r="E2436" s="48">
        <v>0.70208333333333339</v>
      </c>
      <c r="F2436" s="48">
        <v>0.71111111111111114</v>
      </c>
      <c r="G2436" s="43">
        <f>(F2436-E2436)*1440</f>
        <v>12.999999999999954</v>
      </c>
      <c r="H2436" s="9" t="s">
        <v>5246</v>
      </c>
      <c r="I2436" s="9" t="s">
        <v>5247</v>
      </c>
      <c r="J2436" s="44">
        <v>7.5</v>
      </c>
      <c r="K2436" s="60">
        <v>5.66</v>
      </c>
      <c r="L2436" s="56">
        <v>4.66</v>
      </c>
      <c r="M2436" s="14">
        <f>K2436-L2436</f>
        <v>1</v>
      </c>
      <c r="N2436" s="15">
        <f>IFERROR(M2436/K2436,0)</f>
        <v>0.17667844522968199</v>
      </c>
      <c r="O2436" s="14">
        <f>IFERROR(L2436/J2436,0)</f>
        <v>0.6213333333333334</v>
      </c>
      <c r="P2436" s="14">
        <f>IFERROR(L2436/G2436,0)</f>
        <v>0.35846153846153972</v>
      </c>
    </row>
    <row r="2437" spans="1:19" x14ac:dyDescent="0.3">
      <c r="A2437" s="9" t="s">
        <v>5023</v>
      </c>
      <c r="B2437" s="9" t="s">
        <v>26</v>
      </c>
      <c r="C2437" s="9" t="s">
        <v>26</v>
      </c>
      <c r="D2437" s="52">
        <v>46257</v>
      </c>
      <c r="E2437" s="48">
        <v>0.74722222222222223</v>
      </c>
      <c r="F2437" s="48">
        <v>0.75763888888888886</v>
      </c>
      <c r="G2437" s="43">
        <f>(F2437-E2437)*1440</f>
        <v>14.999999999999947</v>
      </c>
      <c r="H2437" s="9" t="s">
        <v>5254</v>
      </c>
      <c r="I2437" s="9" t="s">
        <v>1120</v>
      </c>
      <c r="J2437" s="44">
        <v>5.8</v>
      </c>
      <c r="K2437" s="60">
        <v>6.99</v>
      </c>
      <c r="L2437" s="56">
        <v>5.24</v>
      </c>
      <c r="M2437" s="14">
        <f>K2437-L2437</f>
        <v>1.75</v>
      </c>
      <c r="N2437" s="15">
        <f>IFERROR(M2437/K2437,0)</f>
        <v>0.25035765379113017</v>
      </c>
      <c r="O2437" s="14">
        <f>IFERROR(L2437/J2437,0)</f>
        <v>0.90344827586206899</v>
      </c>
      <c r="P2437" s="14">
        <f>IFERROR(L2437/G2437,0)</f>
        <v>0.34933333333333461</v>
      </c>
    </row>
    <row r="2438" spans="1:19" x14ac:dyDescent="0.3">
      <c r="A2438" s="9" t="s">
        <v>5024</v>
      </c>
      <c r="B2438" s="9" t="s">
        <v>26</v>
      </c>
      <c r="C2438" s="9" t="s">
        <v>27</v>
      </c>
      <c r="D2438" s="52">
        <v>46257</v>
      </c>
      <c r="E2438" s="48">
        <v>0.76111111111111107</v>
      </c>
      <c r="F2438" s="48">
        <v>0.77500000000000002</v>
      </c>
      <c r="G2438" s="43">
        <f>(F2438-E2438)*1440</f>
        <v>20.000000000000089</v>
      </c>
      <c r="H2438" s="9" t="s">
        <v>5248</v>
      </c>
      <c r="I2438" s="9" t="s">
        <v>5249</v>
      </c>
      <c r="J2438" s="44">
        <v>8.6</v>
      </c>
      <c r="K2438" s="60">
        <v>7.62</v>
      </c>
      <c r="L2438" s="56">
        <v>5.71</v>
      </c>
      <c r="M2438" s="14">
        <f>K2438-L2438</f>
        <v>1.9100000000000001</v>
      </c>
      <c r="N2438" s="15">
        <f>IFERROR(M2438/K2438,0)</f>
        <v>0.25065616797900264</v>
      </c>
      <c r="O2438" s="14">
        <f>IFERROR(L2438/J2438,0)</f>
        <v>0.663953488372093</v>
      </c>
      <c r="P2438" s="14">
        <f>IFERROR(L2438/G2438,0)</f>
        <v>0.28549999999999875</v>
      </c>
    </row>
    <row r="2439" spans="1:19" x14ac:dyDescent="0.3">
      <c r="A2439" s="9" t="s">
        <v>5025</v>
      </c>
      <c r="B2439" s="9" t="s">
        <v>26</v>
      </c>
      <c r="C2439" s="9" t="s">
        <v>27</v>
      </c>
      <c r="D2439" s="52">
        <v>46257</v>
      </c>
      <c r="E2439" s="48">
        <v>0.77569444444444446</v>
      </c>
      <c r="F2439" s="48">
        <v>0.78680555555555554</v>
      </c>
      <c r="G2439" s="43">
        <f>(F2439-E2439)*1440</f>
        <v>15.999999999999943</v>
      </c>
      <c r="H2439" s="9" t="s">
        <v>5249</v>
      </c>
      <c r="I2439" s="9" t="s">
        <v>214</v>
      </c>
      <c r="J2439" s="44">
        <v>9.3000000000000007</v>
      </c>
      <c r="K2439" s="60">
        <v>4.7</v>
      </c>
      <c r="L2439" s="56">
        <v>5.87</v>
      </c>
      <c r="M2439" s="14">
        <f>K2439-L2439</f>
        <v>-1.17</v>
      </c>
      <c r="N2439" s="15">
        <f>IFERROR(M2439/K2439,0)</f>
        <v>-0.24893617021276593</v>
      </c>
      <c r="O2439" s="14">
        <f>IFERROR(L2439/J2439,0)</f>
        <v>0.63118279569892466</v>
      </c>
      <c r="P2439" s="14">
        <f>IFERROR(L2439/G2439,0)</f>
        <v>0.36687500000000128</v>
      </c>
    </row>
    <row r="2440" spans="1:19" x14ac:dyDescent="0.3">
      <c r="A2440" s="9" t="s">
        <v>5026</v>
      </c>
      <c r="B2440" s="9" t="s">
        <v>18</v>
      </c>
      <c r="C2440" s="9" t="s">
        <v>196</v>
      </c>
      <c r="D2440" s="52">
        <v>46257</v>
      </c>
      <c r="E2440" s="48">
        <v>0.60277777777777775</v>
      </c>
      <c r="F2440" s="48">
        <v>0.60625000000000007</v>
      </c>
      <c r="G2440" s="43">
        <f>(F2440-E2440)*1440</f>
        <v>5.0000000000001421</v>
      </c>
      <c r="H2440" s="9" t="s">
        <v>1207</v>
      </c>
      <c r="I2440" s="9" t="s">
        <v>5250</v>
      </c>
      <c r="J2440" s="44">
        <v>1.55</v>
      </c>
      <c r="K2440" s="60">
        <v>6.36</v>
      </c>
      <c r="L2440" s="56">
        <v>4.12</v>
      </c>
      <c r="M2440" s="14">
        <f>K2440-L2440</f>
        <v>2.2400000000000002</v>
      </c>
      <c r="N2440" s="15">
        <f>IFERROR(M2440/K2440,0)</f>
        <v>0.35220125786163525</v>
      </c>
      <c r="O2440" s="14">
        <f>IFERROR(L2440/J2440,0)</f>
        <v>2.6580645161290324</v>
      </c>
      <c r="P2440" s="14">
        <f>IFERROR(L2440/G2440,0)</f>
        <v>0.82399999999997664</v>
      </c>
    </row>
    <row r="2441" spans="1:19" x14ac:dyDescent="0.3">
      <c r="A2441" s="9" t="s">
        <v>5027</v>
      </c>
      <c r="B2441" s="9" t="s">
        <v>18</v>
      </c>
      <c r="C2441" s="9" t="s">
        <v>184</v>
      </c>
      <c r="D2441" s="52">
        <v>46257</v>
      </c>
      <c r="E2441" s="48">
        <v>0.61111111111111105</v>
      </c>
      <c r="F2441" s="48">
        <v>0.61944444444444446</v>
      </c>
      <c r="G2441" s="43">
        <f>(F2441-E2441)*1440</f>
        <v>12.000000000000117</v>
      </c>
      <c r="H2441" s="9" t="s">
        <v>5250</v>
      </c>
      <c r="I2441" s="9" t="s">
        <v>3321</v>
      </c>
      <c r="J2441" s="44">
        <v>9.41</v>
      </c>
      <c r="K2441" s="60">
        <v>6.93</v>
      </c>
      <c r="L2441" s="56">
        <v>5.23</v>
      </c>
      <c r="M2441" s="14">
        <f>K2441-L2441</f>
        <v>1.6999999999999993</v>
      </c>
      <c r="N2441" s="15">
        <f>IFERROR(M2441/K2441,0)</f>
        <v>0.24531024531024523</v>
      </c>
      <c r="O2441" s="14">
        <f>IFERROR(L2441/J2441,0)</f>
        <v>0.55579171094580238</v>
      </c>
      <c r="P2441" s="14">
        <f>IFERROR(L2441/G2441,0)</f>
        <v>0.43583333333332913</v>
      </c>
    </row>
    <row r="2442" spans="1:19" x14ac:dyDescent="0.3">
      <c r="A2442" s="9" t="s">
        <v>5028</v>
      </c>
      <c r="B2442" s="9" t="s">
        <v>18</v>
      </c>
      <c r="C2442" s="9" t="s">
        <v>184</v>
      </c>
      <c r="D2442" s="52">
        <v>46257</v>
      </c>
      <c r="E2442" s="48">
        <v>0.62847222222222221</v>
      </c>
      <c r="F2442" s="48">
        <v>0.64027777777777783</v>
      </c>
      <c r="G2442" s="43">
        <f>(F2442-E2442)*1440</f>
        <v>17.000000000000099</v>
      </c>
      <c r="H2442" s="9" t="s">
        <v>886</v>
      </c>
      <c r="I2442" s="9" t="s">
        <v>5251</v>
      </c>
      <c r="J2442" s="44">
        <v>10.64</v>
      </c>
      <c r="K2442" s="60">
        <v>6.94</v>
      </c>
      <c r="L2442" s="56">
        <v>6.08</v>
      </c>
      <c r="M2442" s="14">
        <f>K2442-L2442</f>
        <v>0.86000000000000032</v>
      </c>
      <c r="N2442" s="15">
        <f>IFERROR(M2442/K2442,0)</f>
        <v>0.12391930835734874</v>
      </c>
      <c r="O2442" s="14">
        <f>IFERROR(L2442/J2442,0)</f>
        <v>0.5714285714285714</v>
      </c>
      <c r="P2442" s="14">
        <f>IFERROR(L2442/G2442,0)</f>
        <v>0.35764705882352732</v>
      </c>
    </row>
    <row r="2443" spans="1:19" x14ac:dyDescent="0.3">
      <c r="A2443" s="9" t="s">
        <v>5029</v>
      </c>
      <c r="B2443" s="9" t="s">
        <v>18</v>
      </c>
      <c r="C2443" s="9" t="s">
        <v>184</v>
      </c>
      <c r="D2443" s="52">
        <v>46257</v>
      </c>
      <c r="E2443" s="48">
        <v>0.67152777777777783</v>
      </c>
      <c r="F2443" s="48">
        <v>0.68125000000000002</v>
      </c>
      <c r="G2443" s="43">
        <f>(F2443-E2443)*1440</f>
        <v>13.99999999999995</v>
      </c>
      <c r="H2443" s="9" t="s">
        <v>5252</v>
      </c>
      <c r="I2443" s="9" t="s">
        <v>1240</v>
      </c>
      <c r="J2443" s="44">
        <v>10.84</v>
      </c>
      <c r="K2443" s="60">
        <v>7.94</v>
      </c>
      <c r="L2443" s="56">
        <v>5.49</v>
      </c>
      <c r="M2443" s="14">
        <f>K2443-L2443</f>
        <v>2.4500000000000002</v>
      </c>
      <c r="N2443" s="15">
        <f>IFERROR(M2443/K2443,0)</f>
        <v>0.30856423173803527</v>
      </c>
      <c r="O2443" s="14">
        <f>IFERROR(L2443/J2443,0)</f>
        <v>0.50645756457564584</v>
      </c>
      <c r="P2443" s="14">
        <f>IFERROR(L2443/G2443,0)</f>
        <v>0.39214285714285857</v>
      </c>
    </row>
    <row r="2444" spans="1:19" x14ac:dyDescent="0.3">
      <c r="A2444" s="9" t="s">
        <v>5030</v>
      </c>
      <c r="B2444" s="9" t="s">
        <v>18</v>
      </c>
      <c r="C2444" s="9" t="s">
        <v>184</v>
      </c>
      <c r="D2444" s="52">
        <v>46257</v>
      </c>
      <c r="E2444" s="48">
        <v>0.71388888888888891</v>
      </c>
      <c r="F2444" s="48">
        <v>0.72222222222222221</v>
      </c>
      <c r="G2444" s="43">
        <f>(F2444-E2444)*1440</f>
        <v>11.999999999999957</v>
      </c>
      <c r="H2444" s="9" t="s">
        <v>2533</v>
      </c>
      <c r="I2444" s="9" t="s">
        <v>729</v>
      </c>
      <c r="J2444" s="44">
        <v>6.52</v>
      </c>
      <c r="K2444" s="60">
        <v>5.94</v>
      </c>
      <c r="L2444" s="56">
        <v>5.09</v>
      </c>
      <c r="M2444" s="14">
        <f>K2444-L2444</f>
        <v>0.85000000000000053</v>
      </c>
      <c r="N2444" s="15">
        <f>IFERROR(M2444/K2444,0)</f>
        <v>0.14309764309764317</v>
      </c>
      <c r="O2444" s="14">
        <f>IFERROR(L2444/J2444,0)</f>
        <v>0.78067484662576692</v>
      </c>
      <c r="P2444" s="14">
        <f>IFERROR(L2444/G2444,0)</f>
        <v>0.42416666666666814</v>
      </c>
    </row>
    <row r="2445" spans="1:19" x14ac:dyDescent="0.3">
      <c r="A2445" s="9" t="s">
        <v>5031</v>
      </c>
      <c r="B2445" s="9" t="s">
        <v>18</v>
      </c>
      <c r="C2445" s="9" t="s">
        <v>184</v>
      </c>
      <c r="D2445" s="52">
        <v>46257</v>
      </c>
      <c r="E2445" s="48">
        <v>0.72499999999999998</v>
      </c>
      <c r="F2445" s="48">
        <v>0.73402777777777783</v>
      </c>
      <c r="G2445" s="43">
        <f>(F2445-E2445)*1440</f>
        <v>13.000000000000114</v>
      </c>
      <c r="H2445" s="9" t="s">
        <v>560</v>
      </c>
      <c r="I2445" s="9" t="s">
        <v>648</v>
      </c>
      <c r="J2445" s="44">
        <v>7.96</v>
      </c>
      <c r="K2445" s="60">
        <v>7.94</v>
      </c>
      <c r="L2445" s="56">
        <v>5.72</v>
      </c>
      <c r="M2445" s="14">
        <f>K2445-L2445</f>
        <v>2.2200000000000006</v>
      </c>
      <c r="N2445" s="15">
        <f>IFERROR(M2445/K2445,0)</f>
        <v>0.27959697732997491</v>
      </c>
      <c r="O2445" s="14">
        <f>IFERROR(L2445/J2445,0)</f>
        <v>0.71859296482412061</v>
      </c>
      <c r="P2445" s="14">
        <f>IFERROR(L2445/G2445,0)</f>
        <v>0.43999999999999612</v>
      </c>
      <c r="S2445" s="61">
        <v>1</v>
      </c>
    </row>
    <row r="2446" spans="1:19" x14ac:dyDescent="0.3">
      <c r="A2446" s="9" t="s">
        <v>5032</v>
      </c>
      <c r="B2446" s="9" t="s">
        <v>18</v>
      </c>
      <c r="C2446" s="9" t="s">
        <v>184</v>
      </c>
      <c r="D2446" s="52">
        <v>46257</v>
      </c>
      <c r="E2446" s="48">
        <v>0.81319444444444444</v>
      </c>
      <c r="F2446" s="48">
        <v>0.8222222222222223</v>
      </c>
      <c r="G2446" s="43">
        <f>(F2446-E2446)*1440</f>
        <v>13.000000000000114</v>
      </c>
      <c r="H2446" s="9" t="s">
        <v>214</v>
      </c>
      <c r="I2446" s="9" t="s">
        <v>5253</v>
      </c>
      <c r="J2446" s="44">
        <v>8.26</v>
      </c>
      <c r="K2446" s="60">
        <v>7.12</v>
      </c>
      <c r="L2446" s="56">
        <v>4.88</v>
      </c>
      <c r="M2446" s="14">
        <f>K2446-L2446</f>
        <v>2.2400000000000002</v>
      </c>
      <c r="N2446" s="15">
        <f>IFERROR(M2446/K2446,0)</f>
        <v>0.31460674157303375</v>
      </c>
      <c r="O2446" s="14">
        <f>IFERROR(L2446/J2446,0)</f>
        <v>0.59079903147699753</v>
      </c>
      <c r="P2446" s="14">
        <f>IFERROR(L2446/G2446,0)</f>
        <v>0.3753846153846121</v>
      </c>
    </row>
    <row r="2447" spans="1:19" x14ac:dyDescent="0.3">
      <c r="A2447" s="9" t="s">
        <v>5033</v>
      </c>
      <c r="B2447" s="9" t="s">
        <v>18</v>
      </c>
      <c r="C2447" s="9" t="s">
        <v>184</v>
      </c>
      <c r="D2447" s="52">
        <v>46258</v>
      </c>
      <c r="E2447" s="48">
        <v>0.61527777777777781</v>
      </c>
      <c r="F2447" s="48">
        <v>0.625</v>
      </c>
      <c r="G2447" s="43">
        <f>(F2447-E2447)*1440</f>
        <v>13.99999999999995</v>
      </c>
      <c r="H2447" s="9" t="s">
        <v>5255</v>
      </c>
      <c r="I2447" s="9" t="s">
        <v>5256</v>
      </c>
      <c r="J2447" s="44">
        <v>10.68</v>
      </c>
      <c r="K2447" s="60">
        <v>7.95</v>
      </c>
      <c r="L2447" s="56">
        <v>5.41</v>
      </c>
      <c r="M2447" s="14">
        <f>K2447-L2447</f>
        <v>2.54</v>
      </c>
      <c r="N2447" s="15">
        <f>IFERROR(M2447/K2447,0)</f>
        <v>0.31949685534591193</v>
      </c>
      <c r="O2447" s="14">
        <f>IFERROR(L2447/J2447,0)</f>
        <v>0.50655430711610494</v>
      </c>
      <c r="P2447" s="14">
        <f>IFERROR(L2447/G2447,0)</f>
        <v>0.38642857142857279</v>
      </c>
    </row>
    <row r="2448" spans="1:19" x14ac:dyDescent="0.3">
      <c r="A2448" s="9" t="s">
        <v>5034</v>
      </c>
      <c r="B2448" s="9" t="s">
        <v>18</v>
      </c>
      <c r="C2448" s="9" t="s">
        <v>184</v>
      </c>
      <c r="D2448" s="52">
        <v>46258</v>
      </c>
      <c r="E2448" s="48">
        <v>0.62777777777777777</v>
      </c>
      <c r="F2448" s="48">
        <v>0.63472222222222219</v>
      </c>
      <c r="G2448" s="43">
        <f>(F2448-E2448)*1440</f>
        <v>9.9999999999999645</v>
      </c>
      <c r="H2448" s="9" t="s">
        <v>5257</v>
      </c>
      <c r="I2448" s="9" t="s">
        <v>5258</v>
      </c>
      <c r="J2448" s="44">
        <v>6.72</v>
      </c>
      <c r="K2448" s="60">
        <v>5</v>
      </c>
      <c r="L2448" s="56">
        <v>4.37</v>
      </c>
      <c r="M2448" s="14">
        <f>K2448-L2448</f>
        <v>0.62999999999999989</v>
      </c>
      <c r="N2448" s="15">
        <f>IFERROR(M2448/K2448,0)</f>
        <v>0.12599999999999997</v>
      </c>
      <c r="O2448" s="14">
        <f>IFERROR(L2448/J2448,0)</f>
        <v>0.65029761904761907</v>
      </c>
      <c r="P2448" s="14">
        <f>IFERROR(L2448/G2448,0)</f>
        <v>0.43700000000000155</v>
      </c>
    </row>
    <row r="2449" spans="1:16" x14ac:dyDescent="0.3">
      <c r="A2449" s="9" t="s">
        <v>5035</v>
      </c>
      <c r="B2449" s="9" t="s">
        <v>18</v>
      </c>
      <c r="C2449" s="9" t="s">
        <v>184</v>
      </c>
      <c r="D2449" s="52">
        <v>46258</v>
      </c>
      <c r="E2449" s="48">
        <v>0.7895833333333333</v>
      </c>
      <c r="F2449" s="48">
        <v>0.80208333333333337</v>
      </c>
      <c r="G2449" s="43">
        <f>(F2449-E2449)*1440</f>
        <v>18.000000000000096</v>
      </c>
      <c r="H2449" s="9" t="s">
        <v>5259</v>
      </c>
      <c r="I2449" s="9" t="s">
        <v>5260</v>
      </c>
      <c r="J2449" s="44">
        <v>12.37</v>
      </c>
      <c r="K2449" s="60">
        <v>8.9600000000000009</v>
      </c>
      <c r="L2449" s="56">
        <v>5.82</v>
      </c>
      <c r="M2449" s="14">
        <f>K2449-L2449</f>
        <v>3.1400000000000006</v>
      </c>
      <c r="N2449" s="15">
        <f>IFERROR(M2449/K2449,0)</f>
        <v>0.3504464285714286</v>
      </c>
      <c r="O2449" s="14">
        <f>IFERROR(L2449/J2449,0)</f>
        <v>0.4704931285367826</v>
      </c>
      <c r="P2449" s="14">
        <f>IFERROR(L2449/G2449,0)</f>
        <v>0.32333333333333164</v>
      </c>
    </row>
    <row r="2450" spans="1:16" x14ac:dyDescent="0.3">
      <c r="A2450" s="9" t="s">
        <v>5036</v>
      </c>
      <c r="B2450" s="9" t="s">
        <v>18</v>
      </c>
      <c r="C2450" s="9" t="s">
        <v>184</v>
      </c>
      <c r="D2450" s="52">
        <v>46258</v>
      </c>
      <c r="E2450" s="48">
        <v>0.80347222222222225</v>
      </c>
      <c r="F2450" s="48">
        <v>0.81111111111111101</v>
      </c>
      <c r="G2450" s="43">
        <f>(F2450-E2450)*1440</f>
        <v>10.999999999999801</v>
      </c>
      <c r="H2450" s="9" t="s">
        <v>5154</v>
      </c>
      <c r="I2450" s="9" t="s">
        <v>582</v>
      </c>
      <c r="J2450" s="44">
        <v>8.36</v>
      </c>
      <c r="K2450" s="60">
        <v>6.95</v>
      </c>
      <c r="L2450" s="56">
        <v>4.76</v>
      </c>
      <c r="M2450" s="14">
        <f>K2450-L2450</f>
        <v>2.1900000000000004</v>
      </c>
      <c r="N2450" s="15">
        <f>IFERROR(M2450/K2450,0)</f>
        <v>0.31510791366906482</v>
      </c>
      <c r="O2450" s="14">
        <f>IFERROR(L2450/J2450,0)</f>
        <v>0.56937799043062198</v>
      </c>
      <c r="P2450" s="14">
        <f>IFERROR(L2450/G2450,0)</f>
        <v>0.43272727272728051</v>
      </c>
    </row>
    <row r="2451" spans="1:16" x14ac:dyDescent="0.3">
      <c r="A2451" s="9" t="s">
        <v>5037</v>
      </c>
      <c r="B2451" s="9" t="s">
        <v>18</v>
      </c>
      <c r="C2451" s="9" t="s">
        <v>184</v>
      </c>
      <c r="D2451" s="52">
        <v>46258</v>
      </c>
      <c r="E2451" s="48">
        <v>0.82986111111111116</v>
      </c>
      <c r="F2451" s="48">
        <v>0.83819444444444446</v>
      </c>
      <c r="G2451" s="43">
        <f>(F2451-E2451)*1440</f>
        <v>11.999999999999957</v>
      </c>
      <c r="H2451" s="9" t="s">
        <v>648</v>
      </c>
      <c r="I2451" s="9" t="s">
        <v>5261</v>
      </c>
      <c r="J2451" s="44">
        <v>7.7</v>
      </c>
      <c r="K2451" s="60">
        <v>5.96</v>
      </c>
      <c r="L2451" s="56">
        <v>4.49</v>
      </c>
      <c r="M2451" s="14">
        <f>K2451-L2451</f>
        <v>1.4699999999999998</v>
      </c>
      <c r="N2451" s="15">
        <f>IFERROR(M2451/K2451,0)</f>
        <v>0.24664429530201337</v>
      </c>
      <c r="O2451" s="14">
        <f>IFERROR(L2451/J2451,0)</f>
        <v>0.58311688311688314</v>
      </c>
      <c r="P2451" s="14">
        <f>IFERROR(L2451/G2451,0)</f>
        <v>0.37416666666666804</v>
      </c>
    </row>
    <row r="2452" spans="1:16" x14ac:dyDescent="0.3">
      <c r="A2452" s="9" t="s">
        <v>5038</v>
      </c>
      <c r="B2452" s="9" t="s">
        <v>26</v>
      </c>
      <c r="C2452" s="9" t="s">
        <v>26</v>
      </c>
      <c r="D2452" s="52">
        <v>46258</v>
      </c>
      <c r="E2452" s="48">
        <v>0.55208333333333337</v>
      </c>
      <c r="F2452" s="48">
        <v>0.56874999999999998</v>
      </c>
      <c r="G2452" s="43">
        <f>(F2452-E2452)*1440</f>
        <v>23.999999999999915</v>
      </c>
      <c r="H2452" s="9" t="s">
        <v>2509</v>
      </c>
      <c r="I2452" s="9" t="s">
        <v>696</v>
      </c>
      <c r="J2452" s="44">
        <v>19.8</v>
      </c>
      <c r="K2452" s="60">
        <v>13.99</v>
      </c>
      <c r="L2452" s="56">
        <v>11.16</v>
      </c>
      <c r="M2452" s="14">
        <f>K2452-L2452</f>
        <v>2.83</v>
      </c>
      <c r="N2452" s="15">
        <f>IFERROR(M2452/K2452,0)</f>
        <v>0.20228734810578985</v>
      </c>
      <c r="O2452" s="14">
        <f>IFERROR(L2452/J2452,0)</f>
        <v>0.5636363636363636</v>
      </c>
      <c r="P2452" s="14">
        <f>IFERROR(L2452/G2452,0)</f>
        <v>0.46500000000000163</v>
      </c>
    </row>
    <row r="2453" spans="1:16" x14ac:dyDescent="0.3">
      <c r="A2453" s="9" t="s">
        <v>5039</v>
      </c>
      <c r="B2453" s="9" t="s">
        <v>26</v>
      </c>
      <c r="C2453" s="9" t="s">
        <v>26</v>
      </c>
      <c r="D2453" s="52">
        <v>46258</v>
      </c>
      <c r="E2453" s="48">
        <v>0.60138888888888886</v>
      </c>
      <c r="F2453" s="48">
        <v>0.61597222222222225</v>
      </c>
      <c r="G2453" s="43">
        <f>(F2453-E2453)*1440</f>
        <v>21.000000000000085</v>
      </c>
      <c r="H2453" s="9" t="s">
        <v>5262</v>
      </c>
      <c r="I2453" s="9" t="s">
        <v>1821</v>
      </c>
      <c r="J2453" s="44">
        <v>13.2</v>
      </c>
      <c r="K2453" s="60">
        <v>8.9700000000000006</v>
      </c>
      <c r="L2453" s="56">
        <v>6.73</v>
      </c>
      <c r="M2453" s="14">
        <f>K2453-L2453</f>
        <v>2.2400000000000002</v>
      </c>
      <c r="N2453" s="15">
        <f>IFERROR(M2453/K2453,0)</f>
        <v>0.24972129319955408</v>
      </c>
      <c r="O2453" s="14">
        <f>IFERROR(L2453/J2453,0)</f>
        <v>0.50984848484848488</v>
      </c>
      <c r="P2453" s="14">
        <f>IFERROR(L2453/G2453,0)</f>
        <v>0.32047619047618919</v>
      </c>
    </row>
    <row r="2454" spans="1:16" x14ac:dyDescent="0.3">
      <c r="A2454" s="9" t="s">
        <v>5040</v>
      </c>
      <c r="B2454" s="9" t="s">
        <v>26</v>
      </c>
      <c r="C2454" s="9" t="s">
        <v>26</v>
      </c>
      <c r="D2454" s="52">
        <v>46258</v>
      </c>
      <c r="E2454" s="48">
        <v>0.65</v>
      </c>
      <c r="F2454" s="48">
        <v>0.65972222222222221</v>
      </c>
      <c r="G2454" s="43">
        <f>(F2454-E2454)*1440</f>
        <v>13.99999999999995</v>
      </c>
      <c r="H2454" s="9" t="s">
        <v>1752</v>
      </c>
      <c r="I2454" s="9" t="s">
        <v>2931</v>
      </c>
      <c r="J2454" s="44">
        <v>8.6999999999999993</v>
      </c>
      <c r="K2454" s="60">
        <v>6.99</v>
      </c>
      <c r="L2454" s="56">
        <v>5.24</v>
      </c>
      <c r="M2454" s="14">
        <f>K2454-L2454</f>
        <v>1.75</v>
      </c>
      <c r="N2454" s="15">
        <f>IFERROR(M2454/K2454,0)</f>
        <v>0.25035765379113017</v>
      </c>
      <c r="O2454" s="14">
        <f>IFERROR(L2454/J2454,0)</f>
        <v>0.60229885057471266</v>
      </c>
      <c r="P2454" s="14">
        <f>IFERROR(L2454/G2454,0)</f>
        <v>0.37428571428571561</v>
      </c>
    </row>
    <row r="2455" spans="1:16" x14ac:dyDescent="0.3">
      <c r="A2455" s="9" t="s">
        <v>5041</v>
      </c>
      <c r="B2455" s="9" t="s">
        <v>26</v>
      </c>
      <c r="C2455" s="9" t="s">
        <v>27</v>
      </c>
      <c r="D2455" s="52">
        <v>46258</v>
      </c>
      <c r="E2455" s="48">
        <v>0.66180555555555554</v>
      </c>
      <c r="F2455" s="48">
        <v>0.67013888888888884</v>
      </c>
      <c r="G2455" s="43">
        <f>(F2455-E2455)*1440</f>
        <v>11.999999999999957</v>
      </c>
      <c r="H2455" s="9" t="s">
        <v>601</v>
      </c>
      <c r="I2455" s="9" t="s">
        <v>214</v>
      </c>
      <c r="J2455" s="44">
        <v>9.1</v>
      </c>
      <c r="K2455" s="60">
        <v>6.62</v>
      </c>
      <c r="L2455" s="56">
        <v>4.96</v>
      </c>
      <c r="M2455" s="14">
        <f>K2455-L2455</f>
        <v>1.6600000000000001</v>
      </c>
      <c r="N2455" s="15">
        <f>IFERROR(M2455/K2455,0)</f>
        <v>0.25075528700906347</v>
      </c>
      <c r="O2455" s="14">
        <f>IFERROR(L2455/J2455,0)</f>
        <v>0.54505494505494512</v>
      </c>
      <c r="P2455" s="14">
        <f>IFERROR(L2455/G2455,0)</f>
        <v>0.41333333333333477</v>
      </c>
    </row>
    <row r="2456" spans="1:16" x14ac:dyDescent="0.3">
      <c r="A2456" s="9" t="s">
        <v>5042</v>
      </c>
      <c r="B2456" s="9" t="s">
        <v>26</v>
      </c>
      <c r="C2456" s="9" t="s">
        <v>27</v>
      </c>
      <c r="D2456" s="52">
        <v>46258</v>
      </c>
      <c r="E2456" s="48">
        <v>0.67222222222222217</v>
      </c>
      <c r="F2456" s="48">
        <v>0.68055555555555547</v>
      </c>
      <c r="G2456" s="43">
        <f>(F2456-E2456)*1440</f>
        <v>11.999999999999957</v>
      </c>
      <c r="H2456" s="9" t="s">
        <v>214</v>
      </c>
      <c r="I2456" s="9" t="s">
        <v>1327</v>
      </c>
      <c r="J2456" s="44">
        <v>4.8</v>
      </c>
      <c r="K2456" s="60">
        <v>5.43</v>
      </c>
      <c r="L2456" s="56">
        <v>4.07</v>
      </c>
      <c r="M2456" s="14">
        <f>K2456-L2456</f>
        <v>1.3599999999999994</v>
      </c>
      <c r="N2456" s="15">
        <f>IFERROR(M2456/K2456,0)</f>
        <v>0.25046040515653767</v>
      </c>
      <c r="O2456" s="14">
        <f>IFERROR(L2456/J2456,0)</f>
        <v>0.84791666666666676</v>
      </c>
      <c r="P2456" s="14">
        <f>IFERROR(L2456/G2456,0)</f>
        <v>0.33916666666666789</v>
      </c>
    </row>
    <row r="2457" spans="1:16" x14ac:dyDescent="0.3">
      <c r="A2457" s="9" t="s">
        <v>5043</v>
      </c>
      <c r="B2457" s="9" t="s">
        <v>26</v>
      </c>
      <c r="C2457" s="9" t="s">
        <v>26</v>
      </c>
      <c r="D2457" s="52">
        <v>46258</v>
      </c>
      <c r="E2457" s="48">
        <v>0.68055555555555547</v>
      </c>
      <c r="F2457" s="48">
        <v>0.69027777777777777</v>
      </c>
      <c r="G2457" s="43">
        <f>(F2457-E2457)*1440</f>
        <v>14.00000000000011</v>
      </c>
      <c r="H2457" s="9" t="s">
        <v>769</v>
      </c>
      <c r="I2457" s="9" t="s">
        <v>2180</v>
      </c>
      <c r="J2457" s="44">
        <v>7.1</v>
      </c>
      <c r="K2457" s="60">
        <v>4.2699999999999996</v>
      </c>
      <c r="L2457" s="56">
        <v>5.08</v>
      </c>
      <c r="M2457" s="14">
        <f>K2457-L2457</f>
        <v>-0.8100000000000005</v>
      </c>
      <c r="N2457" s="15">
        <f>IFERROR(M2457/K2457,0)</f>
        <v>-0.18969555035128818</v>
      </c>
      <c r="O2457" s="14">
        <f>IFERROR(L2457/J2457,0)</f>
        <v>0.71549295774647892</v>
      </c>
      <c r="P2457" s="14">
        <f>IFERROR(L2457/G2457,0)</f>
        <v>0.36285714285713999</v>
      </c>
    </row>
    <row r="2458" spans="1:16" x14ac:dyDescent="0.3">
      <c r="A2458" s="9" t="s">
        <v>5044</v>
      </c>
      <c r="B2458" s="9" t="s">
        <v>26</v>
      </c>
      <c r="C2458" s="9" t="s">
        <v>26</v>
      </c>
      <c r="D2458" s="52">
        <v>46258</v>
      </c>
      <c r="E2458" s="48">
        <v>0.69374999999999998</v>
      </c>
      <c r="F2458" s="48">
        <v>0.70416666666666661</v>
      </c>
      <c r="G2458" s="43">
        <f>(F2458-E2458)*1440</f>
        <v>14.999999999999947</v>
      </c>
      <c r="H2458" s="9" t="s">
        <v>2180</v>
      </c>
      <c r="I2458" s="9" t="s">
        <v>4029</v>
      </c>
      <c r="J2458" s="44">
        <v>9.5</v>
      </c>
      <c r="K2458" s="60">
        <v>7.51</v>
      </c>
      <c r="L2458" s="56">
        <v>6.33</v>
      </c>
      <c r="M2458" s="14">
        <f>K2458-L2458</f>
        <v>1.1799999999999997</v>
      </c>
      <c r="N2458" s="15">
        <f>IFERROR(M2458/K2458,0)</f>
        <v>0.15712383488681755</v>
      </c>
      <c r="O2458" s="14">
        <f>IFERROR(L2458/J2458,0)</f>
        <v>0.66631578947368419</v>
      </c>
      <c r="P2458" s="14">
        <f>IFERROR(L2458/G2458,0)</f>
        <v>0.42200000000000149</v>
      </c>
    </row>
    <row r="2459" spans="1:16" x14ac:dyDescent="0.3">
      <c r="A2459" s="9" t="s">
        <v>5045</v>
      </c>
      <c r="B2459" s="9" t="s">
        <v>26</v>
      </c>
      <c r="C2459" s="9" t="s">
        <v>26</v>
      </c>
      <c r="D2459" s="52">
        <v>46258</v>
      </c>
      <c r="E2459" s="48">
        <v>0.71250000000000002</v>
      </c>
      <c r="F2459" s="48">
        <v>0.72361111111111109</v>
      </c>
      <c r="G2459" s="43">
        <f>(F2459-E2459)*1440</f>
        <v>15.999999999999943</v>
      </c>
      <c r="H2459" s="9" t="s">
        <v>5263</v>
      </c>
      <c r="I2459" s="9" t="s">
        <v>1298</v>
      </c>
      <c r="J2459" s="44">
        <v>10.8</v>
      </c>
      <c r="K2459" s="60">
        <v>7.32</v>
      </c>
      <c r="L2459" s="56">
        <v>6.86</v>
      </c>
      <c r="M2459" s="14">
        <f>K2459-L2459</f>
        <v>0.45999999999999996</v>
      </c>
      <c r="N2459" s="15">
        <f>IFERROR(M2459/K2459,0)</f>
        <v>6.2841530054644795E-2</v>
      </c>
      <c r="O2459" s="14">
        <f>IFERROR(L2459/J2459,0)</f>
        <v>0.63518518518518519</v>
      </c>
      <c r="P2459" s="14">
        <f>IFERROR(L2459/G2459,0)</f>
        <v>0.42875000000000152</v>
      </c>
    </row>
    <row r="2460" spans="1:16" x14ac:dyDescent="0.3">
      <c r="A2460" s="9" t="s">
        <v>5046</v>
      </c>
      <c r="B2460" s="9" t="s">
        <v>26</v>
      </c>
      <c r="C2460" s="9" t="s">
        <v>27</v>
      </c>
      <c r="D2460" s="52">
        <v>46258</v>
      </c>
      <c r="E2460" s="48">
        <v>0.7270833333333333</v>
      </c>
      <c r="F2460" s="48">
        <v>0.73472222222222217</v>
      </c>
      <c r="G2460" s="43">
        <f>(F2460-E2460)*1440</f>
        <v>10.999999999999961</v>
      </c>
      <c r="H2460" s="9" t="s">
        <v>1379</v>
      </c>
      <c r="I2460" s="9" t="s">
        <v>2790</v>
      </c>
      <c r="J2460" s="44">
        <v>7.1</v>
      </c>
      <c r="K2460" s="60">
        <v>8.9</v>
      </c>
      <c r="L2460" s="56">
        <v>6.67</v>
      </c>
      <c r="M2460" s="14">
        <f>K2460-L2460</f>
        <v>2.2300000000000004</v>
      </c>
      <c r="N2460" s="15">
        <f>IFERROR(M2460/K2460,0)</f>
        <v>0.25056179775280901</v>
      </c>
      <c r="O2460" s="14">
        <f>IFERROR(L2460/J2460,0)</f>
        <v>0.93943661971830994</v>
      </c>
      <c r="P2460" s="14">
        <f>IFERROR(L2460/G2460,0)</f>
        <v>0.60636363636363855</v>
      </c>
    </row>
    <row r="2461" spans="1:16" x14ac:dyDescent="0.3">
      <c r="A2461" s="9" t="s">
        <v>5047</v>
      </c>
      <c r="B2461" s="9" t="s">
        <v>26</v>
      </c>
      <c r="C2461" s="9" t="s">
        <v>26</v>
      </c>
      <c r="D2461" s="52">
        <v>46258</v>
      </c>
      <c r="E2461" s="48">
        <v>0.75694444444444453</v>
      </c>
      <c r="F2461" s="48">
        <v>0.77222222222222225</v>
      </c>
      <c r="G2461" s="43">
        <f>(F2461-E2461)*1440</f>
        <v>21.999999999999922</v>
      </c>
      <c r="H2461" s="9" t="s">
        <v>5264</v>
      </c>
      <c r="I2461" s="9" t="s">
        <v>214</v>
      </c>
      <c r="J2461" s="44">
        <v>7.2</v>
      </c>
      <c r="K2461" s="60">
        <v>6.33</v>
      </c>
      <c r="L2461" s="56">
        <v>5.93</v>
      </c>
      <c r="M2461" s="14">
        <f>K2461-L2461</f>
        <v>0.40000000000000036</v>
      </c>
      <c r="N2461" s="15">
        <f>IFERROR(M2461/K2461,0)</f>
        <v>6.3191153238546655E-2</v>
      </c>
      <c r="O2461" s="14">
        <f>IFERROR(L2461/J2461,0)</f>
        <v>0.82361111111111107</v>
      </c>
      <c r="P2461" s="14">
        <f>IFERROR(L2461/G2461,0)</f>
        <v>0.26954545454545548</v>
      </c>
    </row>
    <row r="2462" spans="1:16" x14ac:dyDescent="0.3">
      <c r="A2462" s="9" t="s">
        <v>5048</v>
      </c>
      <c r="B2462" s="9" t="s">
        <v>26</v>
      </c>
      <c r="C2462" s="9" t="s">
        <v>26</v>
      </c>
      <c r="D2462" s="52">
        <v>46258</v>
      </c>
      <c r="E2462" s="48">
        <v>0.77430555555555547</v>
      </c>
      <c r="F2462" s="48">
        <v>0.77986111111111101</v>
      </c>
      <c r="G2462" s="43">
        <f>(F2462-E2462)*1440</f>
        <v>7.9999999999999716</v>
      </c>
      <c r="H2462" s="9" t="s">
        <v>214</v>
      </c>
      <c r="I2462" s="9" t="s">
        <v>1709</v>
      </c>
      <c r="J2462" s="44">
        <v>3.8</v>
      </c>
      <c r="K2462" s="60">
        <v>5.52</v>
      </c>
      <c r="L2462" s="56">
        <v>4.1399999999999997</v>
      </c>
      <c r="M2462" s="14">
        <f>K2462-L2462</f>
        <v>1.38</v>
      </c>
      <c r="N2462" s="15">
        <f>IFERROR(M2462/K2462,0)</f>
        <v>0.25</v>
      </c>
      <c r="O2462" s="14">
        <f>IFERROR(L2462/J2462,0)</f>
        <v>1.0894736842105264</v>
      </c>
      <c r="P2462" s="14">
        <f>IFERROR(L2462/G2462,0)</f>
        <v>0.51750000000000185</v>
      </c>
    </row>
    <row r="2463" spans="1:16" x14ac:dyDescent="0.3">
      <c r="A2463" s="9" t="s">
        <v>5049</v>
      </c>
      <c r="B2463" s="9" t="s">
        <v>26</v>
      </c>
      <c r="C2463" s="9" t="s">
        <v>27</v>
      </c>
      <c r="D2463" s="52">
        <v>46258</v>
      </c>
      <c r="E2463" s="48">
        <v>0.8534722222222223</v>
      </c>
      <c r="F2463" s="48">
        <v>0.8652777777777777</v>
      </c>
      <c r="G2463" s="43">
        <f>(F2463-E2463)*1440</f>
        <v>16.99999999999978</v>
      </c>
      <c r="H2463" s="9" t="s">
        <v>584</v>
      </c>
      <c r="I2463" s="9" t="s">
        <v>5265</v>
      </c>
      <c r="J2463" s="44">
        <v>12.8</v>
      </c>
      <c r="K2463" s="60">
        <v>7.98</v>
      </c>
      <c r="L2463" s="56">
        <v>5.98</v>
      </c>
      <c r="M2463" s="14">
        <f>K2463-L2463</f>
        <v>2</v>
      </c>
      <c r="N2463" s="15">
        <f>IFERROR(M2463/K2463,0)</f>
        <v>0.25062656641604009</v>
      </c>
      <c r="O2463" s="14">
        <f>IFERROR(L2463/J2463,0)</f>
        <v>0.46718750000000003</v>
      </c>
      <c r="P2463" s="14">
        <f>IFERROR(L2463/G2463,0)</f>
        <v>0.35176470588235753</v>
      </c>
    </row>
    <row r="2464" spans="1:16" x14ac:dyDescent="0.3">
      <c r="A2464" s="9" t="s">
        <v>5050</v>
      </c>
      <c r="B2464" s="9" t="s">
        <v>26</v>
      </c>
      <c r="C2464" s="9" t="s">
        <v>27</v>
      </c>
      <c r="D2464" s="52">
        <v>46259</v>
      </c>
      <c r="E2464" s="48">
        <v>0.54236111111111118</v>
      </c>
      <c r="F2464" s="48">
        <v>0.55138888888888882</v>
      </c>
      <c r="G2464" s="43">
        <f>(F2464-E2464)*1440</f>
        <v>12.999999999999794</v>
      </c>
      <c r="H2464" s="9" t="s">
        <v>5266</v>
      </c>
      <c r="I2464" s="9" t="s">
        <v>1791</v>
      </c>
      <c r="J2464" s="44">
        <v>6.2</v>
      </c>
      <c r="K2464" s="60">
        <v>5.6</v>
      </c>
      <c r="L2464" s="56">
        <v>4.2</v>
      </c>
      <c r="M2464" s="14">
        <f>K2464-L2464</f>
        <v>1.3999999999999995</v>
      </c>
      <c r="N2464" s="15">
        <f>IFERROR(M2464/K2464,0)</f>
        <v>0.24999999999999992</v>
      </c>
      <c r="O2464" s="14">
        <f>IFERROR(L2464/J2464,0)</f>
        <v>0.67741935483870974</v>
      </c>
      <c r="P2464" s="14">
        <f>IFERROR(L2464/G2464,0)</f>
        <v>0.3230769230769282</v>
      </c>
    </row>
    <row r="2465" spans="1:19" x14ac:dyDescent="0.3">
      <c r="A2465" s="9" t="s">
        <v>5051</v>
      </c>
      <c r="B2465" s="9" t="s">
        <v>26</v>
      </c>
      <c r="C2465" s="9" t="s">
        <v>27</v>
      </c>
      <c r="D2465" s="52">
        <v>46259</v>
      </c>
      <c r="E2465" s="48">
        <v>0.55555555555555558</v>
      </c>
      <c r="F2465" s="48">
        <v>0.56805555555555554</v>
      </c>
      <c r="G2465" s="43">
        <f>(F2465-E2465)*1440</f>
        <v>17.999999999999936</v>
      </c>
      <c r="H2465" s="9" t="s">
        <v>1260</v>
      </c>
      <c r="I2465" s="9" t="s">
        <v>5267</v>
      </c>
      <c r="J2465" s="44">
        <v>11.4</v>
      </c>
      <c r="K2465" s="60">
        <v>5.57</v>
      </c>
      <c r="L2465" s="56">
        <v>6.97</v>
      </c>
      <c r="M2465" s="14">
        <f>K2465-L2465</f>
        <v>-1.3999999999999995</v>
      </c>
      <c r="N2465" s="15">
        <f>IFERROR(M2465/K2465,0)</f>
        <v>-0.25134649910233381</v>
      </c>
      <c r="O2465" s="14">
        <f>IFERROR(L2465/J2465,0)</f>
        <v>0.61140350877192984</v>
      </c>
      <c r="P2465" s="14">
        <f>IFERROR(L2465/G2465,0)</f>
        <v>0.38722222222222358</v>
      </c>
    </row>
    <row r="2466" spans="1:19" x14ac:dyDescent="0.3">
      <c r="A2466" s="9" t="s">
        <v>5052</v>
      </c>
      <c r="B2466" s="9" t="s">
        <v>26</v>
      </c>
      <c r="C2466" s="9" t="s">
        <v>26</v>
      </c>
      <c r="D2466" s="52">
        <v>46259</v>
      </c>
      <c r="E2466" s="48">
        <v>0.56874999999999998</v>
      </c>
      <c r="F2466" s="48">
        <v>0.58263888888888882</v>
      </c>
      <c r="G2466" s="43">
        <f>(F2466-E2466)*1440</f>
        <v>19.999999999999929</v>
      </c>
      <c r="H2466" s="9" t="s">
        <v>1135</v>
      </c>
      <c r="I2466" s="9" t="s">
        <v>1117</v>
      </c>
      <c r="J2466" s="44">
        <v>11</v>
      </c>
      <c r="K2466" s="60">
        <v>4.5</v>
      </c>
      <c r="L2466" s="56">
        <v>5.62</v>
      </c>
      <c r="M2466" s="14">
        <f>K2466-L2466</f>
        <v>-1.1200000000000001</v>
      </c>
      <c r="N2466" s="15">
        <f>IFERROR(M2466/K2466,0)</f>
        <v>-0.24888888888888891</v>
      </c>
      <c r="O2466" s="14">
        <f>IFERROR(L2466/J2466,0)</f>
        <v>0.51090909090909087</v>
      </c>
      <c r="P2466" s="14">
        <f>IFERROR(L2466/G2466,0)</f>
        <v>0.28100000000000103</v>
      </c>
    </row>
    <row r="2467" spans="1:19" x14ac:dyDescent="0.3">
      <c r="A2467" s="9" t="s">
        <v>5053</v>
      </c>
      <c r="B2467" s="9" t="s">
        <v>26</v>
      </c>
      <c r="C2467" s="9" t="s">
        <v>26</v>
      </c>
      <c r="D2467" s="52">
        <v>46259</v>
      </c>
      <c r="E2467" s="48">
        <v>0.5854166666666667</v>
      </c>
      <c r="F2467" s="48">
        <v>0.59097222222222223</v>
      </c>
      <c r="G2467" s="43">
        <f>(F2467-E2467)*1440</f>
        <v>7.9999999999999716</v>
      </c>
      <c r="H2467" s="9" t="s">
        <v>2627</v>
      </c>
      <c r="I2467" s="9" t="s">
        <v>5268</v>
      </c>
      <c r="J2467" s="44">
        <v>2.8</v>
      </c>
      <c r="K2467" s="60">
        <v>4.28</v>
      </c>
      <c r="L2467" s="56">
        <v>3.37</v>
      </c>
      <c r="M2467" s="14">
        <f>K2467-L2467</f>
        <v>0.91000000000000014</v>
      </c>
      <c r="N2467" s="15">
        <f>IFERROR(M2467/K2467,0)</f>
        <v>0.21261682242990657</v>
      </c>
      <c r="O2467" s="14">
        <f>IFERROR(L2467/J2467,0)</f>
        <v>1.2035714285714287</v>
      </c>
      <c r="P2467" s="14">
        <f>IFERROR(L2467/G2467,0)</f>
        <v>0.42125000000000151</v>
      </c>
    </row>
    <row r="2468" spans="1:19" x14ac:dyDescent="0.3">
      <c r="A2468" s="9" t="s">
        <v>5054</v>
      </c>
      <c r="B2468" s="9" t="s">
        <v>26</v>
      </c>
      <c r="C2468" s="9" t="s">
        <v>26</v>
      </c>
      <c r="D2468" s="52">
        <v>46259</v>
      </c>
      <c r="E2468" s="48">
        <v>0.59305555555555556</v>
      </c>
      <c r="F2468" s="48">
        <v>0.60486111111111118</v>
      </c>
      <c r="G2468" s="43">
        <f>(F2468-E2468)*1440</f>
        <v>17.000000000000099</v>
      </c>
      <c r="H2468" s="9" t="s">
        <v>1193</v>
      </c>
      <c r="I2468" s="9" t="s">
        <v>5269</v>
      </c>
      <c r="J2468" s="44">
        <v>8.3000000000000007</v>
      </c>
      <c r="K2468" s="60">
        <v>4.04</v>
      </c>
      <c r="L2468" s="56">
        <v>5.05</v>
      </c>
      <c r="M2468" s="14">
        <f>K2468-L2468</f>
        <v>-1.0099999999999998</v>
      </c>
      <c r="N2468" s="15">
        <f>IFERROR(M2468/K2468,0)</f>
        <v>-0.24999999999999994</v>
      </c>
      <c r="O2468" s="14">
        <f>IFERROR(L2468/J2468,0)</f>
        <v>0.60843373493975894</v>
      </c>
      <c r="P2468" s="14">
        <f>IFERROR(L2468/G2468,0)</f>
        <v>0.29705882352941004</v>
      </c>
    </row>
    <row r="2469" spans="1:19" x14ac:dyDescent="0.3">
      <c r="A2469" s="9" t="s">
        <v>5055</v>
      </c>
      <c r="B2469" s="9" t="s">
        <v>26</v>
      </c>
      <c r="C2469" s="9" t="s">
        <v>27</v>
      </c>
      <c r="D2469" s="52">
        <v>46259</v>
      </c>
      <c r="E2469" s="48">
        <v>0.61388888888888882</v>
      </c>
      <c r="F2469" s="48">
        <v>0.625</v>
      </c>
      <c r="G2469" s="43">
        <f>(F2469-E2469)*1440</f>
        <v>16.000000000000103</v>
      </c>
      <c r="H2469" s="9" t="s">
        <v>1331</v>
      </c>
      <c r="I2469" s="9" t="s">
        <v>5270</v>
      </c>
      <c r="J2469" s="44">
        <v>10</v>
      </c>
      <c r="K2469" s="60">
        <v>6.92</v>
      </c>
      <c r="L2469" s="56">
        <v>5.19</v>
      </c>
      <c r="M2469" s="14">
        <f>K2469-L2469</f>
        <v>1.7299999999999995</v>
      </c>
      <c r="N2469" s="15">
        <f>IFERROR(M2469/K2469,0)</f>
        <v>0.24999999999999994</v>
      </c>
      <c r="O2469" s="14">
        <f>IFERROR(L2469/J2469,0)</f>
        <v>0.51900000000000002</v>
      </c>
      <c r="P2469" s="14">
        <f>IFERROR(L2469/G2469,0)</f>
        <v>0.32437499999999792</v>
      </c>
    </row>
    <row r="2470" spans="1:19" x14ac:dyDescent="0.3">
      <c r="A2470" s="9" t="s">
        <v>5056</v>
      </c>
      <c r="B2470" s="9" t="s">
        <v>26</v>
      </c>
      <c r="C2470" s="9" t="s">
        <v>27</v>
      </c>
      <c r="D2470" s="52">
        <v>46259</v>
      </c>
      <c r="E2470" s="48">
        <v>0.68125000000000002</v>
      </c>
      <c r="F2470" s="48">
        <v>0.69166666666666676</v>
      </c>
      <c r="G2470" s="43">
        <f>(F2470-E2470)*1440</f>
        <v>15.000000000000107</v>
      </c>
      <c r="H2470" s="9" t="s">
        <v>5271</v>
      </c>
      <c r="I2470" s="9" t="s">
        <v>638</v>
      </c>
      <c r="J2470" s="44">
        <v>6</v>
      </c>
      <c r="K2470" s="60">
        <v>7.97</v>
      </c>
      <c r="L2470" s="56">
        <v>6.48</v>
      </c>
      <c r="M2470" s="14">
        <f>K2470-L2470</f>
        <v>1.4899999999999993</v>
      </c>
      <c r="N2470" s="15">
        <f>IFERROR(M2470/K2470,0)</f>
        <v>0.18695106649937257</v>
      </c>
      <c r="O2470" s="14">
        <f>IFERROR(L2470/J2470,0)</f>
        <v>1.08</v>
      </c>
      <c r="P2470" s="14">
        <f>IFERROR(L2470/G2470,0)</f>
        <v>0.43199999999999694</v>
      </c>
      <c r="S2470" s="61">
        <v>2</v>
      </c>
    </row>
    <row r="2471" spans="1:19" x14ac:dyDescent="0.3">
      <c r="A2471" s="9" t="s">
        <v>5057</v>
      </c>
      <c r="B2471" s="9" t="s">
        <v>26</v>
      </c>
      <c r="C2471" s="9" t="s">
        <v>26</v>
      </c>
      <c r="D2471" s="52">
        <v>46259</v>
      </c>
      <c r="E2471" s="48">
        <v>0.71527777777777779</v>
      </c>
      <c r="F2471" s="48">
        <v>0.72222222222222221</v>
      </c>
      <c r="G2471" s="43">
        <f>(F2471-E2471)*1440</f>
        <v>9.9999999999999645</v>
      </c>
      <c r="H2471" s="9" t="s">
        <v>1748</v>
      </c>
      <c r="I2471" s="9" t="s">
        <v>5272</v>
      </c>
      <c r="J2471" s="44">
        <v>3.5</v>
      </c>
      <c r="K2471" s="60">
        <v>4.4000000000000004</v>
      </c>
      <c r="L2471" s="56">
        <v>3.47</v>
      </c>
      <c r="M2471" s="14">
        <f>K2471-L2471</f>
        <v>0.93000000000000016</v>
      </c>
      <c r="N2471" s="15">
        <f>IFERROR(M2471/K2471,0)</f>
        <v>0.21136363636363639</v>
      </c>
      <c r="O2471" s="14">
        <f>IFERROR(L2471/J2471,0)</f>
        <v>0.99142857142857144</v>
      </c>
      <c r="P2471" s="14">
        <f>IFERROR(L2471/G2471,0)</f>
        <v>0.34700000000000125</v>
      </c>
    </row>
    <row r="2472" spans="1:19" x14ac:dyDescent="0.3">
      <c r="A2472" s="9" t="s">
        <v>5058</v>
      </c>
      <c r="B2472" s="9" t="s">
        <v>26</v>
      </c>
      <c r="C2472" s="9" t="s">
        <v>27</v>
      </c>
      <c r="D2472" s="52">
        <v>46259</v>
      </c>
      <c r="E2472" s="48">
        <v>0.73958333333333337</v>
      </c>
      <c r="F2472" s="48">
        <v>0.74930555555555556</v>
      </c>
      <c r="G2472" s="43">
        <f>(F2472-E2472)*1440</f>
        <v>13.99999999999995</v>
      </c>
      <c r="H2472" s="9" t="s">
        <v>638</v>
      </c>
      <c r="I2472" s="9" t="s">
        <v>243</v>
      </c>
      <c r="J2472" s="44">
        <v>7.6</v>
      </c>
      <c r="K2472" s="60">
        <v>7.57</v>
      </c>
      <c r="L2472" s="56">
        <v>5.68</v>
      </c>
      <c r="M2472" s="14">
        <f>K2472-L2472</f>
        <v>1.8900000000000006</v>
      </c>
      <c r="N2472" s="15">
        <f>IFERROR(M2472/K2472,0)</f>
        <v>0.2496697490092471</v>
      </c>
      <c r="O2472" s="14">
        <f>IFERROR(L2472/J2472,0)</f>
        <v>0.74736842105263157</v>
      </c>
      <c r="P2472" s="14">
        <f>IFERROR(L2472/G2472,0)</f>
        <v>0.40571428571428714</v>
      </c>
    </row>
    <row r="2473" spans="1:19" x14ac:dyDescent="0.3">
      <c r="A2473" s="9" t="s">
        <v>5059</v>
      </c>
      <c r="B2473" s="9" t="s">
        <v>26</v>
      </c>
      <c r="C2473" s="9" t="s">
        <v>27</v>
      </c>
      <c r="D2473" s="52">
        <v>46259</v>
      </c>
      <c r="E2473" s="48">
        <v>0.76874999999999993</v>
      </c>
      <c r="F2473" s="48">
        <v>0.78194444444444444</v>
      </c>
      <c r="G2473" s="43">
        <f>(F2473-E2473)*1440</f>
        <v>19.000000000000092</v>
      </c>
      <c r="H2473" s="9" t="s">
        <v>5273</v>
      </c>
      <c r="I2473" s="9" t="s">
        <v>1367</v>
      </c>
      <c r="J2473" s="44">
        <v>10.6</v>
      </c>
      <c r="K2473" s="60">
        <v>8.26</v>
      </c>
      <c r="L2473" s="56">
        <v>6.19</v>
      </c>
      <c r="M2473" s="14">
        <f>K2473-L2473</f>
        <v>2.0699999999999994</v>
      </c>
      <c r="N2473" s="15">
        <f>IFERROR(M2473/K2473,0)</f>
        <v>0.25060532687651327</v>
      </c>
      <c r="O2473" s="14">
        <f>IFERROR(L2473/J2473,0)</f>
        <v>0.58396226415094343</v>
      </c>
      <c r="P2473" s="14">
        <f>IFERROR(L2473/G2473,0)</f>
        <v>0.32578947368420896</v>
      </c>
    </row>
    <row r="2474" spans="1:19" x14ac:dyDescent="0.3">
      <c r="A2474" s="9" t="s">
        <v>5060</v>
      </c>
      <c r="B2474" s="9" t="s">
        <v>26</v>
      </c>
      <c r="C2474" s="9" t="s">
        <v>26</v>
      </c>
      <c r="D2474" s="52">
        <v>46259</v>
      </c>
      <c r="E2474" s="48">
        <v>0.7993055555555556</v>
      </c>
      <c r="F2474" s="48">
        <v>0.80902777777777779</v>
      </c>
      <c r="G2474" s="43">
        <f>(F2474-E2474)*1440</f>
        <v>13.99999999999995</v>
      </c>
      <c r="H2474" s="9" t="s">
        <v>834</v>
      </c>
      <c r="I2474" s="9" t="s">
        <v>5274</v>
      </c>
      <c r="J2474" s="44">
        <v>6.8</v>
      </c>
      <c r="K2474" s="60">
        <v>6.2</v>
      </c>
      <c r="L2474" s="56">
        <v>4.6500000000000004</v>
      </c>
      <c r="M2474" s="14">
        <f>K2474-L2474</f>
        <v>1.5499999999999998</v>
      </c>
      <c r="N2474" s="15">
        <f>IFERROR(M2474/K2474,0)</f>
        <v>0.24999999999999997</v>
      </c>
      <c r="O2474" s="14">
        <f>IFERROR(L2474/J2474,0)</f>
        <v>0.68382352941176483</v>
      </c>
      <c r="P2474" s="14">
        <f>IFERROR(L2474/G2474,0)</f>
        <v>0.33214285714285835</v>
      </c>
    </row>
    <row r="2475" spans="1:19" x14ac:dyDescent="0.3">
      <c r="A2475" s="9" t="s">
        <v>5061</v>
      </c>
      <c r="B2475" s="9" t="s">
        <v>26</v>
      </c>
      <c r="C2475" s="9" t="s">
        <v>27</v>
      </c>
      <c r="D2475" s="52">
        <v>46259</v>
      </c>
      <c r="E2475" s="48">
        <v>0.8125</v>
      </c>
      <c r="F2475" s="48">
        <v>0.82638888888888884</v>
      </c>
      <c r="G2475" s="43">
        <f>(F2475-E2475)*1440</f>
        <v>19.999999999999929</v>
      </c>
      <c r="H2475" s="9" t="s">
        <v>4584</v>
      </c>
      <c r="I2475" s="9" t="s">
        <v>1120</v>
      </c>
      <c r="J2475" s="44">
        <v>8.4</v>
      </c>
      <c r="K2475" s="60">
        <v>6.97</v>
      </c>
      <c r="L2475" s="56">
        <v>5.23</v>
      </c>
      <c r="M2475" s="14">
        <f>K2475-L2475</f>
        <v>1.7399999999999993</v>
      </c>
      <c r="N2475" s="15">
        <f>IFERROR(M2475/K2475,0)</f>
        <v>0.2496413199426111</v>
      </c>
      <c r="O2475" s="14">
        <f>IFERROR(L2475/J2475,0)</f>
        <v>0.62261904761904763</v>
      </c>
      <c r="P2475" s="14">
        <f>IFERROR(L2475/G2475,0)</f>
        <v>0.26150000000000095</v>
      </c>
    </row>
    <row r="2476" spans="1:19" x14ac:dyDescent="0.3">
      <c r="A2476" s="9" t="s">
        <v>5062</v>
      </c>
      <c r="B2476" s="9" t="s">
        <v>26</v>
      </c>
      <c r="C2476" s="9" t="s">
        <v>26</v>
      </c>
      <c r="D2476" s="52">
        <v>46259</v>
      </c>
      <c r="E2476" s="48">
        <v>0.82638888888888884</v>
      </c>
      <c r="F2476" s="48">
        <v>0.83472222222222225</v>
      </c>
      <c r="G2476" s="43">
        <f>(F2476-E2476)*1440</f>
        <v>12.000000000000117</v>
      </c>
      <c r="H2476" s="9" t="s">
        <v>1120</v>
      </c>
      <c r="I2476" s="9" t="s">
        <v>5275</v>
      </c>
      <c r="J2476" s="44">
        <v>4.4000000000000004</v>
      </c>
      <c r="K2476" s="60">
        <v>6.69</v>
      </c>
      <c r="L2476" s="56">
        <v>5.57</v>
      </c>
      <c r="M2476" s="14">
        <f>K2476-L2476</f>
        <v>1.1200000000000001</v>
      </c>
      <c r="N2476" s="15">
        <f>IFERROR(M2476/K2476,0)</f>
        <v>0.16741405082212257</v>
      </c>
      <c r="O2476" s="14">
        <f>IFERROR(L2476/J2476,0)</f>
        <v>1.2659090909090909</v>
      </c>
      <c r="P2476" s="14">
        <f>IFERROR(L2476/G2476,0)</f>
        <v>0.46416666666666218</v>
      </c>
    </row>
    <row r="2477" spans="1:19" x14ac:dyDescent="0.3">
      <c r="A2477" s="9" t="s">
        <v>5063</v>
      </c>
      <c r="B2477" s="9" t="s">
        <v>26</v>
      </c>
      <c r="C2477" s="9" t="s">
        <v>26</v>
      </c>
      <c r="D2477" s="52">
        <v>46259</v>
      </c>
      <c r="E2477" s="48">
        <v>0.86319444444444438</v>
      </c>
      <c r="F2477" s="48">
        <v>0.87291666666666667</v>
      </c>
      <c r="G2477" s="43">
        <f>(F2477-E2477)*1440</f>
        <v>14.00000000000011</v>
      </c>
      <c r="H2477" s="9" t="s">
        <v>604</v>
      </c>
      <c r="I2477" s="9" t="s">
        <v>2511</v>
      </c>
      <c r="J2477" s="44">
        <v>11.7</v>
      </c>
      <c r="K2477" s="60">
        <v>6.61</v>
      </c>
      <c r="L2477" s="56">
        <v>5.51</v>
      </c>
      <c r="M2477" s="14">
        <f>K2477-L2477</f>
        <v>1.1000000000000005</v>
      </c>
      <c r="N2477" s="15">
        <f>IFERROR(M2477/K2477,0)</f>
        <v>0.16641452344931928</v>
      </c>
      <c r="O2477" s="14">
        <f>IFERROR(L2477/J2477,0)</f>
        <v>0.47094017094017093</v>
      </c>
      <c r="P2477" s="14">
        <f>IFERROR(L2477/G2477,0)</f>
        <v>0.39357142857142546</v>
      </c>
    </row>
    <row r="2478" spans="1:19" x14ac:dyDescent="0.3">
      <c r="A2478" s="9" t="s">
        <v>5064</v>
      </c>
      <c r="B2478" s="9" t="s">
        <v>18</v>
      </c>
      <c r="C2478" s="9" t="s">
        <v>184</v>
      </c>
      <c r="D2478" s="52">
        <v>46259</v>
      </c>
      <c r="E2478" s="48">
        <v>0.64097222222222217</v>
      </c>
      <c r="F2478" s="48">
        <v>0.64861111111111114</v>
      </c>
      <c r="G2478" s="43">
        <f>(F2478-E2478)*1440</f>
        <v>11.000000000000121</v>
      </c>
      <c r="H2478" s="9" t="s">
        <v>5270</v>
      </c>
      <c r="I2478" s="9" t="s">
        <v>2658</v>
      </c>
      <c r="J2478" s="44">
        <v>8.18</v>
      </c>
      <c r="K2478" s="60">
        <v>5.94</v>
      </c>
      <c r="L2478" s="56">
        <v>5.0599999999999996</v>
      </c>
      <c r="M2478" s="14">
        <f>K2478-L2478</f>
        <v>0.88000000000000078</v>
      </c>
      <c r="N2478" s="15">
        <f>IFERROR(M2478/K2478,0)</f>
        <v>0.14814814814814828</v>
      </c>
      <c r="O2478" s="14">
        <f>IFERROR(L2478/J2478,0)</f>
        <v>0.61858190709046457</v>
      </c>
      <c r="P2478" s="14">
        <f>IFERROR(L2478/G2478,0)</f>
        <v>0.45999999999999491</v>
      </c>
    </row>
    <row r="2479" spans="1:19" x14ac:dyDescent="0.3">
      <c r="A2479" s="9" t="s">
        <v>5065</v>
      </c>
      <c r="B2479" s="9" t="s">
        <v>18</v>
      </c>
      <c r="C2479" s="9" t="s">
        <v>196</v>
      </c>
      <c r="D2479" s="52">
        <v>46259</v>
      </c>
      <c r="E2479" s="48">
        <v>0.66666666666666663</v>
      </c>
      <c r="F2479" s="48">
        <v>0.67152777777777783</v>
      </c>
      <c r="G2479" s="43">
        <f>(F2479-E2479)*1440</f>
        <v>7.000000000000135</v>
      </c>
      <c r="H2479" s="9" t="s">
        <v>827</v>
      </c>
      <c r="I2479" s="9" t="s">
        <v>5276</v>
      </c>
      <c r="J2479" s="44">
        <v>6.63</v>
      </c>
      <c r="K2479" s="60">
        <v>5.98</v>
      </c>
      <c r="L2479" s="56">
        <v>4.4400000000000004</v>
      </c>
      <c r="M2479" s="14">
        <f>K2479-L2479</f>
        <v>1.54</v>
      </c>
      <c r="N2479" s="15">
        <f>IFERROR(M2479/K2479,0)</f>
        <v>0.25752508361204013</v>
      </c>
      <c r="O2479" s="14">
        <f>IFERROR(L2479/J2479,0)</f>
        <v>0.6696832579185521</v>
      </c>
      <c r="P2479" s="14">
        <f>IFERROR(L2479/G2479,0)</f>
        <v>0.63428571428570213</v>
      </c>
    </row>
    <row r="2480" spans="1:19" x14ac:dyDescent="0.3">
      <c r="A2480" s="9" t="s">
        <v>5066</v>
      </c>
      <c r="B2480" s="9" t="s">
        <v>18</v>
      </c>
      <c r="C2480" s="9" t="s">
        <v>196</v>
      </c>
      <c r="D2480" s="52">
        <v>46259</v>
      </c>
      <c r="E2480" s="48">
        <v>0.69097222222222221</v>
      </c>
      <c r="F2480" s="48">
        <v>0.70624999999999993</v>
      </c>
      <c r="G2480" s="43">
        <f>(F2480-E2480)*1440</f>
        <v>21.999999999999922</v>
      </c>
      <c r="H2480" s="9" t="s">
        <v>3021</v>
      </c>
      <c r="I2480" s="9" t="s">
        <v>5277</v>
      </c>
      <c r="J2480" s="44">
        <v>5.25</v>
      </c>
      <c r="K2480" s="60">
        <v>7.73</v>
      </c>
      <c r="L2480" s="56">
        <v>4.43</v>
      </c>
      <c r="M2480" s="14">
        <f>K2480-L2480</f>
        <v>3.3000000000000007</v>
      </c>
      <c r="N2480" s="15">
        <f>IFERROR(M2480/K2480,0)</f>
        <v>0.42690815006468313</v>
      </c>
      <c r="O2480" s="14">
        <f>IFERROR(L2480/J2480,0)</f>
        <v>0.84380952380952379</v>
      </c>
      <c r="P2480" s="14">
        <f>IFERROR(L2480/G2480,0)</f>
        <v>0.20136363636363708</v>
      </c>
    </row>
    <row r="2481" spans="1:19" x14ac:dyDescent="0.3">
      <c r="A2481" s="9" t="s">
        <v>5067</v>
      </c>
      <c r="B2481" s="9" t="s">
        <v>18</v>
      </c>
      <c r="C2481" s="9" t="s">
        <v>184</v>
      </c>
      <c r="D2481" s="52">
        <v>46259</v>
      </c>
      <c r="E2481" s="48">
        <v>0.72361111111111109</v>
      </c>
      <c r="F2481" s="48">
        <v>0.7319444444444444</v>
      </c>
      <c r="G2481" s="43">
        <f>(F2481-E2481)*1440</f>
        <v>11.999999999999957</v>
      </c>
      <c r="H2481" s="9" t="s">
        <v>1251</v>
      </c>
      <c r="I2481" s="9" t="s">
        <v>1728</v>
      </c>
      <c r="J2481" s="44">
        <v>5.5</v>
      </c>
      <c r="K2481" s="60">
        <v>4.95</v>
      </c>
      <c r="L2481" s="56">
        <v>3.67</v>
      </c>
      <c r="M2481" s="14">
        <f>K2481-L2481</f>
        <v>1.2800000000000002</v>
      </c>
      <c r="N2481" s="15">
        <f>IFERROR(M2481/K2481,0)</f>
        <v>0.25858585858585864</v>
      </c>
      <c r="O2481" s="14">
        <f>IFERROR(L2481/J2481,0)</f>
        <v>0.66727272727272724</v>
      </c>
      <c r="P2481" s="14">
        <f>IFERROR(L2481/G2481,0)</f>
        <v>0.3058333333333344</v>
      </c>
      <c r="S2481" s="61">
        <v>4</v>
      </c>
    </row>
    <row r="2482" spans="1:19" x14ac:dyDescent="0.3">
      <c r="A2482" s="9" t="s">
        <v>5068</v>
      </c>
      <c r="B2482" s="9" t="s">
        <v>18</v>
      </c>
      <c r="C2482" s="9" t="s">
        <v>184</v>
      </c>
      <c r="D2482" s="52">
        <v>46259</v>
      </c>
      <c r="E2482" s="48">
        <v>0.75138888888888899</v>
      </c>
      <c r="F2482" s="48">
        <v>0.76180555555555562</v>
      </c>
      <c r="G2482" s="43">
        <f>(F2482-E2482)*1440</f>
        <v>14.999999999999947</v>
      </c>
      <c r="H2482" s="9" t="s">
        <v>5278</v>
      </c>
      <c r="I2482" s="9" t="s">
        <v>1945</v>
      </c>
      <c r="J2482" s="44">
        <v>7.02</v>
      </c>
      <c r="K2482" s="60">
        <v>5.95</v>
      </c>
      <c r="L2482" s="56">
        <v>4.5599999999999996</v>
      </c>
      <c r="M2482" s="14">
        <f>K2482-L2482</f>
        <v>1.3900000000000006</v>
      </c>
      <c r="N2482" s="15">
        <f>IFERROR(M2482/K2482,0)</f>
        <v>0.23361344537815135</v>
      </c>
      <c r="O2482" s="14">
        <f>IFERROR(L2482/J2482,0)</f>
        <v>0.6495726495726496</v>
      </c>
      <c r="P2482" s="14">
        <f>IFERROR(L2482/G2482,0)</f>
        <v>0.30400000000000105</v>
      </c>
    </row>
    <row r="2483" spans="1:19" x14ac:dyDescent="0.3">
      <c r="A2483" s="9" t="s">
        <v>5069</v>
      </c>
      <c r="B2483" s="9" t="s">
        <v>18</v>
      </c>
      <c r="C2483" s="9" t="s">
        <v>184</v>
      </c>
      <c r="D2483" s="52">
        <v>46261</v>
      </c>
      <c r="E2483" s="48">
        <v>0.53055555555555556</v>
      </c>
      <c r="F2483" s="48">
        <v>0.5444444444444444</v>
      </c>
      <c r="G2483" s="43">
        <f>(F2483-E2483)*1440</f>
        <v>19.999999999999929</v>
      </c>
      <c r="H2483" s="9" t="s">
        <v>5279</v>
      </c>
      <c r="I2483" s="9" t="s">
        <v>5280</v>
      </c>
      <c r="J2483" s="44">
        <v>15.42</v>
      </c>
      <c r="K2483" s="60">
        <v>9.9600000000000009</v>
      </c>
      <c r="L2483" s="56">
        <v>7.9</v>
      </c>
      <c r="M2483" s="14">
        <f>K2483-L2483</f>
        <v>2.0600000000000005</v>
      </c>
      <c r="N2483" s="15">
        <f>IFERROR(M2483/K2483,0)</f>
        <v>0.20682730923694784</v>
      </c>
      <c r="O2483" s="14">
        <f>IFERROR(L2483/J2483,0)</f>
        <v>0.51232166018158243</v>
      </c>
      <c r="P2483" s="14">
        <f>IFERROR(L2483/G2483,0)</f>
        <v>0.39500000000000141</v>
      </c>
    </row>
    <row r="2484" spans="1:19" x14ac:dyDescent="0.3">
      <c r="A2484" s="9" t="s">
        <v>5070</v>
      </c>
      <c r="B2484" s="9" t="s">
        <v>18</v>
      </c>
      <c r="C2484" s="9" t="s">
        <v>184</v>
      </c>
      <c r="D2484" s="52">
        <v>46261</v>
      </c>
      <c r="E2484" s="48">
        <v>0.55069444444444449</v>
      </c>
      <c r="F2484" s="48">
        <v>0.56180555555555556</v>
      </c>
      <c r="G2484" s="43">
        <f>(F2484-E2484)*1440</f>
        <v>15.999999999999943</v>
      </c>
      <c r="H2484" s="9" t="s">
        <v>5281</v>
      </c>
      <c r="I2484" s="9" t="s">
        <v>5282</v>
      </c>
      <c r="J2484" s="44">
        <v>11.42</v>
      </c>
      <c r="K2484" s="60">
        <v>6.94</v>
      </c>
      <c r="L2484" s="56">
        <v>6.35</v>
      </c>
      <c r="M2484" s="14">
        <f>K2484-L2484</f>
        <v>0.59000000000000075</v>
      </c>
      <c r="N2484" s="15">
        <f>IFERROR(M2484/K2484,0)</f>
        <v>8.5014409221902121E-2</v>
      </c>
      <c r="O2484" s="14">
        <f>IFERROR(L2484/J2484,0)</f>
        <v>0.55604203152364273</v>
      </c>
      <c r="P2484" s="14">
        <f>IFERROR(L2484/G2484,0)</f>
        <v>0.39687500000000137</v>
      </c>
    </row>
    <row r="2485" spans="1:19" x14ac:dyDescent="0.3">
      <c r="A2485" s="9" t="s">
        <v>5071</v>
      </c>
      <c r="B2485" s="9" t="s">
        <v>18</v>
      </c>
      <c r="C2485" s="9" t="s">
        <v>184</v>
      </c>
      <c r="D2485" s="52">
        <v>46261</v>
      </c>
      <c r="E2485" s="48">
        <v>0.57986111111111105</v>
      </c>
      <c r="F2485" s="48">
        <v>0.58819444444444446</v>
      </c>
      <c r="G2485" s="43">
        <f>(F2485-E2485)*1440</f>
        <v>12.000000000000117</v>
      </c>
      <c r="H2485" s="9" t="s">
        <v>5283</v>
      </c>
      <c r="I2485" s="9" t="s">
        <v>698</v>
      </c>
      <c r="J2485" s="44">
        <v>6.91</v>
      </c>
      <c r="K2485" s="60">
        <v>5.95</v>
      </c>
      <c r="L2485" s="56">
        <v>3.87</v>
      </c>
      <c r="M2485" s="14">
        <f>K2485-L2485</f>
        <v>2.08</v>
      </c>
      <c r="N2485" s="15">
        <f>IFERROR(M2485/K2485,0)</f>
        <v>0.34957983193277309</v>
      </c>
      <c r="O2485" s="14">
        <f>IFERROR(L2485/J2485,0)</f>
        <v>0.56005788712011573</v>
      </c>
      <c r="P2485" s="14">
        <f>IFERROR(L2485/G2485,0)</f>
        <v>0.32249999999999684</v>
      </c>
    </row>
    <row r="2486" spans="1:19" x14ac:dyDescent="0.3">
      <c r="A2486" s="9" t="s">
        <v>5072</v>
      </c>
      <c r="B2486" s="9" t="s">
        <v>18</v>
      </c>
      <c r="C2486" s="9" t="s">
        <v>184</v>
      </c>
      <c r="D2486" s="52">
        <v>46261</v>
      </c>
      <c r="E2486" s="48">
        <v>0.60555555555555551</v>
      </c>
      <c r="F2486" s="48">
        <v>0.61875000000000002</v>
      </c>
      <c r="G2486" s="43">
        <f>(F2486-E2486)*1440</f>
        <v>19.000000000000092</v>
      </c>
      <c r="H2486" s="9" t="s">
        <v>5284</v>
      </c>
      <c r="I2486" s="9" t="s">
        <v>4556</v>
      </c>
      <c r="J2486" s="44">
        <v>7.84</v>
      </c>
      <c r="K2486" s="60">
        <v>6.95</v>
      </c>
      <c r="L2486" s="56">
        <v>4.5199999999999996</v>
      </c>
      <c r="M2486" s="14">
        <f>K2486-L2486</f>
        <v>2.4300000000000006</v>
      </c>
      <c r="N2486" s="15">
        <f>IFERROR(M2486/K2486,0)</f>
        <v>0.34964028776978423</v>
      </c>
      <c r="O2486" s="14">
        <f>IFERROR(L2486/J2486,0)</f>
        <v>0.57653061224489788</v>
      </c>
      <c r="P2486" s="14">
        <f>IFERROR(L2486/G2486,0)</f>
        <v>0.23789473684210408</v>
      </c>
    </row>
    <row r="2487" spans="1:19" x14ac:dyDescent="0.3">
      <c r="A2487" s="9" t="s">
        <v>5073</v>
      </c>
      <c r="B2487" s="9" t="s">
        <v>18</v>
      </c>
      <c r="C2487" s="9" t="s">
        <v>184</v>
      </c>
      <c r="D2487" s="52">
        <v>46261</v>
      </c>
      <c r="E2487" s="48">
        <v>0.67638888888888893</v>
      </c>
      <c r="F2487" s="48">
        <v>0.68819444444444444</v>
      </c>
      <c r="G2487" s="43">
        <f>(F2487-E2487)*1440</f>
        <v>16.99999999999994</v>
      </c>
      <c r="H2487" s="9" t="s">
        <v>5285</v>
      </c>
      <c r="I2487" s="9" t="s">
        <v>582</v>
      </c>
      <c r="J2487" s="44">
        <v>8.61</v>
      </c>
      <c r="K2487" s="60">
        <v>7.96</v>
      </c>
      <c r="L2487" s="56">
        <v>5.43</v>
      </c>
      <c r="M2487" s="14">
        <f>K2487-L2487</f>
        <v>2.5300000000000002</v>
      </c>
      <c r="N2487" s="15">
        <f>IFERROR(M2487/K2487,0)</f>
        <v>0.31783919597989951</v>
      </c>
      <c r="O2487" s="14">
        <f>IFERROR(L2487/J2487,0)</f>
        <v>0.63066202090592338</v>
      </c>
      <c r="P2487" s="14">
        <f>IFERROR(L2487/G2487,0)</f>
        <v>0.31941176470588345</v>
      </c>
    </row>
    <row r="2488" spans="1:19" x14ac:dyDescent="0.3">
      <c r="A2488" s="9" t="s">
        <v>5074</v>
      </c>
      <c r="B2488" s="9" t="s">
        <v>18</v>
      </c>
      <c r="C2488" s="9" t="s">
        <v>184</v>
      </c>
      <c r="D2488" s="52">
        <v>46261</v>
      </c>
      <c r="E2488" s="48">
        <v>0.7055555555555556</v>
      </c>
      <c r="F2488" s="48">
        <v>0.71388888888888891</v>
      </c>
      <c r="G2488" s="43">
        <f>(F2488-E2488)*1440</f>
        <v>11.999999999999957</v>
      </c>
      <c r="H2488" s="9" t="s">
        <v>1733</v>
      </c>
      <c r="I2488" s="9" t="s">
        <v>5286</v>
      </c>
      <c r="J2488" s="44">
        <v>3.59</v>
      </c>
      <c r="K2488" s="60">
        <v>4.88</v>
      </c>
      <c r="L2488" s="56">
        <v>4.2699999999999996</v>
      </c>
      <c r="M2488" s="14">
        <f>K2488-L2488</f>
        <v>0.61000000000000032</v>
      </c>
      <c r="N2488" s="15">
        <f>IFERROR(M2488/K2488,0)</f>
        <v>0.12500000000000006</v>
      </c>
      <c r="O2488" s="14">
        <f>IFERROR(L2488/J2488,0)</f>
        <v>1.1894150417827298</v>
      </c>
      <c r="P2488" s="14">
        <f>IFERROR(L2488/G2488,0)</f>
        <v>0.35583333333333456</v>
      </c>
    </row>
    <row r="2489" spans="1:19" x14ac:dyDescent="0.3">
      <c r="A2489" s="9" t="s">
        <v>5075</v>
      </c>
      <c r="B2489" s="9" t="s">
        <v>18</v>
      </c>
      <c r="C2489" s="9" t="s">
        <v>184</v>
      </c>
      <c r="D2489" s="52">
        <v>46261</v>
      </c>
      <c r="E2489" s="48">
        <v>0.72152777777777777</v>
      </c>
      <c r="F2489" s="48">
        <v>0.73055555555555562</v>
      </c>
      <c r="G2489" s="43">
        <f>(F2489-E2489)*1440</f>
        <v>13.000000000000114</v>
      </c>
      <c r="H2489" s="9" t="s">
        <v>4718</v>
      </c>
      <c r="I2489" s="9" t="s">
        <v>5256</v>
      </c>
      <c r="J2489" s="44">
        <v>6.16</v>
      </c>
      <c r="K2489" s="60">
        <v>5.94</v>
      </c>
      <c r="L2489" s="56">
        <v>4.22</v>
      </c>
      <c r="M2489" s="14">
        <f>K2489-L2489</f>
        <v>1.7200000000000006</v>
      </c>
      <c r="N2489" s="15">
        <f>IFERROR(M2489/K2489,0)</f>
        <v>0.28956228956228963</v>
      </c>
      <c r="O2489" s="14">
        <f>IFERROR(L2489/J2489,0)</f>
        <v>0.68506493506493504</v>
      </c>
      <c r="P2489" s="14">
        <f>IFERROR(L2489/G2489,0)</f>
        <v>0.32461538461538175</v>
      </c>
    </row>
    <row r="2490" spans="1:19" x14ac:dyDescent="0.3">
      <c r="A2490" s="9" t="s">
        <v>5076</v>
      </c>
      <c r="B2490" s="9" t="s">
        <v>18</v>
      </c>
      <c r="C2490" s="9" t="s">
        <v>184</v>
      </c>
      <c r="D2490" s="52">
        <v>46261</v>
      </c>
      <c r="E2490" s="48">
        <v>0.73611111111111116</v>
      </c>
      <c r="F2490" s="48">
        <v>0.74375000000000002</v>
      </c>
      <c r="G2490" s="43">
        <f>(F2490-E2490)*1440</f>
        <v>10.999999999999961</v>
      </c>
      <c r="H2490" s="9" t="s">
        <v>4285</v>
      </c>
      <c r="I2490" s="9" t="s">
        <v>5287</v>
      </c>
      <c r="J2490" s="44">
        <v>5.66</v>
      </c>
      <c r="K2490" s="60">
        <v>4.9400000000000004</v>
      </c>
      <c r="L2490" s="56">
        <v>4.03</v>
      </c>
      <c r="M2490" s="14">
        <f>K2490-L2490</f>
        <v>0.91000000000000014</v>
      </c>
      <c r="N2490" s="15">
        <f>IFERROR(M2490/K2490,0)</f>
        <v>0.18421052631578949</v>
      </c>
      <c r="O2490" s="14">
        <f>IFERROR(L2490/J2490,0)</f>
        <v>0.71201413427561844</v>
      </c>
      <c r="P2490" s="14">
        <f>IFERROR(L2490/G2490,0)</f>
        <v>0.36636363636363767</v>
      </c>
    </row>
    <row r="2491" spans="1:19" x14ac:dyDescent="0.3">
      <c r="A2491" s="9" t="s">
        <v>5077</v>
      </c>
      <c r="B2491" s="9" t="s">
        <v>18</v>
      </c>
      <c r="C2491" s="9" t="s">
        <v>196</v>
      </c>
      <c r="D2491" s="52">
        <v>46261</v>
      </c>
      <c r="E2491" s="48">
        <v>0.75208333333333333</v>
      </c>
      <c r="F2491" s="48">
        <v>0.75902777777777775</v>
      </c>
      <c r="G2491" s="43">
        <f>(F2491-E2491)*1440</f>
        <v>9.9999999999999645</v>
      </c>
      <c r="H2491" s="9" t="s">
        <v>5288</v>
      </c>
      <c r="I2491" s="9" t="s">
        <v>5289</v>
      </c>
      <c r="J2491" s="44">
        <v>3.61</v>
      </c>
      <c r="K2491" s="60">
        <v>4.99</v>
      </c>
      <c r="L2491" s="56">
        <v>4.04</v>
      </c>
      <c r="M2491" s="14">
        <f>K2491-L2491</f>
        <v>0.95000000000000018</v>
      </c>
      <c r="N2491" s="15">
        <f>IFERROR(M2491/K2491,0)</f>
        <v>0.19038076152304612</v>
      </c>
      <c r="O2491" s="14">
        <f>IFERROR(L2491/J2491,0)</f>
        <v>1.1191135734072022</v>
      </c>
      <c r="P2491" s="14">
        <f>IFERROR(L2491/G2491,0)</f>
        <v>0.40400000000000141</v>
      </c>
    </row>
    <row r="2492" spans="1:19" x14ac:dyDescent="0.3">
      <c r="A2492" s="9" t="s">
        <v>5078</v>
      </c>
      <c r="B2492" s="9" t="s">
        <v>18</v>
      </c>
      <c r="C2492" s="9" t="s">
        <v>184</v>
      </c>
      <c r="D2492" s="52">
        <v>46261</v>
      </c>
      <c r="E2492" s="48">
        <v>0.77430555555555547</v>
      </c>
      <c r="F2492" s="48">
        <v>0.78541666666666676</v>
      </c>
      <c r="G2492" s="43">
        <f>(F2492-E2492)*1440</f>
        <v>16.000000000000263</v>
      </c>
      <c r="H2492" s="9" t="s">
        <v>5290</v>
      </c>
      <c r="I2492" s="9" t="s">
        <v>5291</v>
      </c>
      <c r="J2492" s="44">
        <v>10.53</v>
      </c>
      <c r="K2492" s="60">
        <v>7.95</v>
      </c>
      <c r="L2492" s="56">
        <v>5.75</v>
      </c>
      <c r="M2492" s="14">
        <f>K2492-L2492</f>
        <v>2.2000000000000002</v>
      </c>
      <c r="N2492" s="15">
        <f>IFERROR(M2492/K2492,0)</f>
        <v>0.27672955974842767</v>
      </c>
      <c r="O2492" s="14">
        <f>IFERROR(L2492/J2492,0)</f>
        <v>0.54605887939221276</v>
      </c>
      <c r="P2492" s="14">
        <f>IFERROR(L2492/G2492,0)</f>
        <v>0.35937499999999412</v>
      </c>
    </row>
    <row r="2493" spans="1:19" x14ac:dyDescent="0.3">
      <c r="A2493" s="9" t="s">
        <v>5079</v>
      </c>
      <c r="B2493" s="9" t="s">
        <v>26</v>
      </c>
      <c r="C2493" s="9" t="s">
        <v>26</v>
      </c>
      <c r="D2493" s="52">
        <v>46261</v>
      </c>
      <c r="E2493" s="48">
        <v>0.59375</v>
      </c>
      <c r="F2493" s="48">
        <v>0.60416666666666663</v>
      </c>
      <c r="G2493" s="43">
        <f>(F2493-E2493)*1440</f>
        <v>14.999999999999947</v>
      </c>
      <c r="H2493" s="9" t="s">
        <v>698</v>
      </c>
      <c r="I2493" s="9" t="s">
        <v>5292</v>
      </c>
      <c r="J2493" s="44">
        <v>4.0999999999999996</v>
      </c>
      <c r="K2493" s="60">
        <v>5.8</v>
      </c>
      <c r="L2493" s="56">
        <v>4.3499999999999996</v>
      </c>
      <c r="M2493" s="14">
        <f>K2493-L2493</f>
        <v>1.4500000000000002</v>
      </c>
      <c r="N2493" s="15">
        <f>IFERROR(M2493/K2493,0)</f>
        <v>0.25000000000000006</v>
      </c>
      <c r="O2493" s="14">
        <f>IFERROR(L2493/J2493,0)</f>
        <v>1.0609756097560976</v>
      </c>
      <c r="P2493" s="14">
        <f>IFERROR(L2493/G2493,0)</f>
        <v>0.29000000000000098</v>
      </c>
    </row>
    <row r="2494" spans="1:19" x14ac:dyDescent="0.3">
      <c r="A2494" s="9" t="s">
        <v>5080</v>
      </c>
      <c r="B2494" s="9" t="s">
        <v>26</v>
      </c>
      <c r="C2494" s="9" t="s">
        <v>26</v>
      </c>
      <c r="D2494" s="52">
        <v>46261</v>
      </c>
      <c r="E2494" s="48">
        <v>0.63611111111111118</v>
      </c>
      <c r="F2494" s="48">
        <v>0.64166666666666672</v>
      </c>
      <c r="G2494" s="43">
        <f>(F2494-E2494)*1440</f>
        <v>7.9999999999999716</v>
      </c>
      <c r="H2494" s="9" t="s">
        <v>4556</v>
      </c>
      <c r="I2494" s="9" t="s">
        <v>5197</v>
      </c>
      <c r="J2494" s="44">
        <v>3.8</v>
      </c>
      <c r="K2494" s="60">
        <v>4.62</v>
      </c>
      <c r="L2494" s="56">
        <v>3.46</v>
      </c>
      <c r="M2494" s="14">
        <f>K2494-L2494</f>
        <v>1.1600000000000001</v>
      </c>
      <c r="N2494" s="15">
        <f>IFERROR(M2494/K2494,0)</f>
        <v>0.25108225108225113</v>
      </c>
      <c r="O2494" s="14">
        <f>IFERROR(L2494/J2494,0)</f>
        <v>0.91052631578947374</v>
      </c>
      <c r="P2494" s="14">
        <f>IFERROR(L2494/G2494,0)</f>
        <v>0.43250000000000155</v>
      </c>
    </row>
    <row r="2495" spans="1:19" x14ac:dyDescent="0.3">
      <c r="A2495" s="9" t="s">
        <v>5081</v>
      </c>
      <c r="B2495" s="9" t="s">
        <v>26</v>
      </c>
      <c r="C2495" s="9" t="s">
        <v>26</v>
      </c>
      <c r="D2495" s="52">
        <v>46261</v>
      </c>
      <c r="E2495" s="48">
        <v>0.64374999999999993</v>
      </c>
      <c r="F2495" s="48">
        <v>0.65416666666666667</v>
      </c>
      <c r="G2495" s="43">
        <f>(F2495-E2495)*1440</f>
        <v>15.000000000000107</v>
      </c>
      <c r="H2495" s="9" t="s">
        <v>5188</v>
      </c>
      <c r="I2495" s="9" t="s">
        <v>5293</v>
      </c>
      <c r="J2495" s="44">
        <v>14.2</v>
      </c>
      <c r="K2495" s="60">
        <v>8.98</v>
      </c>
      <c r="L2495" s="56">
        <v>7.4</v>
      </c>
      <c r="M2495" s="14">
        <f>K2495-L2495</f>
        <v>1.58</v>
      </c>
      <c r="N2495" s="15">
        <f>IFERROR(M2495/K2495,0)</f>
        <v>0.17594654788418709</v>
      </c>
      <c r="O2495" s="14">
        <f>IFERROR(L2495/J2495,0)</f>
        <v>0.52112676056338036</v>
      </c>
      <c r="P2495" s="14">
        <f>IFERROR(L2495/G2495,0)</f>
        <v>0.49333333333332985</v>
      </c>
    </row>
    <row r="2496" spans="1:19" x14ac:dyDescent="0.3">
      <c r="A2496" s="9" t="s">
        <v>5082</v>
      </c>
      <c r="B2496" s="9" t="s">
        <v>26</v>
      </c>
      <c r="C2496" s="9" t="s">
        <v>27</v>
      </c>
      <c r="D2496" s="52">
        <v>46261</v>
      </c>
      <c r="E2496" s="48">
        <v>0.79722222222222217</v>
      </c>
      <c r="F2496" s="48">
        <v>0.80833333333333324</v>
      </c>
      <c r="G2496" s="43">
        <f>(F2496-E2496)*1440</f>
        <v>15.999999999999943</v>
      </c>
      <c r="H2496" s="9" t="s">
        <v>5294</v>
      </c>
      <c r="I2496" s="9" t="s">
        <v>5295</v>
      </c>
      <c r="J2496" s="44">
        <v>6.9</v>
      </c>
      <c r="K2496" s="60">
        <v>6.2</v>
      </c>
      <c r="L2496" s="56">
        <v>5.12</v>
      </c>
      <c r="M2496" s="14">
        <f>K2496-L2496</f>
        <v>1.08</v>
      </c>
      <c r="N2496" s="15">
        <f>IFERROR(M2496/K2496,0)</f>
        <v>0.17419354838709677</v>
      </c>
      <c r="O2496" s="14">
        <f>IFERROR(L2496/J2496,0)</f>
        <v>0.74202898550724639</v>
      </c>
      <c r="P2496" s="14">
        <f>IFERROR(L2496/G2496,0)</f>
        <v>0.32000000000000112</v>
      </c>
    </row>
    <row r="2497" spans="1:16" x14ac:dyDescent="0.3">
      <c r="A2497" s="9" t="s">
        <v>5083</v>
      </c>
      <c r="B2497" s="9" t="s">
        <v>26</v>
      </c>
      <c r="C2497" s="9" t="s">
        <v>27</v>
      </c>
      <c r="D2497" s="52">
        <v>46262</v>
      </c>
      <c r="E2497" s="48">
        <v>0.73611111111111116</v>
      </c>
      <c r="F2497" s="48">
        <v>0.74722222222222223</v>
      </c>
      <c r="G2497" s="43">
        <f>(F2497-E2497)*1440</f>
        <v>15.999999999999943</v>
      </c>
      <c r="H2497" s="9" t="s">
        <v>2017</v>
      </c>
      <c r="I2497" s="9" t="s">
        <v>750</v>
      </c>
      <c r="J2497" s="44">
        <v>7.9</v>
      </c>
      <c r="K2497" s="60">
        <v>7.07</v>
      </c>
      <c r="L2497" s="56">
        <v>5.92</v>
      </c>
      <c r="M2497" s="14">
        <f>K2497-L2497</f>
        <v>1.1500000000000004</v>
      </c>
      <c r="N2497" s="15">
        <f>IFERROR(M2497/K2497,0)</f>
        <v>0.1626591230551627</v>
      </c>
      <c r="O2497" s="14">
        <f>IFERROR(L2497/J2497,0)</f>
        <v>0.74936708860759493</v>
      </c>
      <c r="P2497" s="14">
        <f>IFERROR(L2497/G2497,0)</f>
        <v>0.37000000000000133</v>
      </c>
    </row>
    <row r="2498" spans="1:16" x14ac:dyDescent="0.3">
      <c r="A2498" s="9" t="s">
        <v>5084</v>
      </c>
      <c r="B2498" s="9" t="s">
        <v>26</v>
      </c>
      <c r="C2498" s="9" t="s">
        <v>26</v>
      </c>
      <c r="D2498" s="52">
        <v>46262</v>
      </c>
      <c r="E2498" s="48">
        <v>0.75</v>
      </c>
      <c r="F2498" s="48">
        <v>0.76111111111111107</v>
      </c>
      <c r="G2498" s="43">
        <f>(F2498-E2498)*1440</f>
        <v>15.999999999999943</v>
      </c>
      <c r="H2498" s="9" t="s">
        <v>5320</v>
      </c>
      <c r="I2498" s="9" t="s">
        <v>1841</v>
      </c>
      <c r="J2498" s="44">
        <v>3.9</v>
      </c>
      <c r="K2498" s="60">
        <v>5.0999999999999996</v>
      </c>
      <c r="L2498" s="56">
        <v>4.25</v>
      </c>
      <c r="M2498" s="14">
        <f>K2498-L2498</f>
        <v>0.84999999999999964</v>
      </c>
      <c r="N2498" s="15">
        <f>IFERROR(M2498/K2498,0)</f>
        <v>0.1666666666666666</v>
      </c>
      <c r="O2498" s="14">
        <f>IFERROR(L2498/J2498,0)</f>
        <v>1.0897435897435899</v>
      </c>
      <c r="P2498" s="14">
        <f>IFERROR(L2498/G2498,0)</f>
        <v>0.26562500000000094</v>
      </c>
    </row>
    <row r="2499" spans="1:16" x14ac:dyDescent="0.3">
      <c r="A2499" s="9" t="s">
        <v>5085</v>
      </c>
      <c r="B2499" s="9" t="s">
        <v>26</v>
      </c>
      <c r="C2499" s="9" t="s">
        <v>26</v>
      </c>
      <c r="D2499" s="52">
        <v>46262</v>
      </c>
      <c r="E2499" s="48">
        <v>0.79652777777777783</v>
      </c>
      <c r="F2499" s="48">
        <v>0.80555555555555547</v>
      </c>
      <c r="G2499" s="43">
        <f>(F2499-E2499)*1440</f>
        <v>12.999999999999794</v>
      </c>
      <c r="H2499" s="9" t="s">
        <v>5321</v>
      </c>
      <c r="I2499" s="9" t="s">
        <v>729</v>
      </c>
      <c r="J2499" s="44">
        <v>8.1</v>
      </c>
      <c r="K2499" s="60">
        <v>6.58</v>
      </c>
      <c r="L2499" s="56">
        <v>6.03</v>
      </c>
      <c r="M2499" s="14">
        <f>K2499-L2499</f>
        <v>0.54999999999999982</v>
      </c>
      <c r="N2499" s="15">
        <f>IFERROR(M2499/K2499,0)</f>
        <v>8.3586626139817599E-2</v>
      </c>
      <c r="O2499" s="14">
        <f>IFERROR(L2499/J2499,0)</f>
        <v>0.74444444444444446</v>
      </c>
      <c r="P2499" s="14">
        <f>IFERROR(L2499/G2499,0)</f>
        <v>0.46384615384616124</v>
      </c>
    </row>
    <row r="2500" spans="1:16" x14ac:dyDescent="0.3">
      <c r="A2500" s="9" t="s">
        <v>5086</v>
      </c>
      <c r="B2500" s="9" t="s">
        <v>18</v>
      </c>
      <c r="C2500" s="9" t="s">
        <v>184</v>
      </c>
      <c r="D2500" s="52">
        <v>46262</v>
      </c>
      <c r="E2500" s="48">
        <v>0.55625000000000002</v>
      </c>
      <c r="F2500" s="48">
        <v>0.57013888888888886</v>
      </c>
      <c r="G2500" s="43">
        <f>(F2500-E2500)*1440</f>
        <v>19.999999999999929</v>
      </c>
      <c r="H2500" s="9" t="s">
        <v>5322</v>
      </c>
      <c r="I2500" s="9" t="s">
        <v>5323</v>
      </c>
      <c r="J2500" s="44">
        <v>17.579999999999998</v>
      </c>
      <c r="K2500" s="60">
        <v>12.96</v>
      </c>
      <c r="L2500" s="56">
        <v>9.17</v>
      </c>
      <c r="M2500" s="14">
        <f>K2500-L2500</f>
        <v>3.7900000000000009</v>
      </c>
      <c r="N2500" s="15">
        <f>IFERROR(M2500/K2500,0)</f>
        <v>0.29243827160493835</v>
      </c>
      <c r="O2500" s="14">
        <f>IFERROR(L2500/J2500,0)</f>
        <v>0.52161547212741755</v>
      </c>
      <c r="P2500" s="14">
        <f>IFERROR(L2500/G2500,0)</f>
        <v>0.45850000000000163</v>
      </c>
    </row>
    <row r="2501" spans="1:16" x14ac:dyDescent="0.3">
      <c r="A2501" s="9" t="s">
        <v>5296</v>
      </c>
      <c r="B2501" s="9" t="s">
        <v>18</v>
      </c>
      <c r="C2501" s="9" t="s">
        <v>184</v>
      </c>
      <c r="D2501" s="52">
        <v>46262</v>
      </c>
      <c r="E2501" s="48">
        <v>0.57430555555555551</v>
      </c>
      <c r="F2501" s="48">
        <v>0.58402777777777781</v>
      </c>
      <c r="G2501" s="43">
        <f>(F2501-E2501)*1440</f>
        <v>14.00000000000011</v>
      </c>
      <c r="H2501" s="9" t="s">
        <v>5324</v>
      </c>
      <c r="I2501" s="9" t="s">
        <v>214</v>
      </c>
      <c r="J2501" s="44">
        <v>6.99</v>
      </c>
      <c r="K2501" s="60">
        <v>6.94</v>
      </c>
      <c r="L2501" s="56">
        <v>4.83</v>
      </c>
      <c r="M2501" s="14">
        <f>K2501-L2501</f>
        <v>2.1100000000000003</v>
      </c>
      <c r="N2501" s="15">
        <f>IFERROR(M2501/K2501,0)</f>
        <v>0.30403458213256485</v>
      </c>
      <c r="O2501" s="14">
        <f>IFERROR(L2501/J2501,0)</f>
        <v>0.69098712446351929</v>
      </c>
      <c r="P2501" s="14">
        <f>IFERROR(L2501/G2501,0)</f>
        <v>0.34499999999999731</v>
      </c>
    </row>
    <row r="2502" spans="1:16" x14ac:dyDescent="0.3">
      <c r="A2502" s="9" t="s">
        <v>5297</v>
      </c>
      <c r="B2502" s="9" t="s">
        <v>18</v>
      </c>
      <c r="C2502" s="9" t="s">
        <v>184</v>
      </c>
      <c r="D2502" s="52">
        <v>46262</v>
      </c>
      <c r="E2502" s="48">
        <v>0.59583333333333333</v>
      </c>
      <c r="F2502" s="48">
        <v>0.60416666666666663</v>
      </c>
      <c r="G2502" s="43">
        <f>(F2502-E2502)*1440</f>
        <v>11.999999999999957</v>
      </c>
      <c r="H2502" s="9" t="s">
        <v>214</v>
      </c>
      <c r="I2502" s="9" t="s">
        <v>5325</v>
      </c>
      <c r="J2502" s="44">
        <v>10.55</v>
      </c>
      <c r="K2502" s="60">
        <v>8.25</v>
      </c>
      <c r="L2502" s="56">
        <v>5.16</v>
      </c>
      <c r="M2502" s="14">
        <f>K2502-L2502</f>
        <v>3.09</v>
      </c>
      <c r="N2502" s="15">
        <f>IFERROR(M2502/K2502,0)</f>
        <v>0.37454545454545451</v>
      </c>
      <c r="O2502" s="14">
        <f>IFERROR(L2502/J2502,0)</f>
        <v>0.48909952606635071</v>
      </c>
      <c r="P2502" s="14">
        <f>IFERROR(L2502/G2502,0)</f>
        <v>0.43000000000000155</v>
      </c>
    </row>
    <row r="2503" spans="1:16" x14ac:dyDescent="0.3">
      <c r="A2503" s="9" t="s">
        <v>5298</v>
      </c>
      <c r="B2503" s="9" t="s">
        <v>18</v>
      </c>
      <c r="C2503" s="9" t="s">
        <v>184</v>
      </c>
      <c r="D2503" s="52">
        <v>46262</v>
      </c>
      <c r="E2503" s="48">
        <v>0.59861111111111109</v>
      </c>
      <c r="F2503" s="48">
        <v>0.61041666666666672</v>
      </c>
      <c r="G2503" s="43">
        <f>(F2503-E2503)*1440</f>
        <v>17.000000000000099</v>
      </c>
      <c r="H2503" s="9" t="s">
        <v>5326</v>
      </c>
      <c r="I2503" s="9" t="s">
        <v>5327</v>
      </c>
      <c r="J2503" s="44">
        <v>12.89</v>
      </c>
      <c r="K2503" s="60">
        <v>8.94</v>
      </c>
      <c r="L2503" s="56">
        <v>6.05</v>
      </c>
      <c r="M2503" s="14">
        <f>K2503-L2503</f>
        <v>2.8899999999999997</v>
      </c>
      <c r="N2503" s="15">
        <f>IFERROR(M2503/K2503,0)</f>
        <v>0.3232662192393736</v>
      </c>
      <c r="O2503" s="14">
        <f>IFERROR(L2503/J2503,0)</f>
        <v>0.46935608999224199</v>
      </c>
      <c r="P2503" s="14">
        <f>IFERROR(L2503/G2503,0)</f>
        <v>0.35588235294117437</v>
      </c>
    </row>
    <row r="2504" spans="1:16" x14ac:dyDescent="0.3">
      <c r="A2504" s="9" t="s">
        <v>5299</v>
      </c>
      <c r="B2504" s="9" t="s">
        <v>18</v>
      </c>
      <c r="C2504" s="9" t="s">
        <v>184</v>
      </c>
      <c r="D2504" s="52">
        <v>46262</v>
      </c>
      <c r="E2504" s="48">
        <v>0.62013888888888891</v>
      </c>
      <c r="F2504" s="48">
        <v>0.62916666666666665</v>
      </c>
      <c r="G2504" s="43">
        <f>(F2504-E2504)*1440</f>
        <v>12.999999999999954</v>
      </c>
      <c r="H2504" s="9" t="s">
        <v>5328</v>
      </c>
      <c r="I2504" s="9" t="s">
        <v>5329</v>
      </c>
      <c r="J2504" s="44">
        <v>7.99</v>
      </c>
      <c r="K2504" s="60">
        <v>6.94</v>
      </c>
      <c r="L2504" s="56">
        <v>5.28</v>
      </c>
      <c r="M2504" s="14">
        <f>K2504-L2504</f>
        <v>1.6600000000000001</v>
      </c>
      <c r="N2504" s="15">
        <f>IFERROR(M2504/K2504,0)</f>
        <v>0.23919308357348704</v>
      </c>
      <c r="O2504" s="14">
        <f>IFERROR(L2504/J2504,0)</f>
        <v>0.66082603254067585</v>
      </c>
      <c r="P2504" s="14">
        <f>IFERROR(L2504/G2504,0)</f>
        <v>0.40615384615384764</v>
      </c>
    </row>
    <row r="2505" spans="1:16" x14ac:dyDescent="0.3">
      <c r="A2505" s="9" t="s">
        <v>5300</v>
      </c>
      <c r="B2505" s="9" t="s">
        <v>18</v>
      </c>
      <c r="C2505" s="9" t="s">
        <v>184</v>
      </c>
      <c r="D2505" s="52">
        <v>46262</v>
      </c>
      <c r="E2505" s="48">
        <v>0.63194444444444442</v>
      </c>
      <c r="F2505" s="48">
        <v>0.63750000000000007</v>
      </c>
      <c r="G2505" s="43">
        <f>(F2505-E2505)*1440</f>
        <v>8.0000000000001315</v>
      </c>
      <c r="H2505" s="9" t="s">
        <v>2616</v>
      </c>
      <c r="I2505" s="9" t="s">
        <v>775</v>
      </c>
      <c r="J2505" s="44">
        <v>3.01</v>
      </c>
      <c r="K2505" s="60">
        <v>4.96</v>
      </c>
      <c r="L2505" s="56">
        <v>3.43</v>
      </c>
      <c r="M2505" s="14">
        <f>K2505-L2505</f>
        <v>1.5299999999999998</v>
      </c>
      <c r="N2505" s="15">
        <f>IFERROR(M2505/K2505,0)</f>
        <v>0.30846774193548382</v>
      </c>
      <c r="O2505" s="14">
        <f>IFERROR(L2505/J2505,0)</f>
        <v>1.1395348837209303</v>
      </c>
      <c r="P2505" s="14">
        <f>IFERROR(L2505/G2505,0)</f>
        <v>0.42874999999999297</v>
      </c>
    </row>
    <row r="2506" spans="1:16" x14ac:dyDescent="0.3">
      <c r="A2506" s="9" t="s">
        <v>5301</v>
      </c>
      <c r="B2506" s="9" t="s">
        <v>18</v>
      </c>
      <c r="C2506" s="9" t="s">
        <v>184</v>
      </c>
      <c r="D2506" s="52">
        <v>46262</v>
      </c>
      <c r="E2506" s="48">
        <v>0.64027777777777783</v>
      </c>
      <c r="F2506" s="48">
        <v>0.65208333333333335</v>
      </c>
      <c r="G2506" s="43">
        <f>(F2506-E2506)*1440</f>
        <v>16.99999999999994</v>
      </c>
      <c r="H2506" s="9" t="s">
        <v>2242</v>
      </c>
      <c r="I2506" s="9" t="s">
        <v>725</v>
      </c>
      <c r="J2506" s="44">
        <v>10.18</v>
      </c>
      <c r="K2506" s="60">
        <v>7.94</v>
      </c>
      <c r="L2506" s="56">
        <v>5.43</v>
      </c>
      <c r="M2506" s="14">
        <f>K2506-L2506</f>
        <v>2.5100000000000007</v>
      </c>
      <c r="N2506" s="15">
        <f>IFERROR(M2506/K2506,0)</f>
        <v>0.31612090680100763</v>
      </c>
      <c r="O2506" s="14">
        <f>IFERROR(L2506/J2506,0)</f>
        <v>0.53339882121807469</v>
      </c>
      <c r="P2506" s="14">
        <f>IFERROR(L2506/G2506,0)</f>
        <v>0.31941176470588345</v>
      </c>
    </row>
    <row r="2507" spans="1:16" x14ac:dyDescent="0.3">
      <c r="A2507" s="9" t="s">
        <v>5302</v>
      </c>
      <c r="B2507" s="9" t="s">
        <v>18</v>
      </c>
      <c r="C2507" s="9" t="s">
        <v>196</v>
      </c>
      <c r="D2507" s="52">
        <v>46262</v>
      </c>
      <c r="E2507" s="48">
        <v>0.68055555555555547</v>
      </c>
      <c r="F2507" s="48">
        <v>0.68888888888888899</v>
      </c>
      <c r="G2507" s="43">
        <f>(F2507-E2507)*1440</f>
        <v>12.000000000000277</v>
      </c>
      <c r="H2507" s="9" t="s">
        <v>2855</v>
      </c>
      <c r="I2507" s="9" t="s">
        <v>1120</v>
      </c>
      <c r="J2507" s="44">
        <v>6.39</v>
      </c>
      <c r="K2507" s="60">
        <v>8.2100000000000009</v>
      </c>
      <c r="L2507" s="56">
        <v>5.47</v>
      </c>
      <c r="M2507" s="14">
        <f>K2507-L2507</f>
        <v>2.7400000000000011</v>
      </c>
      <c r="N2507" s="15">
        <f>IFERROR(M2507/K2507,0)</f>
        <v>0.33373934226552993</v>
      </c>
      <c r="O2507" s="14">
        <f>IFERROR(L2507/J2507,0)</f>
        <v>0.8560250391236307</v>
      </c>
      <c r="P2507" s="14">
        <f>IFERROR(L2507/G2507,0)</f>
        <v>0.45583333333332277</v>
      </c>
    </row>
    <row r="2508" spans="1:16" x14ac:dyDescent="0.3">
      <c r="A2508" s="9" t="s">
        <v>5303</v>
      </c>
      <c r="B2508" s="9" t="s">
        <v>18</v>
      </c>
      <c r="C2508" s="9" t="s">
        <v>184</v>
      </c>
      <c r="D2508" s="52">
        <v>46262</v>
      </c>
      <c r="E2508" s="48">
        <v>0.70763888888888893</v>
      </c>
      <c r="F2508" s="48">
        <v>0.7270833333333333</v>
      </c>
      <c r="G2508" s="43">
        <f>(F2508-E2508)*1440</f>
        <v>27.999999999999901</v>
      </c>
      <c r="H2508" s="9" t="s">
        <v>5330</v>
      </c>
      <c r="I2508" s="9" t="s">
        <v>5331</v>
      </c>
      <c r="J2508" s="44">
        <v>13.61</v>
      </c>
      <c r="K2508" s="60">
        <v>9.9600000000000009</v>
      </c>
      <c r="L2508" s="56">
        <v>7.65</v>
      </c>
      <c r="M2508" s="14">
        <f>K2508-L2508</f>
        <v>2.3100000000000005</v>
      </c>
      <c r="N2508" s="15">
        <f>IFERROR(M2508/K2508,0)</f>
        <v>0.23192771084337352</v>
      </c>
      <c r="O2508" s="14">
        <f>IFERROR(L2508/J2508,0)</f>
        <v>0.5620867009551801</v>
      </c>
      <c r="P2508" s="14">
        <f>IFERROR(L2508/G2508,0)</f>
        <v>0.27321428571428669</v>
      </c>
    </row>
    <row r="2509" spans="1:16" x14ac:dyDescent="0.3">
      <c r="A2509" s="9" t="s">
        <v>5304</v>
      </c>
      <c r="B2509" s="9" t="s">
        <v>18</v>
      </c>
      <c r="C2509" s="9" t="s">
        <v>184</v>
      </c>
      <c r="D2509" s="52">
        <v>46262</v>
      </c>
      <c r="E2509" s="48">
        <v>0.76041666666666663</v>
      </c>
      <c r="F2509" s="48">
        <v>0.7729166666666667</v>
      </c>
      <c r="G2509" s="43">
        <f>(F2509-E2509)*1440</f>
        <v>18.000000000000096</v>
      </c>
      <c r="H2509" s="9" t="s">
        <v>1725</v>
      </c>
      <c r="I2509" s="9" t="s">
        <v>5332</v>
      </c>
      <c r="J2509" s="44">
        <v>12.78</v>
      </c>
      <c r="K2509" s="60">
        <v>9.94</v>
      </c>
      <c r="L2509" s="56">
        <v>6.52</v>
      </c>
      <c r="M2509" s="14">
        <f>K2509-L2509</f>
        <v>3.42</v>
      </c>
      <c r="N2509" s="15">
        <f>IFERROR(M2509/K2509,0)</f>
        <v>0.34406438631790748</v>
      </c>
      <c r="O2509" s="14">
        <f>IFERROR(L2509/J2509,0)</f>
        <v>0.51017214397496091</v>
      </c>
      <c r="P2509" s="14">
        <f>IFERROR(L2509/G2509,0)</f>
        <v>0.36222222222222028</v>
      </c>
    </row>
    <row r="2510" spans="1:16" x14ac:dyDescent="0.3">
      <c r="A2510" s="9" t="s">
        <v>5305</v>
      </c>
      <c r="B2510" s="9" t="s">
        <v>18</v>
      </c>
      <c r="C2510" s="9" t="s">
        <v>196</v>
      </c>
      <c r="D2510" s="52">
        <v>46262</v>
      </c>
      <c r="E2510" s="48">
        <v>0.8041666666666667</v>
      </c>
      <c r="F2510" s="48">
        <v>0.81458333333333333</v>
      </c>
      <c r="G2510" s="43">
        <f>(F2510-E2510)*1440</f>
        <v>14.999999999999947</v>
      </c>
      <c r="H2510" s="9" t="s">
        <v>536</v>
      </c>
      <c r="I2510" s="9" t="s">
        <v>5333</v>
      </c>
      <c r="J2510" s="44">
        <v>8.61</v>
      </c>
      <c r="K2510" s="60">
        <v>8.99</v>
      </c>
      <c r="L2510" s="56">
        <v>6.74</v>
      </c>
      <c r="M2510" s="14">
        <f>K2510-L2510</f>
        <v>2.25</v>
      </c>
      <c r="N2510" s="15">
        <f>IFERROR(M2510/K2510,0)</f>
        <v>0.25027808676307006</v>
      </c>
      <c r="O2510" s="14">
        <f>IFERROR(L2510/J2510,0)</f>
        <v>0.78281068524970976</v>
      </c>
      <c r="P2510" s="14">
        <f>IFERROR(L2510/G2510,0)</f>
        <v>0.44933333333333492</v>
      </c>
    </row>
    <row r="2511" spans="1:16" x14ac:dyDescent="0.3">
      <c r="A2511" s="9" t="s">
        <v>5306</v>
      </c>
      <c r="B2511" s="9" t="s">
        <v>18</v>
      </c>
      <c r="C2511" s="9" t="s">
        <v>184</v>
      </c>
      <c r="D2511" s="52">
        <v>46262</v>
      </c>
      <c r="E2511" s="48">
        <v>0.83472222222222225</v>
      </c>
      <c r="F2511" s="48">
        <v>0.85</v>
      </c>
      <c r="G2511" s="43">
        <f>(F2511-E2511)*1440</f>
        <v>21.999999999999922</v>
      </c>
      <c r="H2511" s="9" t="s">
        <v>5334</v>
      </c>
      <c r="I2511" s="9" t="s">
        <v>5335</v>
      </c>
      <c r="J2511" s="44">
        <v>18.02</v>
      </c>
      <c r="K2511" s="60">
        <v>14.11</v>
      </c>
      <c r="L2511" s="56">
        <v>9.07</v>
      </c>
      <c r="M2511" s="14">
        <f>K2511-L2511</f>
        <v>5.0399999999999991</v>
      </c>
      <c r="N2511" s="15">
        <f>IFERROR(M2511/K2511,0)</f>
        <v>0.35719347980155913</v>
      </c>
      <c r="O2511" s="14">
        <f>IFERROR(L2511/J2511,0)</f>
        <v>0.50332963374028861</v>
      </c>
      <c r="P2511" s="14">
        <f>IFERROR(L2511/G2511,0)</f>
        <v>0.41227272727272873</v>
      </c>
    </row>
    <row r="2512" spans="1:16" x14ac:dyDescent="0.3">
      <c r="A2512" s="9" t="s">
        <v>5307</v>
      </c>
      <c r="B2512" s="9" t="s">
        <v>18</v>
      </c>
      <c r="C2512" s="9" t="s">
        <v>184</v>
      </c>
      <c r="D2512" s="52">
        <v>46263</v>
      </c>
      <c r="E2512" s="48">
        <v>0.60347222222222219</v>
      </c>
      <c r="F2512" s="48">
        <v>0.61597222222222225</v>
      </c>
      <c r="G2512" s="43">
        <f>(F2512-E2512)*1440</f>
        <v>18.000000000000096</v>
      </c>
      <c r="H2512" s="9" t="s">
        <v>5413</v>
      </c>
      <c r="I2512" s="9" t="s">
        <v>5414</v>
      </c>
      <c r="J2512" s="44">
        <v>18.399999999999999</v>
      </c>
      <c r="K2512" s="60">
        <v>9.93</v>
      </c>
      <c r="L2512" s="56">
        <v>9.3699999999999992</v>
      </c>
      <c r="M2512" s="14">
        <f>K2512-L2512</f>
        <v>0.5600000000000005</v>
      </c>
      <c r="N2512" s="15">
        <f>IFERROR(M2512/K2512,0)</f>
        <v>5.6394763343403875E-2</v>
      </c>
      <c r="O2512" s="14">
        <f>IFERROR(L2512/J2512,0)</f>
        <v>0.50923913043478264</v>
      </c>
      <c r="P2512" s="14">
        <f>IFERROR(L2512/G2512,0)</f>
        <v>0.52055555555555277</v>
      </c>
    </row>
    <row r="2513" spans="1:16" x14ac:dyDescent="0.3">
      <c r="A2513" s="9" t="s">
        <v>5308</v>
      </c>
      <c r="B2513" s="9" t="s">
        <v>18</v>
      </c>
      <c r="C2513" s="9" t="s">
        <v>184</v>
      </c>
      <c r="D2513" s="52">
        <v>46263</v>
      </c>
      <c r="E2513" s="48">
        <v>0.62291666666666667</v>
      </c>
      <c r="F2513" s="48">
        <v>0.62986111111111109</v>
      </c>
      <c r="G2513" s="43">
        <f>(F2513-E2513)*1440</f>
        <v>9.9999999999999645</v>
      </c>
      <c r="H2513" s="9" t="s">
        <v>5415</v>
      </c>
      <c r="I2513" s="9" t="s">
        <v>214</v>
      </c>
      <c r="J2513" s="44">
        <v>4.05</v>
      </c>
      <c r="K2513" s="60">
        <v>4.33</v>
      </c>
      <c r="L2513" s="56">
        <v>4.21</v>
      </c>
      <c r="M2513" s="14">
        <f>K2513-L2513</f>
        <v>0.12000000000000011</v>
      </c>
      <c r="N2513" s="15">
        <f>IFERROR(M2513/K2513,0)</f>
        <v>2.7713625866050834E-2</v>
      </c>
      <c r="O2513" s="14">
        <f>IFERROR(L2513/J2513,0)</f>
        <v>1.0395061728395063</v>
      </c>
      <c r="P2513" s="14">
        <f>IFERROR(L2513/G2513,0)</f>
        <v>0.42100000000000148</v>
      </c>
    </row>
    <row r="2514" spans="1:16" x14ac:dyDescent="0.3">
      <c r="A2514" s="9" t="s">
        <v>5309</v>
      </c>
      <c r="B2514" s="9" t="s">
        <v>18</v>
      </c>
      <c r="C2514" s="9" t="s">
        <v>184</v>
      </c>
      <c r="D2514" s="52">
        <v>46263</v>
      </c>
      <c r="E2514" s="48">
        <v>0.65763888888888888</v>
      </c>
      <c r="F2514" s="48">
        <v>0.66319444444444442</v>
      </c>
      <c r="G2514" s="43">
        <f>(F2514-E2514)*1440</f>
        <v>7.9999999999999716</v>
      </c>
      <c r="H2514" s="9" t="s">
        <v>5416</v>
      </c>
      <c r="I2514" s="9" t="s">
        <v>5417</v>
      </c>
      <c r="J2514" s="44">
        <v>4.1900000000000004</v>
      </c>
      <c r="K2514" s="60">
        <v>5.31</v>
      </c>
      <c r="L2514" s="56">
        <v>5.16</v>
      </c>
      <c r="M2514" s="14">
        <f>K2514-L2514</f>
        <v>0.14999999999999947</v>
      </c>
      <c r="N2514" s="15">
        <f>IFERROR(M2514/K2514,0)</f>
        <v>2.8248587570621372E-2</v>
      </c>
      <c r="O2514" s="14">
        <f>IFERROR(L2514/J2514,0)</f>
        <v>1.2315035799522671</v>
      </c>
      <c r="P2514" s="14">
        <f>IFERROR(L2514/G2514,0)</f>
        <v>0.64500000000000235</v>
      </c>
    </row>
    <row r="2515" spans="1:16" x14ac:dyDescent="0.3">
      <c r="A2515" s="9" t="s">
        <v>5310</v>
      </c>
      <c r="B2515" s="9" t="s">
        <v>18</v>
      </c>
      <c r="C2515" s="9" t="s">
        <v>184</v>
      </c>
      <c r="D2515" s="52">
        <v>46263</v>
      </c>
      <c r="E2515" s="48">
        <v>0.66666666666666663</v>
      </c>
      <c r="F2515" s="48">
        <v>0.67152777777777783</v>
      </c>
      <c r="G2515" s="43">
        <f>(F2515-E2515)*1440</f>
        <v>7.000000000000135</v>
      </c>
      <c r="H2515" s="9" t="s">
        <v>5418</v>
      </c>
      <c r="I2515" s="9" t="s">
        <v>4030</v>
      </c>
      <c r="J2515" s="44">
        <v>6.11</v>
      </c>
      <c r="K2515" s="60">
        <v>5.94</v>
      </c>
      <c r="L2515" s="56">
        <v>3.86</v>
      </c>
      <c r="M2515" s="14">
        <f>K2515-L2515</f>
        <v>2.0800000000000005</v>
      </c>
      <c r="N2515" s="15">
        <f>IFERROR(M2515/K2515,0)</f>
        <v>0.35016835016835024</v>
      </c>
      <c r="O2515" s="14">
        <f>IFERROR(L2515/J2515,0)</f>
        <v>0.63175122749590829</v>
      </c>
      <c r="P2515" s="14">
        <f>IFERROR(L2515/G2515,0)</f>
        <v>0.55142857142856072</v>
      </c>
    </row>
    <row r="2516" spans="1:16" x14ac:dyDescent="0.3">
      <c r="A2516" s="9" t="s">
        <v>5311</v>
      </c>
      <c r="B2516" s="9" t="s">
        <v>18</v>
      </c>
      <c r="C2516" s="9" t="s">
        <v>184</v>
      </c>
      <c r="D2516" s="52">
        <v>46263</v>
      </c>
      <c r="E2516" s="48">
        <v>0.69236111111111109</v>
      </c>
      <c r="F2516" s="48">
        <v>0.69861111111111107</v>
      </c>
      <c r="G2516" s="43">
        <f>(F2516-E2516)*1440</f>
        <v>8.999999999999968</v>
      </c>
      <c r="H2516" s="9" t="s">
        <v>1703</v>
      </c>
      <c r="I2516" s="9" t="s">
        <v>214</v>
      </c>
      <c r="J2516" s="44">
        <v>4.74</v>
      </c>
      <c r="K2516" s="60">
        <v>4.96</v>
      </c>
      <c r="L2516" s="56">
        <v>4.2699999999999996</v>
      </c>
      <c r="M2516" s="14">
        <f>K2516-L2516</f>
        <v>0.69000000000000039</v>
      </c>
      <c r="N2516" s="15">
        <f>IFERROR(M2516/K2516,0)</f>
        <v>0.13911290322580652</v>
      </c>
      <c r="O2516" s="14">
        <f>IFERROR(L2516/J2516,0)</f>
        <v>0.90084388185653996</v>
      </c>
      <c r="P2516" s="14">
        <f>IFERROR(L2516/G2516,0)</f>
        <v>0.47444444444444606</v>
      </c>
    </row>
    <row r="2517" spans="1:16" x14ac:dyDescent="0.3">
      <c r="A2517" s="9" t="s">
        <v>5312</v>
      </c>
      <c r="B2517" s="9" t="s">
        <v>18</v>
      </c>
      <c r="C2517" s="9" t="s">
        <v>184</v>
      </c>
      <c r="D2517" s="52">
        <v>46263</v>
      </c>
      <c r="E2517" s="48">
        <v>0.72499999999999998</v>
      </c>
      <c r="F2517" s="48">
        <v>0.73472222222222217</v>
      </c>
      <c r="G2517" s="43">
        <f>(F2517-E2517)*1440</f>
        <v>13.99999999999995</v>
      </c>
      <c r="H2517" s="9" t="s">
        <v>584</v>
      </c>
      <c r="I2517" s="9" t="s">
        <v>835</v>
      </c>
      <c r="J2517" s="44">
        <v>8.11</v>
      </c>
      <c r="K2517" s="60">
        <v>9.02</v>
      </c>
      <c r="L2517" s="56">
        <v>5.81</v>
      </c>
      <c r="M2517" s="14">
        <f>K2517-L2517</f>
        <v>3.21</v>
      </c>
      <c r="N2517" s="15">
        <f>IFERROR(M2517/K2517,0)</f>
        <v>0.3558758314855876</v>
      </c>
      <c r="O2517" s="14">
        <f>IFERROR(L2517/J2517,0)</f>
        <v>0.71639950678175091</v>
      </c>
      <c r="P2517" s="14">
        <f>IFERROR(L2517/G2517,0)</f>
        <v>0.41500000000000142</v>
      </c>
    </row>
    <row r="2518" spans="1:16" x14ac:dyDescent="0.3">
      <c r="A2518" s="9" t="s">
        <v>5313</v>
      </c>
      <c r="B2518" s="9" t="s">
        <v>18</v>
      </c>
      <c r="C2518" s="9" t="s">
        <v>184</v>
      </c>
      <c r="D2518" s="52">
        <v>46263</v>
      </c>
      <c r="E2518" s="48">
        <v>0.75555555555555554</v>
      </c>
      <c r="F2518" s="48">
        <v>0.77430555555555547</v>
      </c>
      <c r="G2518" s="43">
        <f>(F2518-E2518)*1440</f>
        <v>26.999999999999904</v>
      </c>
      <c r="H2518" s="9" t="s">
        <v>233</v>
      </c>
      <c r="I2518" s="9" t="s">
        <v>4590</v>
      </c>
      <c r="J2518" s="44">
        <v>18.04</v>
      </c>
      <c r="K2518" s="60">
        <v>14.94</v>
      </c>
      <c r="L2518" s="56">
        <v>10.88</v>
      </c>
      <c r="M2518" s="14">
        <f>K2518-L2518</f>
        <v>4.0599999999999987</v>
      </c>
      <c r="N2518" s="15">
        <f>IFERROR(M2518/K2518,0)</f>
        <v>0.27175368139223555</v>
      </c>
      <c r="O2518" s="14">
        <f>IFERROR(L2518/J2518,0)</f>
        <v>0.60310421286031046</v>
      </c>
      <c r="P2518" s="14">
        <f>IFERROR(L2518/G2518,0)</f>
        <v>0.40296296296296441</v>
      </c>
    </row>
    <row r="2519" spans="1:16" x14ac:dyDescent="0.3">
      <c r="A2519" s="9" t="s">
        <v>5314</v>
      </c>
      <c r="B2519" s="9" t="s">
        <v>18</v>
      </c>
      <c r="C2519" s="9" t="s">
        <v>184</v>
      </c>
      <c r="D2519" s="52">
        <v>46263</v>
      </c>
      <c r="E2519" s="48">
        <v>0.77777777777777779</v>
      </c>
      <c r="F2519" s="48">
        <v>0.79236111111111107</v>
      </c>
      <c r="G2519" s="43">
        <f>(F2519-E2519)*1440</f>
        <v>20.999999999999925</v>
      </c>
      <c r="H2519" s="9" t="s">
        <v>2193</v>
      </c>
      <c r="I2519" s="9" t="s">
        <v>5419</v>
      </c>
      <c r="J2519" s="44">
        <v>14.95</v>
      </c>
      <c r="K2519" s="60">
        <v>11.93</v>
      </c>
      <c r="L2519" s="56">
        <v>7.75</v>
      </c>
      <c r="M2519" s="14">
        <f>K2519-L2519</f>
        <v>4.18</v>
      </c>
      <c r="N2519" s="15">
        <f>IFERROR(M2519/K2519,0)</f>
        <v>0.35037720033528919</v>
      </c>
      <c r="O2519" s="14">
        <f>IFERROR(L2519/J2519,0)</f>
        <v>0.51839464882943143</v>
      </c>
      <c r="P2519" s="14">
        <f>IFERROR(L2519/G2519,0)</f>
        <v>0.36904761904762035</v>
      </c>
    </row>
    <row r="2520" spans="1:16" x14ac:dyDescent="0.3">
      <c r="A2520" s="9" t="s">
        <v>5315</v>
      </c>
      <c r="B2520" s="9" t="s">
        <v>18</v>
      </c>
      <c r="C2520" s="9" t="s">
        <v>184</v>
      </c>
      <c r="D2520" s="52">
        <v>46263</v>
      </c>
      <c r="E2520" s="48">
        <v>0.80972222222222223</v>
      </c>
      <c r="F2520" s="48">
        <v>0.81527777777777777</v>
      </c>
      <c r="G2520" s="43">
        <f>(F2520-E2520)*1440</f>
        <v>7.9999999999999716</v>
      </c>
      <c r="H2520" s="9" t="s">
        <v>775</v>
      </c>
      <c r="I2520" s="9" t="s">
        <v>1856</v>
      </c>
      <c r="J2520" s="44">
        <v>3.98</v>
      </c>
      <c r="K2520" s="60">
        <v>5.98</v>
      </c>
      <c r="L2520" s="56">
        <v>4.12</v>
      </c>
      <c r="M2520" s="14">
        <f>K2520-L2520</f>
        <v>1.8600000000000003</v>
      </c>
      <c r="N2520" s="15">
        <f>IFERROR(M2520/K2520,0)</f>
        <v>0.31103678929765888</v>
      </c>
      <c r="O2520" s="14">
        <f>IFERROR(L2520/J2520,0)</f>
        <v>1.035175879396985</v>
      </c>
      <c r="P2520" s="14">
        <f>IFERROR(L2520/G2520,0)</f>
        <v>0.51500000000000179</v>
      </c>
    </row>
    <row r="2521" spans="1:16" x14ac:dyDescent="0.3">
      <c r="A2521" s="9" t="s">
        <v>5316</v>
      </c>
      <c r="B2521" s="9" t="s">
        <v>18</v>
      </c>
      <c r="C2521" s="9" t="s">
        <v>184</v>
      </c>
      <c r="D2521" s="52">
        <v>46263</v>
      </c>
      <c r="E2521" s="48">
        <v>0.8222222222222223</v>
      </c>
      <c r="F2521" s="48">
        <v>0.8354166666666667</v>
      </c>
      <c r="G2521" s="43">
        <f>(F2521-E2521)*1440</f>
        <v>18.999999999999932</v>
      </c>
      <c r="H2521" s="9" t="s">
        <v>5420</v>
      </c>
      <c r="I2521" s="9" t="s">
        <v>1216</v>
      </c>
      <c r="J2521" s="44">
        <v>14.35</v>
      </c>
      <c r="K2521" s="60">
        <v>9.9499999999999993</v>
      </c>
      <c r="L2521" s="56">
        <v>6.6</v>
      </c>
      <c r="M2521" s="14">
        <f>K2521-L2521</f>
        <v>3.3499999999999996</v>
      </c>
      <c r="N2521" s="15">
        <f>IFERROR(M2521/K2521,0)</f>
        <v>0.33668341708542715</v>
      </c>
      <c r="O2521" s="14">
        <f>IFERROR(L2521/J2521,0)</f>
        <v>0.45993031358885017</v>
      </c>
      <c r="P2521" s="14">
        <f>IFERROR(L2521/G2521,0)</f>
        <v>0.34736842105263277</v>
      </c>
    </row>
    <row r="2522" spans="1:16" x14ac:dyDescent="0.3">
      <c r="A2522" s="9" t="s">
        <v>5317</v>
      </c>
      <c r="B2522" s="9" t="s">
        <v>26</v>
      </c>
      <c r="C2522" s="9" t="s">
        <v>27</v>
      </c>
      <c r="D2522" s="52">
        <v>46263</v>
      </c>
      <c r="E2522" s="48">
        <v>0.54583333333333328</v>
      </c>
      <c r="F2522" s="48">
        <v>0.5493055555555556</v>
      </c>
      <c r="G2522" s="43">
        <f>(F2522-E2522)*1440</f>
        <v>5.0000000000001421</v>
      </c>
      <c r="H2522" s="9" t="s">
        <v>5421</v>
      </c>
      <c r="I2522" s="9" t="s">
        <v>5422</v>
      </c>
      <c r="J2522" s="44">
        <v>2.2999999999999998</v>
      </c>
      <c r="K2522" s="60">
        <v>3.92</v>
      </c>
      <c r="L2522" s="56">
        <v>3.23</v>
      </c>
      <c r="M2522" s="14">
        <f>K2522-L2522</f>
        <v>0.69</v>
      </c>
      <c r="N2522" s="15">
        <f>IFERROR(M2522/K2522,0)</f>
        <v>0.17602040816326531</v>
      </c>
      <c r="O2522" s="14">
        <f>IFERROR(L2522/J2522,0)</f>
        <v>1.4043478260869566</v>
      </c>
      <c r="P2522" s="14">
        <f>IFERROR(L2522/G2522,0)</f>
        <v>0.64599999999998159</v>
      </c>
    </row>
    <row r="2523" spans="1:16" x14ac:dyDescent="0.3">
      <c r="A2523" s="9" t="s">
        <v>5318</v>
      </c>
      <c r="B2523" s="9" t="s">
        <v>26</v>
      </c>
      <c r="C2523" s="9" t="s">
        <v>26</v>
      </c>
      <c r="D2523" s="52">
        <v>46263</v>
      </c>
      <c r="E2523" s="48">
        <v>0.55138888888888882</v>
      </c>
      <c r="F2523" s="48">
        <v>0.57013888888888886</v>
      </c>
      <c r="G2523" s="43">
        <f>(F2523-E2523)*1440</f>
        <v>27.000000000000064</v>
      </c>
      <c r="H2523" s="9" t="s">
        <v>5423</v>
      </c>
      <c r="I2523" s="9" t="s">
        <v>5424</v>
      </c>
      <c r="J2523" s="44">
        <v>15.6</v>
      </c>
      <c r="K2523" s="60">
        <v>11.76</v>
      </c>
      <c r="L2523" s="56">
        <v>11.02</v>
      </c>
      <c r="M2523" s="14">
        <f>K2523-L2523</f>
        <v>0.74000000000000021</v>
      </c>
      <c r="N2523" s="15">
        <f>IFERROR(M2523/K2523,0)</f>
        <v>6.2925170068027225E-2</v>
      </c>
      <c r="O2523" s="14">
        <f>IFERROR(L2523/J2523,0)</f>
        <v>0.70641025641025645</v>
      </c>
      <c r="P2523" s="14">
        <f>IFERROR(L2523/G2523,0)</f>
        <v>0.40814814814814715</v>
      </c>
    </row>
    <row r="2524" spans="1:16" x14ac:dyDescent="0.3">
      <c r="A2524" s="9" t="s">
        <v>5319</v>
      </c>
      <c r="B2524" s="9" t="s">
        <v>26</v>
      </c>
      <c r="C2524" s="9" t="s">
        <v>27</v>
      </c>
      <c r="D2524" s="52">
        <v>46263</v>
      </c>
      <c r="E2524" s="48">
        <v>0.57361111111111118</v>
      </c>
      <c r="F2524" s="48">
        <v>0.59513888888888888</v>
      </c>
      <c r="G2524" s="43">
        <f>(F2524-E2524)*1440</f>
        <v>30.99999999999989</v>
      </c>
      <c r="H2524" s="9" t="s">
        <v>4590</v>
      </c>
      <c r="I2524" s="9" t="s">
        <v>1260</v>
      </c>
      <c r="J2524" s="44">
        <v>32.9</v>
      </c>
      <c r="K2524" s="60">
        <v>18.05</v>
      </c>
      <c r="L2524" s="56">
        <v>13.54</v>
      </c>
      <c r="M2524" s="14">
        <f>K2524-L2524</f>
        <v>4.5100000000000016</v>
      </c>
      <c r="N2524" s="15">
        <f>IFERROR(M2524/K2524,0)</f>
        <v>0.24986149584487544</v>
      </c>
      <c r="O2524" s="14">
        <f>IFERROR(L2524/J2524,0)</f>
        <v>0.4115501519756839</v>
      </c>
      <c r="P2524" s="14">
        <f>IFERROR(L2524/G2524,0)</f>
        <v>0.43677419354838865</v>
      </c>
    </row>
    <row r="2525" spans="1:16" x14ac:dyDescent="0.3">
      <c r="A2525" s="9" t="s">
        <v>5336</v>
      </c>
      <c r="B2525" s="9" t="s">
        <v>26</v>
      </c>
      <c r="C2525" s="9" t="s">
        <v>27</v>
      </c>
      <c r="D2525" s="52">
        <v>46263</v>
      </c>
      <c r="E2525" s="48">
        <v>0.63472222222222219</v>
      </c>
      <c r="F2525" s="48">
        <v>0.64444444444444449</v>
      </c>
      <c r="G2525" s="43">
        <f>(F2525-E2525)*1440</f>
        <v>14.00000000000011</v>
      </c>
      <c r="H2525" s="9" t="s">
        <v>214</v>
      </c>
      <c r="I2525" s="9" t="s">
        <v>5425</v>
      </c>
      <c r="J2525" s="44">
        <v>9</v>
      </c>
      <c r="K2525" s="60">
        <v>6.92</v>
      </c>
      <c r="L2525" s="56">
        <v>5.19</v>
      </c>
      <c r="M2525" s="14">
        <f>K2525-L2525</f>
        <v>1.7299999999999995</v>
      </c>
      <c r="N2525" s="15">
        <f>IFERROR(M2525/K2525,0)</f>
        <v>0.24999999999999994</v>
      </c>
      <c r="O2525" s="14">
        <f>IFERROR(L2525/J2525,0)</f>
        <v>0.57666666666666666</v>
      </c>
      <c r="P2525" s="14">
        <f>IFERROR(L2525/G2525,0)</f>
        <v>0.37071428571428283</v>
      </c>
    </row>
    <row r="2526" spans="1:16" x14ac:dyDescent="0.3">
      <c r="A2526" s="9" t="s">
        <v>5337</v>
      </c>
      <c r="B2526" s="9" t="s">
        <v>26</v>
      </c>
      <c r="C2526" s="9" t="s">
        <v>27</v>
      </c>
      <c r="D2526" s="52">
        <v>46263</v>
      </c>
      <c r="E2526" s="48">
        <v>0.6479166666666667</v>
      </c>
      <c r="F2526" s="48">
        <v>0.65694444444444444</v>
      </c>
      <c r="G2526" s="43">
        <f>(F2526-E2526)*1440</f>
        <v>12.999999999999954</v>
      </c>
      <c r="H2526" s="9" t="s">
        <v>2559</v>
      </c>
      <c r="I2526" s="9" t="s">
        <v>4092</v>
      </c>
      <c r="J2526" s="44">
        <v>7.6</v>
      </c>
      <c r="K2526" s="60">
        <v>6.31</v>
      </c>
      <c r="L2526" s="56">
        <v>4.7300000000000004</v>
      </c>
      <c r="M2526" s="14">
        <f>K2526-L2526</f>
        <v>1.5799999999999992</v>
      </c>
      <c r="N2526" s="15">
        <f>IFERROR(M2526/K2526,0)</f>
        <v>0.25039619651347056</v>
      </c>
      <c r="O2526" s="14">
        <f>IFERROR(L2526/J2526,0)</f>
        <v>0.62236842105263168</v>
      </c>
      <c r="P2526" s="14">
        <f>IFERROR(L2526/G2526,0)</f>
        <v>0.36384615384615515</v>
      </c>
    </row>
    <row r="2527" spans="1:16" x14ac:dyDescent="0.3">
      <c r="A2527" s="9" t="s">
        <v>5338</v>
      </c>
      <c r="B2527" s="9" t="s">
        <v>26</v>
      </c>
      <c r="C2527" s="9" t="s">
        <v>26</v>
      </c>
      <c r="D2527" s="52">
        <v>46263</v>
      </c>
      <c r="E2527" s="48">
        <v>0.7055555555555556</v>
      </c>
      <c r="F2527" s="48">
        <v>0.71458333333333324</v>
      </c>
      <c r="G2527" s="43">
        <f>(F2527-E2527)*1440</f>
        <v>12.999999999999794</v>
      </c>
      <c r="H2527" s="9" t="s">
        <v>214</v>
      </c>
      <c r="I2527" s="9" t="s">
        <v>529</v>
      </c>
      <c r="J2527" s="44">
        <v>5.9</v>
      </c>
      <c r="K2527" s="60">
        <v>5.97</v>
      </c>
      <c r="L2527" s="56">
        <v>4.4800000000000004</v>
      </c>
      <c r="M2527" s="14">
        <f>K2527-L2527</f>
        <v>1.4899999999999993</v>
      </c>
      <c r="N2527" s="15">
        <f>IFERROR(M2527/K2527,0)</f>
        <v>0.24958123953098818</v>
      </c>
      <c r="O2527" s="14">
        <f>IFERROR(L2527/J2527,0)</f>
        <v>0.7593220338983051</v>
      </c>
      <c r="P2527" s="14">
        <f>IFERROR(L2527/G2527,0)</f>
        <v>0.3446153846153901</v>
      </c>
    </row>
    <row r="2528" spans="1:16" x14ac:dyDescent="0.3">
      <c r="A2528" s="9" t="s">
        <v>5339</v>
      </c>
      <c r="B2528" s="9" t="s">
        <v>26</v>
      </c>
      <c r="C2528" s="9" t="s">
        <v>27</v>
      </c>
      <c r="D2528" s="52">
        <v>46263</v>
      </c>
      <c r="E2528" s="48">
        <v>0.71597222222222223</v>
      </c>
      <c r="F2528" s="48">
        <v>0.72569444444444453</v>
      </c>
      <c r="G2528" s="43">
        <f>(F2528-E2528)*1440</f>
        <v>14.00000000000011</v>
      </c>
      <c r="H2528" s="9" t="s">
        <v>3305</v>
      </c>
      <c r="I2528" s="9" t="s">
        <v>530</v>
      </c>
      <c r="J2528" s="44">
        <v>6.4</v>
      </c>
      <c r="K2528" s="60">
        <v>5.92</v>
      </c>
      <c r="L2528" s="56">
        <v>4.4400000000000004</v>
      </c>
      <c r="M2528" s="14">
        <f>K2528-L2528</f>
        <v>1.4799999999999995</v>
      </c>
      <c r="N2528" s="15">
        <f>IFERROR(M2528/K2528,0)</f>
        <v>0.24999999999999992</v>
      </c>
      <c r="O2528" s="14">
        <f>IFERROR(L2528/J2528,0)</f>
        <v>0.69374999999999998</v>
      </c>
      <c r="P2528" s="14">
        <f>IFERROR(L2528/G2528,0)</f>
        <v>0.31714285714285467</v>
      </c>
    </row>
    <row r="2529" spans="1:16" x14ac:dyDescent="0.3">
      <c r="A2529" s="9" t="s">
        <v>5340</v>
      </c>
      <c r="B2529" s="9" t="s">
        <v>26</v>
      </c>
      <c r="C2529" s="9" t="s">
        <v>27</v>
      </c>
      <c r="D2529" s="52">
        <v>46263</v>
      </c>
      <c r="E2529" s="48">
        <v>0.74375000000000002</v>
      </c>
      <c r="F2529" s="48">
        <v>0.75486111111111109</v>
      </c>
      <c r="G2529" s="43">
        <f>(F2529-E2529)*1440</f>
        <v>15.999999999999943</v>
      </c>
      <c r="H2529" s="9" t="s">
        <v>5426</v>
      </c>
      <c r="I2529" s="9" t="s">
        <v>2785</v>
      </c>
      <c r="J2529" s="44">
        <v>12.4</v>
      </c>
      <c r="K2529" s="60">
        <v>7.9</v>
      </c>
      <c r="L2529" s="56">
        <v>5.92</v>
      </c>
      <c r="M2529" s="14">
        <f>K2529-L2529</f>
        <v>1.9800000000000004</v>
      </c>
      <c r="N2529" s="15">
        <f>IFERROR(M2529/K2529,0)</f>
        <v>0.25063291139240512</v>
      </c>
      <c r="O2529" s="14">
        <f>IFERROR(L2529/J2529,0)</f>
        <v>0.47741935483870968</v>
      </c>
      <c r="P2529" s="14">
        <f>IFERROR(L2529/G2529,0)</f>
        <v>0.37000000000000133</v>
      </c>
    </row>
    <row r="2530" spans="1:16" x14ac:dyDescent="0.3">
      <c r="A2530" s="9" t="s">
        <v>5341</v>
      </c>
      <c r="B2530" s="9" t="s">
        <v>26</v>
      </c>
      <c r="C2530" s="9" t="s">
        <v>26</v>
      </c>
      <c r="D2530" s="52">
        <v>46264</v>
      </c>
      <c r="E2530" s="48">
        <v>0.61736111111111114</v>
      </c>
      <c r="F2530" s="48">
        <v>0.62569444444444444</v>
      </c>
      <c r="G2530" s="43">
        <f>(F2530-E2530)*1440</f>
        <v>11.999999999999957</v>
      </c>
      <c r="H2530" s="9" t="s">
        <v>5427</v>
      </c>
      <c r="I2530" s="9" t="s">
        <v>611</v>
      </c>
      <c r="J2530" s="44">
        <v>5.3</v>
      </c>
      <c r="K2530" s="60">
        <v>5.73</v>
      </c>
      <c r="L2530" s="56">
        <v>4.7300000000000004</v>
      </c>
      <c r="M2530" s="14">
        <f>K2530-L2530</f>
        <v>1</v>
      </c>
      <c r="N2530" s="15">
        <f>IFERROR(M2530/K2530,0)</f>
        <v>0.17452006980802792</v>
      </c>
      <c r="O2530" s="14">
        <f>IFERROR(L2530/J2530,0)</f>
        <v>0.89245283018867938</v>
      </c>
      <c r="P2530" s="14">
        <f>IFERROR(L2530/G2530,0)</f>
        <v>0.39416666666666811</v>
      </c>
    </row>
    <row r="2531" spans="1:16" x14ac:dyDescent="0.3">
      <c r="A2531" s="9" t="s">
        <v>5342</v>
      </c>
      <c r="B2531" s="9" t="s">
        <v>26</v>
      </c>
      <c r="C2531" s="9" t="s">
        <v>27</v>
      </c>
      <c r="D2531" s="52">
        <v>46264</v>
      </c>
      <c r="E2531" s="48">
        <v>0.68680555555555556</v>
      </c>
      <c r="F2531" s="48">
        <v>0.6958333333333333</v>
      </c>
      <c r="G2531" s="43">
        <f>(F2531-E2531)*1440</f>
        <v>12.999999999999954</v>
      </c>
      <c r="H2531" s="9" t="s">
        <v>5428</v>
      </c>
      <c r="I2531" s="9" t="s">
        <v>3479</v>
      </c>
      <c r="J2531" s="44">
        <v>6.8</v>
      </c>
      <c r="K2531" s="60">
        <v>7.72</v>
      </c>
      <c r="L2531" s="56">
        <v>5.79</v>
      </c>
      <c r="M2531" s="14">
        <f>K2531-L2531</f>
        <v>1.9299999999999997</v>
      </c>
      <c r="N2531" s="15">
        <f>IFERROR(M2531/K2531,0)</f>
        <v>0.24999999999999997</v>
      </c>
      <c r="O2531" s="14">
        <f>IFERROR(L2531/J2531,0)</f>
        <v>0.85147058823529409</v>
      </c>
      <c r="P2531" s="14">
        <f>IFERROR(L2531/G2531,0)</f>
        <v>0.44538461538461699</v>
      </c>
    </row>
    <row r="2532" spans="1:16" x14ac:dyDescent="0.3">
      <c r="A2532" s="9" t="s">
        <v>5343</v>
      </c>
      <c r="B2532" s="9" t="s">
        <v>18</v>
      </c>
      <c r="C2532" s="9" t="s">
        <v>184</v>
      </c>
      <c r="D2532" s="52">
        <v>46264</v>
      </c>
      <c r="E2532" s="48">
        <v>0.53611111111111109</v>
      </c>
      <c r="F2532" s="48">
        <v>0.55138888888888882</v>
      </c>
      <c r="G2532" s="43">
        <f>(F2532-E2532)*1440</f>
        <v>21.999999999999922</v>
      </c>
      <c r="H2532" s="9" t="s">
        <v>2195</v>
      </c>
      <c r="I2532" s="9" t="s">
        <v>793</v>
      </c>
      <c r="J2532" s="44">
        <v>23.37</v>
      </c>
      <c r="K2532" s="60">
        <v>13.96</v>
      </c>
      <c r="L2532" s="56">
        <v>10.3</v>
      </c>
      <c r="M2532" s="14">
        <f>K2532-L2532</f>
        <v>3.66</v>
      </c>
      <c r="N2532" s="15">
        <f>IFERROR(M2532/K2532,0)</f>
        <v>0.2621776504297994</v>
      </c>
      <c r="O2532" s="14">
        <f>IFERROR(L2532/J2532,0)</f>
        <v>0.44073598630723149</v>
      </c>
      <c r="P2532" s="14">
        <f>IFERROR(L2532/G2532,0)</f>
        <v>0.46818181818181986</v>
      </c>
    </row>
    <row r="2533" spans="1:16" x14ac:dyDescent="0.3">
      <c r="A2533" s="9" t="s">
        <v>5344</v>
      </c>
      <c r="B2533" s="9" t="s">
        <v>18</v>
      </c>
      <c r="C2533" s="9" t="s">
        <v>184</v>
      </c>
      <c r="D2533" s="52">
        <v>46264</v>
      </c>
      <c r="E2533" s="48">
        <v>0.55555555555555558</v>
      </c>
      <c r="F2533" s="48">
        <v>0.56180555555555556</v>
      </c>
      <c r="G2533" s="43">
        <f>(F2533-E2533)*1440</f>
        <v>8.999999999999968</v>
      </c>
      <c r="H2533" s="9" t="s">
        <v>5429</v>
      </c>
      <c r="I2533" s="9" t="s">
        <v>214</v>
      </c>
      <c r="J2533" s="44">
        <v>7.73</v>
      </c>
      <c r="K2533" s="60">
        <v>5.96</v>
      </c>
      <c r="L2533" s="56">
        <v>4.7300000000000004</v>
      </c>
      <c r="M2533" s="14">
        <f>K2533-L2533</f>
        <v>1.2299999999999995</v>
      </c>
      <c r="N2533" s="15">
        <f>IFERROR(M2533/K2533,0)</f>
        <v>0.20637583892617442</v>
      </c>
      <c r="O2533" s="14">
        <f>IFERROR(L2533/J2533,0)</f>
        <v>0.61190168175937909</v>
      </c>
      <c r="P2533" s="14">
        <f>IFERROR(L2533/G2533,0)</f>
        <v>0.52555555555555744</v>
      </c>
    </row>
    <row r="2534" spans="1:16" x14ac:dyDescent="0.3">
      <c r="A2534" s="9" t="s">
        <v>5345</v>
      </c>
      <c r="B2534" s="9" t="s">
        <v>18</v>
      </c>
      <c r="C2534" s="9" t="s">
        <v>184</v>
      </c>
      <c r="D2534" s="52">
        <v>46264</v>
      </c>
      <c r="E2534" s="48">
        <v>0.5625</v>
      </c>
      <c r="F2534" s="48">
        <v>0.57013888888888886</v>
      </c>
      <c r="G2534" s="43">
        <f>(F2534-E2534)*1440</f>
        <v>10.999999999999961</v>
      </c>
      <c r="H2534" s="9" t="s">
        <v>214</v>
      </c>
      <c r="I2534" s="9" t="s">
        <v>1693</v>
      </c>
      <c r="J2534" s="44">
        <v>8.94</v>
      </c>
      <c r="K2534" s="60">
        <v>5.95</v>
      </c>
      <c r="L2534" s="56">
        <v>4.84</v>
      </c>
      <c r="M2534" s="14">
        <f>K2534-L2534</f>
        <v>1.1100000000000003</v>
      </c>
      <c r="N2534" s="15">
        <f>IFERROR(M2534/K2534,0)</f>
        <v>0.18655462184873955</v>
      </c>
      <c r="O2534" s="14">
        <f>IFERROR(L2534/J2534,0)</f>
        <v>0.54138702460850108</v>
      </c>
      <c r="P2534" s="14">
        <f>IFERROR(L2534/G2534,0)</f>
        <v>0.44000000000000156</v>
      </c>
    </row>
    <row r="2535" spans="1:16" x14ac:dyDescent="0.3">
      <c r="A2535" s="9" t="s">
        <v>5346</v>
      </c>
      <c r="B2535" s="9" t="s">
        <v>18</v>
      </c>
      <c r="C2535" s="9" t="s">
        <v>184</v>
      </c>
      <c r="D2535" s="52">
        <v>46264</v>
      </c>
      <c r="E2535" s="48">
        <v>0.56944444444444442</v>
      </c>
      <c r="F2535" s="48">
        <v>0.57430555555555551</v>
      </c>
      <c r="G2535" s="43">
        <f>(F2535-E2535)*1440</f>
        <v>6.9999999999999751</v>
      </c>
      <c r="H2535" s="9" t="s">
        <v>4736</v>
      </c>
      <c r="I2535" s="9" t="s">
        <v>4612</v>
      </c>
      <c r="J2535" s="44">
        <v>5.59</v>
      </c>
      <c r="K2535" s="60">
        <v>4.9400000000000004</v>
      </c>
      <c r="L2535" s="56">
        <v>4.26</v>
      </c>
      <c r="M2535" s="14">
        <f>K2535-L2535</f>
        <v>0.6800000000000006</v>
      </c>
      <c r="N2535" s="15">
        <f>IFERROR(M2535/K2535,0)</f>
        <v>0.13765182186234828</v>
      </c>
      <c r="O2535" s="14">
        <f>IFERROR(L2535/J2535,0)</f>
        <v>0.76207513416815742</v>
      </c>
      <c r="P2535" s="14">
        <f>IFERROR(L2535/G2535,0)</f>
        <v>0.60857142857143065</v>
      </c>
    </row>
    <row r="2536" spans="1:16" x14ac:dyDescent="0.3">
      <c r="A2536" s="9" t="s">
        <v>5347</v>
      </c>
      <c r="B2536" s="9" t="s">
        <v>18</v>
      </c>
      <c r="C2536" s="9" t="s">
        <v>184</v>
      </c>
      <c r="D2536" s="52">
        <v>46264</v>
      </c>
      <c r="E2536" s="48">
        <v>0.58888888888888891</v>
      </c>
      <c r="F2536" s="48">
        <v>0.59861111111111109</v>
      </c>
      <c r="G2536" s="43">
        <f>(F2536-E2536)*1440</f>
        <v>13.99999999999995</v>
      </c>
      <c r="H2536" s="9" t="s">
        <v>1945</v>
      </c>
      <c r="I2536" s="9" t="s">
        <v>1979</v>
      </c>
      <c r="J2536" s="44">
        <v>9.57</v>
      </c>
      <c r="K2536" s="60">
        <v>7.94</v>
      </c>
      <c r="L2536" s="56">
        <v>5.5</v>
      </c>
      <c r="M2536" s="14">
        <f>K2536-L2536</f>
        <v>2.4400000000000004</v>
      </c>
      <c r="N2536" s="15">
        <f>IFERROR(M2536/K2536,0)</f>
        <v>0.30730478589420657</v>
      </c>
      <c r="O2536" s="14">
        <f>IFERROR(L2536/J2536,0)</f>
        <v>0.57471264367816088</v>
      </c>
      <c r="P2536" s="14">
        <f>IFERROR(L2536/G2536,0)</f>
        <v>0.39285714285714424</v>
      </c>
    </row>
    <row r="2537" spans="1:16" x14ac:dyDescent="0.3">
      <c r="A2537" s="9" t="s">
        <v>5348</v>
      </c>
      <c r="B2537" s="9" t="s">
        <v>18</v>
      </c>
      <c r="C2537" s="9" t="s">
        <v>184</v>
      </c>
      <c r="D2537" s="52">
        <v>46264</v>
      </c>
      <c r="E2537" s="48">
        <v>0.60069444444444442</v>
      </c>
      <c r="F2537" s="48">
        <v>0.61111111111111105</v>
      </c>
      <c r="G2537" s="43">
        <f>(F2537-E2537)*1440</f>
        <v>14.999999999999947</v>
      </c>
      <c r="H2537" s="9" t="s">
        <v>5170</v>
      </c>
      <c r="I2537" s="9" t="s">
        <v>2230</v>
      </c>
      <c r="J2537" s="44">
        <v>8.14</v>
      </c>
      <c r="K2537" s="60">
        <v>7.95</v>
      </c>
      <c r="L2537" s="56">
        <v>5.17</v>
      </c>
      <c r="M2537" s="14">
        <f>K2537-L2537</f>
        <v>2.7800000000000002</v>
      </c>
      <c r="N2537" s="15">
        <f>IFERROR(M2537/K2537,0)</f>
        <v>0.349685534591195</v>
      </c>
      <c r="O2537" s="14">
        <f>IFERROR(L2537/J2537,0)</f>
        <v>0.63513513513513509</v>
      </c>
      <c r="P2537" s="14">
        <f>IFERROR(L2537/G2537,0)</f>
        <v>0.3446666666666679</v>
      </c>
    </row>
    <row r="2538" spans="1:16" x14ac:dyDescent="0.3">
      <c r="A2538" s="9" t="s">
        <v>5349</v>
      </c>
      <c r="B2538" s="9" t="s">
        <v>18</v>
      </c>
      <c r="C2538" s="9" t="s">
        <v>184</v>
      </c>
      <c r="D2538" s="52">
        <v>46264</v>
      </c>
      <c r="E2538" s="48">
        <v>0.63124999999999998</v>
      </c>
      <c r="F2538" s="48">
        <v>0.64166666666666672</v>
      </c>
      <c r="G2538" s="43">
        <f>(F2538-E2538)*1440</f>
        <v>15.000000000000107</v>
      </c>
      <c r="H2538" s="9" t="s">
        <v>5430</v>
      </c>
      <c r="I2538" s="9" t="s">
        <v>743</v>
      </c>
      <c r="J2538" s="44">
        <v>9.52</v>
      </c>
      <c r="K2538" s="60">
        <v>7.94</v>
      </c>
      <c r="L2538" s="56">
        <v>5.36</v>
      </c>
      <c r="M2538" s="14">
        <f>K2538-L2538</f>
        <v>2.58</v>
      </c>
      <c r="N2538" s="15">
        <f>IFERROR(M2538/K2538,0)</f>
        <v>0.32493702770780858</v>
      </c>
      <c r="O2538" s="14">
        <f>IFERROR(L2538/J2538,0)</f>
        <v>0.56302521008403372</v>
      </c>
      <c r="P2538" s="14">
        <f>IFERROR(L2538/G2538,0)</f>
        <v>0.35733333333333084</v>
      </c>
    </row>
    <row r="2539" spans="1:16" x14ac:dyDescent="0.3">
      <c r="A2539" s="9" t="s">
        <v>5350</v>
      </c>
      <c r="B2539" s="9" t="s">
        <v>18</v>
      </c>
      <c r="C2539" s="9" t="s">
        <v>184</v>
      </c>
      <c r="D2539" s="52">
        <v>46264</v>
      </c>
      <c r="E2539" s="48">
        <v>0.65694444444444444</v>
      </c>
      <c r="F2539" s="48">
        <v>0.66736111111111107</v>
      </c>
      <c r="G2539" s="43">
        <f>(F2539-E2539)*1440</f>
        <v>14.999999999999947</v>
      </c>
      <c r="H2539" s="9" t="s">
        <v>226</v>
      </c>
      <c r="I2539" s="9" t="s">
        <v>561</v>
      </c>
      <c r="J2539" s="44">
        <v>11.2</v>
      </c>
      <c r="K2539" s="60">
        <v>8.94</v>
      </c>
      <c r="L2539" s="56">
        <v>5.81</v>
      </c>
      <c r="M2539" s="14">
        <f>K2539-L2539</f>
        <v>3.13</v>
      </c>
      <c r="N2539" s="15">
        <f>IFERROR(M2539/K2539,0)</f>
        <v>0.35011185682326623</v>
      </c>
      <c r="O2539" s="14">
        <f>IFERROR(L2539/J2539,0)</f>
        <v>0.51875000000000004</v>
      </c>
      <c r="P2539" s="14">
        <f>IFERROR(L2539/G2539,0)</f>
        <v>0.3873333333333347</v>
      </c>
    </row>
    <row r="2540" spans="1:16" x14ac:dyDescent="0.3">
      <c r="A2540" s="9" t="s">
        <v>5351</v>
      </c>
      <c r="B2540" s="9" t="s">
        <v>18</v>
      </c>
      <c r="C2540" s="9" t="s">
        <v>184</v>
      </c>
      <c r="D2540" s="52">
        <v>46264</v>
      </c>
      <c r="E2540" s="48">
        <v>0.66805555555555562</v>
      </c>
      <c r="F2540" s="48">
        <v>0.67569444444444438</v>
      </c>
      <c r="G2540" s="43">
        <f>(F2540-E2540)*1440</f>
        <v>10.999999999999801</v>
      </c>
      <c r="H2540" s="9" t="s">
        <v>2026</v>
      </c>
      <c r="I2540" s="9" t="s">
        <v>5431</v>
      </c>
      <c r="J2540" s="44">
        <v>9.0399999999999991</v>
      </c>
      <c r="K2540" s="60">
        <v>7.27</v>
      </c>
      <c r="L2540" s="56">
        <v>5.62</v>
      </c>
      <c r="M2540" s="14">
        <f>K2540-L2540</f>
        <v>1.6499999999999995</v>
      </c>
      <c r="N2540" s="15">
        <f>IFERROR(M2540/K2540,0)</f>
        <v>0.22696011004126543</v>
      </c>
      <c r="O2540" s="14">
        <f>IFERROR(L2540/J2540,0)</f>
        <v>0.62168141592920356</v>
      </c>
      <c r="P2540" s="14">
        <f>IFERROR(L2540/G2540,0)</f>
        <v>0.51090909090910019</v>
      </c>
    </row>
    <row r="2541" spans="1:16" x14ac:dyDescent="0.3">
      <c r="A2541" s="9" t="s">
        <v>5352</v>
      </c>
      <c r="B2541" s="9" t="s">
        <v>18</v>
      </c>
      <c r="C2541" s="9" t="s">
        <v>184</v>
      </c>
      <c r="D2541" s="52">
        <v>46264</v>
      </c>
      <c r="E2541" s="48">
        <v>0.70416666666666661</v>
      </c>
      <c r="F2541" s="48">
        <v>0.71458333333333324</v>
      </c>
      <c r="G2541" s="43">
        <f>(F2541-E2541)*1440</f>
        <v>14.999999999999947</v>
      </c>
      <c r="H2541" s="9" t="s">
        <v>225</v>
      </c>
      <c r="I2541" s="9" t="s">
        <v>4033</v>
      </c>
      <c r="J2541" s="44">
        <v>12.17</v>
      </c>
      <c r="K2541" s="60">
        <v>8.94</v>
      </c>
      <c r="L2541" s="56">
        <v>7.14</v>
      </c>
      <c r="M2541" s="14">
        <f>K2541-L2541</f>
        <v>1.7999999999999998</v>
      </c>
      <c r="N2541" s="15">
        <f>IFERROR(M2541/K2541,0)</f>
        <v>0.20134228187919462</v>
      </c>
      <c r="O2541" s="14">
        <f>IFERROR(L2541/J2541,0)</f>
        <v>0.58668857847165157</v>
      </c>
      <c r="P2541" s="14">
        <f>IFERROR(L2541/G2541,0)</f>
        <v>0.47600000000000164</v>
      </c>
    </row>
    <row r="2542" spans="1:16" x14ac:dyDescent="0.3">
      <c r="A2542" s="9" t="s">
        <v>5353</v>
      </c>
      <c r="B2542" s="9" t="s">
        <v>18</v>
      </c>
      <c r="C2542" s="9" t="s">
        <v>184</v>
      </c>
      <c r="D2542" s="52">
        <v>46264</v>
      </c>
      <c r="E2542" s="48">
        <v>0.71597222222222223</v>
      </c>
      <c r="F2542" s="48">
        <v>0.73402777777777783</v>
      </c>
      <c r="G2542" s="43">
        <f>(F2542-E2542)*1440</f>
        <v>26.000000000000068</v>
      </c>
      <c r="H2542" s="9" t="s">
        <v>788</v>
      </c>
      <c r="I2542" s="9" t="s">
        <v>5432</v>
      </c>
      <c r="J2542" s="44">
        <v>28.43</v>
      </c>
      <c r="K2542" s="60">
        <v>15.94</v>
      </c>
      <c r="L2542" s="56">
        <v>10.74</v>
      </c>
      <c r="M2542" s="14">
        <f>K2542-L2542</f>
        <v>5.1999999999999993</v>
      </c>
      <c r="N2542" s="15">
        <f>IFERROR(M2542/K2542,0)</f>
        <v>0.32622333751568378</v>
      </c>
      <c r="O2542" s="14">
        <f>IFERROR(L2542/J2542,0)</f>
        <v>0.37776996130847695</v>
      </c>
      <c r="P2542" s="14">
        <f>IFERROR(L2542/G2542,0)</f>
        <v>0.41307692307692201</v>
      </c>
    </row>
    <row r="2543" spans="1:16" x14ac:dyDescent="0.3">
      <c r="A2543" s="9" t="s">
        <v>5354</v>
      </c>
      <c r="B2543" s="9"/>
      <c r="C2543" s="9"/>
      <c r="D2543" s="52"/>
      <c r="E2543" s="48"/>
      <c r="F2543" s="48"/>
      <c r="G2543" s="43">
        <f>(F2543-E2543)*1440</f>
        <v>0</v>
      </c>
      <c r="H2543" s="9"/>
      <c r="I2543" s="9"/>
      <c r="J2543" s="44"/>
      <c r="K2543" s="60"/>
      <c r="L2543" s="56"/>
      <c r="M2543" s="14">
        <f>K2543-L2543</f>
        <v>0</v>
      </c>
      <c r="N2543" s="15">
        <f>IFERROR(M2543/K2543,0)</f>
        <v>0</v>
      </c>
      <c r="O2543" s="14">
        <f>IFERROR(L2543/J2543,0)</f>
        <v>0</v>
      </c>
      <c r="P2543" s="14">
        <f>IFERROR(L2543/G2543,0)</f>
        <v>0</v>
      </c>
    </row>
    <row r="2544" spans="1:16" x14ac:dyDescent="0.3">
      <c r="A2544" s="9" t="s">
        <v>5355</v>
      </c>
      <c r="B2544" s="9"/>
      <c r="C2544" s="9"/>
      <c r="D2544" s="52"/>
      <c r="E2544" s="48"/>
      <c r="F2544" s="48"/>
      <c r="G2544" s="43">
        <f>(F2544-E2544)*1440</f>
        <v>0</v>
      </c>
      <c r="H2544" s="9"/>
      <c r="I2544" s="9"/>
      <c r="J2544" s="44"/>
      <c r="K2544" s="60"/>
      <c r="L2544" s="56"/>
      <c r="M2544" s="14">
        <f>K2544-L2544</f>
        <v>0</v>
      </c>
      <c r="N2544" s="15">
        <f>IFERROR(M2544/K2544,0)</f>
        <v>0</v>
      </c>
      <c r="O2544" s="14">
        <f>IFERROR(L2544/J2544,0)</f>
        <v>0</v>
      </c>
      <c r="P2544" s="14">
        <f>IFERROR(L2544/G2544,0)</f>
        <v>0</v>
      </c>
    </row>
    <row r="2545" spans="1:16" x14ac:dyDescent="0.3">
      <c r="A2545" s="9" t="s">
        <v>5356</v>
      </c>
      <c r="B2545" s="9"/>
      <c r="C2545" s="9"/>
      <c r="D2545" s="52"/>
      <c r="E2545" s="48"/>
      <c r="F2545" s="48"/>
      <c r="G2545" s="43">
        <f>(F2545-E2545)*1440</f>
        <v>0</v>
      </c>
      <c r="H2545" s="9"/>
      <c r="I2545" s="9"/>
      <c r="J2545" s="44"/>
      <c r="K2545" s="60"/>
      <c r="L2545" s="56"/>
      <c r="M2545" s="14">
        <f>K2545-L2545</f>
        <v>0</v>
      </c>
      <c r="N2545" s="15">
        <f>IFERROR(M2545/K2545,0)</f>
        <v>0</v>
      </c>
      <c r="O2545" s="14">
        <f>IFERROR(L2545/J2545,0)</f>
        <v>0</v>
      </c>
      <c r="P2545" s="14">
        <f>IFERROR(L2545/G2545,0)</f>
        <v>0</v>
      </c>
    </row>
    <row r="2546" spans="1:16" x14ac:dyDescent="0.3">
      <c r="A2546" s="9" t="s">
        <v>5357</v>
      </c>
      <c r="B2546" s="9"/>
      <c r="C2546" s="9"/>
      <c r="D2546" s="52"/>
      <c r="E2546" s="48"/>
      <c r="F2546" s="48"/>
      <c r="G2546" s="43">
        <f>(F2546-E2546)*1440</f>
        <v>0</v>
      </c>
      <c r="H2546" s="9"/>
      <c r="I2546" s="9"/>
      <c r="J2546" s="44"/>
      <c r="K2546" s="60"/>
      <c r="L2546" s="56"/>
      <c r="M2546" s="14">
        <f>K2546-L2546</f>
        <v>0</v>
      </c>
      <c r="N2546" s="15">
        <f>IFERROR(M2546/K2546,0)</f>
        <v>0</v>
      </c>
      <c r="O2546" s="14">
        <f>IFERROR(L2546/J2546,0)</f>
        <v>0</v>
      </c>
      <c r="P2546" s="14">
        <f>IFERROR(L2546/G2546,0)</f>
        <v>0</v>
      </c>
    </row>
    <row r="2547" spans="1:16" x14ac:dyDescent="0.3">
      <c r="A2547" s="9" t="s">
        <v>5358</v>
      </c>
      <c r="B2547" s="9"/>
      <c r="C2547" s="9"/>
      <c r="D2547" s="52"/>
      <c r="E2547" s="48"/>
      <c r="F2547" s="48"/>
      <c r="G2547" s="43">
        <f>(F2547-E2547)*1440</f>
        <v>0</v>
      </c>
      <c r="H2547" s="9"/>
      <c r="I2547" s="9"/>
      <c r="J2547" s="44"/>
      <c r="K2547" s="60"/>
      <c r="L2547" s="56"/>
      <c r="M2547" s="14">
        <f>K2547-L2547</f>
        <v>0</v>
      </c>
      <c r="N2547" s="15">
        <f>IFERROR(M2547/K2547,0)</f>
        <v>0</v>
      </c>
      <c r="O2547" s="14">
        <f>IFERROR(L2547/J2547,0)</f>
        <v>0</v>
      </c>
      <c r="P2547" s="14">
        <f>IFERROR(L2547/G2547,0)</f>
        <v>0</v>
      </c>
    </row>
    <row r="2548" spans="1:16" x14ac:dyDescent="0.3">
      <c r="A2548" s="9" t="s">
        <v>5359</v>
      </c>
      <c r="B2548" s="9"/>
      <c r="C2548" s="9"/>
      <c r="D2548" s="52"/>
      <c r="E2548" s="48"/>
      <c r="F2548" s="48"/>
      <c r="G2548" s="43">
        <f>(F2548-E2548)*1440</f>
        <v>0</v>
      </c>
      <c r="H2548" s="9"/>
      <c r="I2548" s="9"/>
      <c r="J2548" s="44"/>
      <c r="K2548" s="60"/>
      <c r="L2548" s="56"/>
      <c r="M2548" s="14">
        <f>K2548-L2548</f>
        <v>0</v>
      </c>
      <c r="N2548" s="15">
        <f>IFERROR(M2548/K2548,0)</f>
        <v>0</v>
      </c>
      <c r="O2548" s="14">
        <f>IFERROR(L2548/J2548,0)</f>
        <v>0</v>
      </c>
      <c r="P2548" s="14">
        <f>IFERROR(L2548/G2548,0)</f>
        <v>0</v>
      </c>
    </row>
    <row r="2549" spans="1:16" x14ac:dyDescent="0.3">
      <c r="A2549" s="9" t="s">
        <v>5360</v>
      </c>
      <c r="B2549" s="9"/>
      <c r="C2549" s="9"/>
      <c r="D2549" s="52"/>
      <c r="E2549" s="48"/>
      <c r="F2549" s="48"/>
      <c r="G2549" s="43">
        <f>(F2549-E2549)*1440</f>
        <v>0</v>
      </c>
      <c r="H2549" s="9"/>
      <c r="I2549" s="9"/>
      <c r="J2549" s="44"/>
      <c r="K2549" s="60"/>
      <c r="L2549" s="56"/>
      <c r="M2549" s="14">
        <f>K2549-L2549</f>
        <v>0</v>
      </c>
      <c r="N2549" s="15">
        <f>IFERROR(M2549/K2549,0)</f>
        <v>0</v>
      </c>
      <c r="O2549" s="14">
        <f>IFERROR(L2549/J2549,0)</f>
        <v>0</v>
      </c>
      <c r="P2549" s="14">
        <f>IFERROR(L2549/G2549,0)</f>
        <v>0</v>
      </c>
    </row>
    <row r="2550" spans="1:16" x14ac:dyDescent="0.3">
      <c r="A2550" s="9" t="s">
        <v>5361</v>
      </c>
      <c r="B2550" s="9"/>
      <c r="C2550" s="9"/>
      <c r="D2550" s="52"/>
      <c r="E2550" s="48"/>
      <c r="F2550" s="48"/>
      <c r="G2550" s="43">
        <f>(F2550-E2550)*1440</f>
        <v>0</v>
      </c>
      <c r="H2550" s="9"/>
      <c r="I2550" s="9"/>
      <c r="J2550" s="44"/>
      <c r="K2550" s="60"/>
      <c r="L2550" s="56"/>
      <c r="M2550" s="14">
        <f>K2550-L2550</f>
        <v>0</v>
      </c>
      <c r="N2550" s="15">
        <f>IFERROR(M2550/K2550,0)</f>
        <v>0</v>
      </c>
      <c r="O2550" s="14">
        <f>IFERROR(L2550/J2550,0)</f>
        <v>0</v>
      </c>
      <c r="P2550" s="14">
        <f>IFERROR(L2550/G2550,0)</f>
        <v>0</v>
      </c>
    </row>
    <row r="2551" spans="1:16" x14ac:dyDescent="0.3">
      <c r="A2551" s="9" t="s">
        <v>5362</v>
      </c>
      <c r="B2551" s="9"/>
      <c r="C2551" s="9"/>
      <c r="D2551" s="52"/>
      <c r="E2551" s="48"/>
      <c r="F2551" s="48"/>
      <c r="G2551" s="43">
        <f>(F2551-E2551)*1440</f>
        <v>0</v>
      </c>
      <c r="H2551" s="9"/>
      <c r="I2551" s="9"/>
      <c r="J2551" s="44"/>
      <c r="K2551" s="60"/>
      <c r="L2551" s="56"/>
      <c r="M2551" s="14">
        <f>K2551-L2551</f>
        <v>0</v>
      </c>
      <c r="N2551" s="15">
        <f>IFERROR(M2551/K2551,0)</f>
        <v>0</v>
      </c>
      <c r="O2551" s="14">
        <f>IFERROR(L2551/J2551,0)</f>
        <v>0</v>
      </c>
      <c r="P2551" s="14">
        <f>IFERROR(L2551/G2551,0)</f>
        <v>0</v>
      </c>
    </row>
    <row r="2552" spans="1:16" x14ac:dyDescent="0.3">
      <c r="A2552" s="9" t="s">
        <v>5363</v>
      </c>
      <c r="B2552" s="9"/>
      <c r="C2552" s="9"/>
      <c r="D2552" s="52"/>
      <c r="E2552" s="48"/>
      <c r="F2552" s="48"/>
      <c r="G2552" s="43">
        <f>(F2552-E2552)*1440</f>
        <v>0</v>
      </c>
      <c r="H2552" s="9"/>
      <c r="I2552" s="9"/>
      <c r="J2552" s="44"/>
      <c r="K2552" s="60"/>
      <c r="L2552" s="56"/>
      <c r="M2552" s="14">
        <f>K2552-L2552</f>
        <v>0</v>
      </c>
      <c r="N2552" s="15">
        <f>IFERROR(M2552/K2552,0)</f>
        <v>0</v>
      </c>
      <c r="O2552" s="14">
        <f>IFERROR(L2552/J2552,0)</f>
        <v>0</v>
      </c>
      <c r="P2552" s="14">
        <f>IFERROR(L2552/G2552,0)</f>
        <v>0</v>
      </c>
    </row>
    <row r="2553" spans="1:16" x14ac:dyDescent="0.3">
      <c r="A2553" s="9" t="s">
        <v>5364</v>
      </c>
      <c r="B2553" s="9"/>
      <c r="C2553" s="9"/>
      <c r="D2553" s="52"/>
      <c r="E2553" s="48"/>
      <c r="F2553" s="48"/>
      <c r="G2553" s="43">
        <f>(F2553-E2553)*1440</f>
        <v>0</v>
      </c>
      <c r="H2553" s="9"/>
      <c r="I2553" s="9"/>
      <c r="J2553" s="44"/>
      <c r="K2553" s="60"/>
      <c r="L2553" s="56"/>
      <c r="M2553" s="14">
        <f>K2553-L2553</f>
        <v>0</v>
      </c>
      <c r="N2553" s="15">
        <f>IFERROR(M2553/K2553,0)</f>
        <v>0</v>
      </c>
      <c r="O2553" s="14">
        <f>IFERROR(L2553/J2553,0)</f>
        <v>0</v>
      </c>
      <c r="P2553" s="14">
        <f>IFERROR(L2553/G2553,0)</f>
        <v>0</v>
      </c>
    </row>
    <row r="2554" spans="1:16" x14ac:dyDescent="0.3">
      <c r="A2554" s="9" t="s">
        <v>5365</v>
      </c>
      <c r="B2554" s="9"/>
      <c r="C2554" s="9"/>
      <c r="D2554" s="52"/>
      <c r="E2554" s="48"/>
      <c r="F2554" s="48"/>
      <c r="G2554" s="43">
        <f>(F2554-E2554)*1440</f>
        <v>0</v>
      </c>
      <c r="H2554" s="9"/>
      <c r="I2554" s="9"/>
      <c r="J2554" s="44"/>
      <c r="K2554" s="60"/>
      <c r="L2554" s="56"/>
      <c r="M2554" s="14">
        <f>K2554-L2554</f>
        <v>0</v>
      </c>
      <c r="N2554" s="15">
        <f>IFERROR(M2554/K2554,0)</f>
        <v>0</v>
      </c>
      <c r="O2554" s="14">
        <f>IFERROR(L2554/J2554,0)</f>
        <v>0</v>
      </c>
      <c r="P2554" s="14">
        <f>IFERROR(L2554/G2554,0)</f>
        <v>0</v>
      </c>
    </row>
    <row r="2555" spans="1:16" x14ac:dyDescent="0.3">
      <c r="A2555" s="9" t="s">
        <v>5366</v>
      </c>
      <c r="B2555" s="9"/>
      <c r="C2555" s="9"/>
      <c r="D2555" s="52"/>
      <c r="E2555" s="48"/>
      <c r="F2555" s="48"/>
      <c r="G2555" s="43">
        <f>(F2555-E2555)*1440</f>
        <v>0</v>
      </c>
      <c r="H2555" s="9"/>
      <c r="I2555" s="9"/>
      <c r="J2555" s="44"/>
      <c r="K2555" s="60"/>
      <c r="L2555" s="56"/>
      <c r="M2555" s="14">
        <f>K2555-L2555</f>
        <v>0</v>
      </c>
      <c r="N2555" s="15">
        <f>IFERROR(M2555/K2555,0)</f>
        <v>0</v>
      </c>
      <c r="O2555" s="14">
        <f>IFERROR(L2555/J2555,0)</f>
        <v>0</v>
      </c>
      <c r="P2555" s="14">
        <f>IFERROR(L2555/G2555,0)</f>
        <v>0</v>
      </c>
    </row>
    <row r="2556" spans="1:16" x14ac:dyDescent="0.3">
      <c r="A2556" s="9" t="s">
        <v>5367</v>
      </c>
      <c r="B2556" s="9"/>
      <c r="C2556" s="9"/>
      <c r="D2556" s="52"/>
      <c r="E2556" s="48"/>
      <c r="F2556" s="48"/>
      <c r="G2556" s="43">
        <f>(F2556-E2556)*1440</f>
        <v>0</v>
      </c>
      <c r="H2556" s="9"/>
      <c r="I2556" s="9"/>
      <c r="J2556" s="44"/>
      <c r="K2556" s="60"/>
      <c r="L2556" s="56"/>
      <c r="M2556" s="14">
        <f>K2556-L2556</f>
        <v>0</v>
      </c>
      <c r="N2556" s="15">
        <f>IFERROR(M2556/K2556,0)</f>
        <v>0</v>
      </c>
      <c r="O2556" s="14">
        <f>IFERROR(L2556/J2556,0)</f>
        <v>0</v>
      </c>
      <c r="P2556" s="14">
        <f>IFERROR(L2556/G2556,0)</f>
        <v>0</v>
      </c>
    </row>
    <row r="2557" spans="1:16" x14ac:dyDescent="0.3">
      <c r="A2557" s="9" t="s">
        <v>5368</v>
      </c>
      <c r="B2557" s="9"/>
      <c r="C2557" s="9"/>
      <c r="D2557" s="52"/>
      <c r="E2557" s="48"/>
      <c r="F2557" s="48"/>
      <c r="G2557" s="43">
        <f>(F2557-E2557)*1440</f>
        <v>0</v>
      </c>
      <c r="H2557" s="9"/>
      <c r="I2557" s="9"/>
      <c r="J2557" s="44"/>
      <c r="K2557" s="60"/>
      <c r="L2557" s="56"/>
      <c r="M2557" s="14">
        <f>K2557-L2557</f>
        <v>0</v>
      </c>
      <c r="N2557" s="15">
        <f>IFERROR(M2557/K2557,0)</f>
        <v>0</v>
      </c>
      <c r="O2557" s="14">
        <f>IFERROR(L2557/J2557,0)</f>
        <v>0</v>
      </c>
      <c r="P2557" s="14">
        <f>IFERROR(L2557/G2557,0)</f>
        <v>0</v>
      </c>
    </row>
    <row r="2558" spans="1:16" x14ac:dyDescent="0.3">
      <c r="A2558" s="9" t="s">
        <v>5369</v>
      </c>
      <c r="B2558" s="9"/>
      <c r="C2558" s="9"/>
      <c r="D2558" s="52"/>
      <c r="E2558" s="48"/>
      <c r="F2558" s="48"/>
      <c r="G2558" s="43">
        <f>(F2558-E2558)*1440</f>
        <v>0</v>
      </c>
      <c r="H2558" s="9"/>
      <c r="I2558" s="9"/>
      <c r="J2558" s="44"/>
      <c r="K2558" s="60"/>
      <c r="L2558" s="56"/>
      <c r="M2558" s="14">
        <f>K2558-L2558</f>
        <v>0</v>
      </c>
      <c r="N2558" s="15">
        <f>IFERROR(M2558/K2558,0)</f>
        <v>0</v>
      </c>
      <c r="O2558" s="14">
        <f>IFERROR(L2558/J2558,0)</f>
        <v>0</v>
      </c>
      <c r="P2558" s="14">
        <f>IFERROR(L2558/G2558,0)</f>
        <v>0</v>
      </c>
    </row>
    <row r="2559" spans="1:16" x14ac:dyDescent="0.3">
      <c r="A2559" s="9" t="s">
        <v>5370</v>
      </c>
      <c r="B2559" s="9"/>
      <c r="C2559" s="9"/>
      <c r="D2559" s="52"/>
      <c r="E2559" s="48"/>
      <c r="F2559" s="48"/>
      <c r="G2559" s="43">
        <f>(F2559-E2559)*1440</f>
        <v>0</v>
      </c>
      <c r="H2559" s="9"/>
      <c r="I2559" s="9"/>
      <c r="J2559" s="44"/>
      <c r="K2559" s="60"/>
      <c r="L2559" s="56"/>
      <c r="M2559" s="14">
        <f>K2559-L2559</f>
        <v>0</v>
      </c>
      <c r="N2559" s="15">
        <f>IFERROR(M2559/K2559,0)</f>
        <v>0</v>
      </c>
      <c r="O2559" s="14">
        <f>IFERROR(L2559/J2559,0)</f>
        <v>0</v>
      </c>
      <c r="P2559" s="14">
        <f>IFERROR(L2559/G2559,0)</f>
        <v>0</v>
      </c>
    </row>
    <row r="2560" spans="1:16" x14ac:dyDescent="0.3">
      <c r="A2560" s="9" t="s">
        <v>5371</v>
      </c>
      <c r="B2560" s="9"/>
      <c r="C2560" s="9"/>
      <c r="D2560" s="52"/>
      <c r="E2560" s="48"/>
      <c r="F2560" s="48"/>
      <c r="G2560" s="43">
        <f>(F2560-E2560)*1440</f>
        <v>0</v>
      </c>
      <c r="H2560" s="9"/>
      <c r="I2560" s="9"/>
      <c r="J2560" s="44"/>
      <c r="K2560" s="60"/>
      <c r="L2560" s="56"/>
      <c r="M2560" s="14">
        <f>K2560-L2560</f>
        <v>0</v>
      </c>
      <c r="N2560" s="15">
        <f>IFERROR(M2560/K2560,0)</f>
        <v>0</v>
      </c>
      <c r="O2560" s="14">
        <f>IFERROR(L2560/J2560,0)</f>
        <v>0</v>
      </c>
      <c r="P2560" s="14">
        <f>IFERROR(L2560/G2560,0)</f>
        <v>0</v>
      </c>
    </row>
    <row r="2561" spans="1:16" x14ac:dyDescent="0.3">
      <c r="A2561" s="9" t="s">
        <v>5372</v>
      </c>
      <c r="B2561" s="9"/>
      <c r="C2561" s="9"/>
      <c r="D2561" s="52"/>
      <c r="E2561" s="48"/>
      <c r="F2561" s="48"/>
      <c r="G2561" s="43">
        <f>(F2561-E2561)*1440</f>
        <v>0</v>
      </c>
      <c r="H2561" s="9"/>
      <c r="I2561" s="9"/>
      <c r="J2561" s="44"/>
      <c r="K2561" s="60"/>
      <c r="L2561" s="56"/>
      <c r="M2561" s="14">
        <f>K2561-L2561</f>
        <v>0</v>
      </c>
      <c r="N2561" s="15">
        <f>IFERROR(M2561/K2561,0)</f>
        <v>0</v>
      </c>
      <c r="O2561" s="14">
        <f>IFERROR(L2561/J2561,0)</f>
        <v>0</v>
      </c>
      <c r="P2561" s="14">
        <f>IFERROR(L2561/G2561,0)</f>
        <v>0</v>
      </c>
    </row>
    <row r="2562" spans="1:16" x14ac:dyDescent="0.3">
      <c r="A2562" s="9" t="s">
        <v>5373</v>
      </c>
      <c r="B2562" s="9"/>
      <c r="C2562" s="9"/>
      <c r="D2562" s="52"/>
      <c r="E2562" s="48"/>
      <c r="F2562" s="48"/>
      <c r="G2562" s="43">
        <f>(F2562-E2562)*1440</f>
        <v>0</v>
      </c>
      <c r="H2562" s="9"/>
      <c r="I2562" s="9"/>
      <c r="J2562" s="44"/>
      <c r="K2562" s="60"/>
      <c r="L2562" s="56"/>
      <c r="M2562" s="14">
        <f>K2562-L2562</f>
        <v>0</v>
      </c>
      <c r="N2562" s="15">
        <f>IFERROR(M2562/K2562,0)</f>
        <v>0</v>
      </c>
      <c r="O2562" s="14">
        <f>IFERROR(L2562/J2562,0)</f>
        <v>0</v>
      </c>
      <c r="P2562" s="14">
        <f>IFERROR(L2562/G2562,0)</f>
        <v>0</v>
      </c>
    </row>
    <row r="2563" spans="1:16" x14ac:dyDescent="0.3">
      <c r="A2563" s="9" t="s">
        <v>5374</v>
      </c>
      <c r="B2563" s="9"/>
      <c r="C2563" s="9"/>
      <c r="D2563" s="52"/>
      <c r="E2563" s="48"/>
      <c r="F2563" s="48"/>
      <c r="G2563" s="43">
        <f>(F2563-E2563)*1440</f>
        <v>0</v>
      </c>
      <c r="H2563" s="9"/>
      <c r="I2563" s="9"/>
      <c r="J2563" s="44"/>
      <c r="K2563" s="60"/>
      <c r="L2563" s="56"/>
      <c r="M2563" s="14">
        <f>K2563-L2563</f>
        <v>0</v>
      </c>
      <c r="N2563" s="15">
        <f>IFERROR(M2563/K2563,0)</f>
        <v>0</v>
      </c>
      <c r="O2563" s="14">
        <f>IFERROR(L2563/J2563,0)</f>
        <v>0</v>
      </c>
      <c r="P2563" s="14">
        <f>IFERROR(L2563/G2563,0)</f>
        <v>0</v>
      </c>
    </row>
    <row r="2564" spans="1:16" x14ac:dyDescent="0.3">
      <c r="A2564" s="9" t="s">
        <v>5375</v>
      </c>
      <c r="B2564" s="9"/>
      <c r="C2564" s="9"/>
      <c r="D2564" s="52"/>
      <c r="E2564" s="48"/>
      <c r="F2564" s="48"/>
      <c r="G2564" s="43">
        <f>(F2564-E2564)*1440</f>
        <v>0</v>
      </c>
      <c r="H2564" s="9"/>
      <c r="I2564" s="9"/>
      <c r="J2564" s="44"/>
      <c r="K2564" s="60"/>
      <c r="L2564" s="56"/>
      <c r="M2564" s="14">
        <f>K2564-L2564</f>
        <v>0</v>
      </c>
      <c r="N2564" s="15">
        <f>IFERROR(M2564/K2564,0)</f>
        <v>0</v>
      </c>
      <c r="O2564" s="14">
        <f>IFERROR(L2564/J2564,0)</f>
        <v>0</v>
      </c>
      <c r="P2564" s="14">
        <f>IFERROR(L2564/G2564,0)</f>
        <v>0</v>
      </c>
    </row>
    <row r="2565" spans="1:16" x14ac:dyDescent="0.3">
      <c r="A2565" s="9" t="s">
        <v>5376</v>
      </c>
      <c r="B2565" s="9"/>
      <c r="C2565" s="9"/>
      <c r="D2565" s="52"/>
      <c r="E2565" s="48"/>
      <c r="F2565" s="48"/>
      <c r="G2565" s="43">
        <f>(F2565-E2565)*1440</f>
        <v>0</v>
      </c>
      <c r="H2565" s="9"/>
      <c r="I2565" s="9"/>
      <c r="J2565" s="44"/>
      <c r="K2565" s="60"/>
      <c r="L2565" s="56"/>
      <c r="M2565" s="14">
        <f>K2565-L2565</f>
        <v>0</v>
      </c>
      <c r="N2565" s="15">
        <f>IFERROR(M2565/K2565,0)</f>
        <v>0</v>
      </c>
      <c r="O2565" s="14">
        <f>IFERROR(L2565/J2565,0)</f>
        <v>0</v>
      </c>
      <c r="P2565" s="14">
        <f>IFERROR(L2565/G2565,0)</f>
        <v>0</v>
      </c>
    </row>
    <row r="2566" spans="1:16" x14ac:dyDescent="0.3">
      <c r="A2566" s="9" t="s">
        <v>5377</v>
      </c>
      <c r="B2566" s="9"/>
      <c r="C2566" s="9"/>
      <c r="D2566" s="52"/>
      <c r="E2566" s="48"/>
      <c r="F2566" s="48"/>
      <c r="G2566" s="43">
        <f>(F2566-E2566)*1440</f>
        <v>0</v>
      </c>
      <c r="H2566" s="9"/>
      <c r="I2566" s="9"/>
      <c r="J2566" s="44"/>
      <c r="K2566" s="60"/>
      <c r="L2566" s="56"/>
      <c r="M2566" s="14">
        <f>K2566-L2566</f>
        <v>0</v>
      </c>
      <c r="N2566" s="15">
        <f>IFERROR(M2566/K2566,0)</f>
        <v>0</v>
      </c>
      <c r="O2566" s="14">
        <f>IFERROR(L2566/J2566,0)</f>
        <v>0</v>
      </c>
      <c r="P2566" s="14">
        <f>IFERROR(L2566/G2566,0)</f>
        <v>0</v>
      </c>
    </row>
    <row r="2567" spans="1:16" x14ac:dyDescent="0.3">
      <c r="A2567" s="9" t="s">
        <v>5378</v>
      </c>
      <c r="B2567" s="9"/>
      <c r="C2567" s="9"/>
      <c r="D2567" s="52"/>
      <c r="E2567" s="48"/>
      <c r="F2567" s="48"/>
      <c r="G2567" s="43">
        <f>(F2567-E2567)*1440</f>
        <v>0</v>
      </c>
      <c r="H2567" s="9"/>
      <c r="I2567" s="9"/>
      <c r="J2567" s="44"/>
      <c r="K2567" s="60"/>
      <c r="L2567" s="56"/>
      <c r="M2567" s="14">
        <f>K2567-L2567</f>
        <v>0</v>
      </c>
      <c r="N2567" s="15">
        <f>IFERROR(M2567/K2567,0)</f>
        <v>0</v>
      </c>
      <c r="O2567" s="14">
        <f>IFERROR(L2567/J2567,0)</f>
        <v>0</v>
      </c>
      <c r="P2567" s="14">
        <f>IFERROR(L2567/G2567,0)</f>
        <v>0</v>
      </c>
    </row>
    <row r="2568" spans="1:16" x14ac:dyDescent="0.3">
      <c r="A2568" s="9" t="s">
        <v>5379</v>
      </c>
      <c r="B2568" s="9"/>
      <c r="C2568" s="9"/>
      <c r="D2568" s="52"/>
      <c r="E2568" s="48"/>
      <c r="F2568" s="48"/>
      <c r="G2568" s="43">
        <f>(F2568-E2568)*1440</f>
        <v>0</v>
      </c>
      <c r="H2568" s="9"/>
      <c r="I2568" s="9"/>
      <c r="J2568" s="44"/>
      <c r="K2568" s="60"/>
      <c r="L2568" s="56"/>
      <c r="M2568" s="14">
        <f>K2568-L2568</f>
        <v>0</v>
      </c>
      <c r="N2568" s="15">
        <f>IFERROR(M2568/K2568,0)</f>
        <v>0</v>
      </c>
      <c r="O2568" s="14">
        <f>IFERROR(L2568/J2568,0)</f>
        <v>0</v>
      </c>
      <c r="P2568" s="14">
        <f>IFERROR(L2568/G2568,0)</f>
        <v>0</v>
      </c>
    </row>
    <row r="2569" spans="1:16" x14ac:dyDescent="0.3">
      <c r="A2569" s="9" t="s">
        <v>5380</v>
      </c>
      <c r="B2569" s="9"/>
      <c r="C2569" s="9"/>
      <c r="D2569" s="52"/>
      <c r="E2569" s="48"/>
      <c r="F2569" s="48"/>
      <c r="G2569" s="43">
        <f>(F2569-E2569)*1440</f>
        <v>0</v>
      </c>
      <c r="H2569" s="9"/>
      <c r="I2569" s="9"/>
      <c r="J2569" s="44"/>
      <c r="K2569" s="60"/>
      <c r="L2569" s="56"/>
      <c r="M2569" s="14">
        <f>K2569-L2569</f>
        <v>0</v>
      </c>
      <c r="N2569" s="15">
        <f>IFERROR(M2569/K2569,0)</f>
        <v>0</v>
      </c>
      <c r="O2569" s="14">
        <f>IFERROR(L2569/J2569,0)</f>
        <v>0</v>
      </c>
      <c r="P2569" s="14">
        <f>IFERROR(L2569/G2569,0)</f>
        <v>0</v>
      </c>
    </row>
    <row r="2570" spans="1:16" x14ac:dyDescent="0.3">
      <c r="A2570" s="9" t="s">
        <v>5381</v>
      </c>
      <c r="B2570" s="9"/>
      <c r="C2570" s="9"/>
      <c r="D2570" s="52"/>
      <c r="E2570" s="48"/>
      <c r="F2570" s="48"/>
      <c r="G2570" s="43">
        <f>(F2570-E2570)*1440</f>
        <v>0</v>
      </c>
      <c r="H2570" s="9"/>
      <c r="I2570" s="9"/>
      <c r="J2570" s="44"/>
      <c r="K2570" s="60"/>
      <c r="L2570" s="56"/>
      <c r="M2570" s="14">
        <f>K2570-L2570</f>
        <v>0</v>
      </c>
      <c r="N2570" s="15">
        <f>IFERROR(M2570/K2570,0)</f>
        <v>0</v>
      </c>
      <c r="O2570" s="14">
        <f>IFERROR(L2570/J2570,0)</f>
        <v>0</v>
      </c>
      <c r="P2570" s="14">
        <f>IFERROR(L2570/G2570,0)</f>
        <v>0</v>
      </c>
    </row>
    <row r="2571" spans="1:16" x14ac:dyDescent="0.3">
      <c r="A2571" s="9" t="s">
        <v>5382</v>
      </c>
      <c r="B2571" s="9"/>
      <c r="C2571" s="9"/>
      <c r="D2571" s="52"/>
      <c r="E2571" s="48"/>
      <c r="F2571" s="48"/>
      <c r="G2571" s="43">
        <f>(F2571-E2571)*1440</f>
        <v>0</v>
      </c>
      <c r="H2571" s="9"/>
      <c r="I2571" s="9"/>
      <c r="J2571" s="44"/>
      <c r="K2571" s="60"/>
      <c r="L2571" s="56"/>
      <c r="M2571" s="14">
        <f>K2571-L2571</f>
        <v>0</v>
      </c>
      <c r="N2571" s="15">
        <f>IFERROR(M2571/K2571,0)</f>
        <v>0</v>
      </c>
      <c r="O2571" s="14">
        <f>IFERROR(L2571/J2571,0)</f>
        <v>0</v>
      </c>
      <c r="P2571" s="14">
        <f>IFERROR(L2571/G2571,0)</f>
        <v>0</v>
      </c>
    </row>
    <row r="2572" spans="1:16" x14ac:dyDescent="0.3">
      <c r="A2572" s="9" t="s">
        <v>5383</v>
      </c>
      <c r="B2572" s="9"/>
      <c r="C2572" s="9"/>
      <c r="D2572" s="52"/>
      <c r="E2572" s="48"/>
      <c r="F2572" s="48"/>
      <c r="G2572" s="43">
        <f>(F2572-E2572)*1440</f>
        <v>0</v>
      </c>
      <c r="H2572" s="9"/>
      <c r="I2572" s="9"/>
      <c r="J2572" s="44"/>
      <c r="K2572" s="60"/>
      <c r="L2572" s="56"/>
      <c r="M2572" s="14">
        <f>K2572-L2572</f>
        <v>0</v>
      </c>
      <c r="N2572" s="15">
        <f>IFERROR(M2572/K2572,0)</f>
        <v>0</v>
      </c>
      <c r="O2572" s="14">
        <f>IFERROR(L2572/J2572,0)</f>
        <v>0</v>
      </c>
      <c r="P2572" s="14">
        <f>IFERROR(L2572/G2572,0)</f>
        <v>0</v>
      </c>
    </row>
    <row r="2573" spans="1:16" x14ac:dyDescent="0.3">
      <c r="A2573" s="9" t="s">
        <v>5384</v>
      </c>
      <c r="B2573" s="9"/>
      <c r="C2573" s="9"/>
      <c r="D2573" s="52"/>
      <c r="E2573" s="48"/>
      <c r="F2573" s="48"/>
      <c r="G2573" s="43">
        <f>(F2573-E2573)*1440</f>
        <v>0</v>
      </c>
      <c r="H2573" s="9"/>
      <c r="I2573" s="9"/>
      <c r="J2573" s="44"/>
      <c r="K2573" s="60"/>
      <c r="L2573" s="56"/>
      <c r="M2573" s="14">
        <f>K2573-L2573</f>
        <v>0</v>
      </c>
      <c r="N2573" s="15">
        <f>IFERROR(M2573/K2573,0)</f>
        <v>0</v>
      </c>
      <c r="O2573" s="14">
        <f>IFERROR(L2573/J2573,0)</f>
        <v>0</v>
      </c>
      <c r="P2573" s="14">
        <f>IFERROR(L2573/G2573,0)</f>
        <v>0</v>
      </c>
    </row>
    <row r="2574" spans="1:16" x14ac:dyDescent="0.3">
      <c r="A2574" s="9" t="s">
        <v>5385</v>
      </c>
      <c r="B2574" s="9"/>
      <c r="C2574" s="9"/>
      <c r="D2574" s="52"/>
      <c r="E2574" s="48"/>
      <c r="F2574" s="48"/>
      <c r="G2574" s="43">
        <f>(F2574-E2574)*1440</f>
        <v>0</v>
      </c>
      <c r="H2574" s="9"/>
      <c r="I2574" s="9"/>
      <c r="J2574" s="44"/>
      <c r="K2574" s="60"/>
      <c r="L2574" s="56"/>
      <c r="M2574" s="14">
        <f>K2574-L2574</f>
        <v>0</v>
      </c>
      <c r="N2574" s="15">
        <f>IFERROR(M2574/K2574,0)</f>
        <v>0</v>
      </c>
      <c r="O2574" s="14">
        <f>IFERROR(L2574/J2574,0)</f>
        <v>0</v>
      </c>
      <c r="P2574" s="14">
        <f>IFERROR(L2574/G2574,0)</f>
        <v>0</v>
      </c>
    </row>
    <row r="2575" spans="1:16" x14ac:dyDescent="0.3">
      <c r="A2575" s="9" t="s">
        <v>5386</v>
      </c>
      <c r="B2575" s="9"/>
      <c r="C2575" s="9"/>
      <c r="D2575" s="52"/>
      <c r="E2575" s="48"/>
      <c r="F2575" s="48"/>
      <c r="G2575" s="43">
        <f>(F2575-E2575)*1440</f>
        <v>0</v>
      </c>
      <c r="H2575" s="9"/>
      <c r="I2575" s="9"/>
      <c r="J2575" s="44"/>
      <c r="K2575" s="60"/>
      <c r="L2575" s="56"/>
      <c r="M2575" s="14">
        <f>K2575-L2575</f>
        <v>0</v>
      </c>
      <c r="N2575" s="15">
        <f>IFERROR(M2575/K2575,0)</f>
        <v>0</v>
      </c>
      <c r="O2575" s="14">
        <f>IFERROR(L2575/J2575,0)</f>
        <v>0</v>
      </c>
      <c r="P2575" s="14">
        <f>IFERROR(L2575/G2575,0)</f>
        <v>0</v>
      </c>
    </row>
    <row r="2576" spans="1:16" x14ac:dyDescent="0.3">
      <c r="A2576" s="9" t="s">
        <v>5387</v>
      </c>
      <c r="B2576" s="9"/>
      <c r="C2576" s="9"/>
      <c r="D2576" s="52"/>
      <c r="E2576" s="48"/>
      <c r="F2576" s="48"/>
      <c r="G2576" s="43">
        <f>(F2576-E2576)*1440</f>
        <v>0</v>
      </c>
      <c r="H2576" s="9"/>
      <c r="I2576" s="9"/>
      <c r="J2576" s="44"/>
      <c r="K2576" s="60"/>
      <c r="L2576" s="56"/>
      <c r="M2576" s="14">
        <f>K2576-L2576</f>
        <v>0</v>
      </c>
      <c r="N2576" s="15">
        <f>IFERROR(M2576/K2576,0)</f>
        <v>0</v>
      </c>
      <c r="O2576" s="14">
        <f>IFERROR(L2576/J2576,0)</f>
        <v>0</v>
      </c>
      <c r="P2576" s="14">
        <f>IFERROR(L2576/G2576,0)</f>
        <v>0</v>
      </c>
    </row>
    <row r="2577" spans="1:16" x14ac:dyDescent="0.3">
      <c r="A2577" s="9" t="s">
        <v>5388</v>
      </c>
      <c r="B2577" s="9"/>
      <c r="C2577" s="9"/>
      <c r="D2577" s="52"/>
      <c r="E2577" s="48"/>
      <c r="F2577" s="48"/>
      <c r="G2577" s="43">
        <f>(F2577-E2577)*1440</f>
        <v>0</v>
      </c>
      <c r="H2577" s="9"/>
      <c r="I2577" s="9"/>
      <c r="J2577" s="44"/>
      <c r="K2577" s="60"/>
      <c r="L2577" s="56"/>
      <c r="M2577" s="14">
        <f>K2577-L2577</f>
        <v>0</v>
      </c>
      <c r="N2577" s="15">
        <f>IFERROR(M2577/K2577,0)</f>
        <v>0</v>
      </c>
      <c r="O2577" s="14">
        <f>IFERROR(L2577/J2577,0)</f>
        <v>0</v>
      </c>
      <c r="P2577" s="14">
        <f>IFERROR(L2577/G2577,0)</f>
        <v>0</v>
      </c>
    </row>
    <row r="2578" spans="1:16" x14ac:dyDescent="0.3">
      <c r="A2578" s="9" t="s">
        <v>5389</v>
      </c>
      <c r="B2578" s="9"/>
      <c r="C2578" s="9"/>
      <c r="D2578" s="52"/>
      <c r="E2578" s="48"/>
      <c r="F2578" s="48"/>
      <c r="G2578" s="43">
        <f>(F2578-E2578)*1440</f>
        <v>0</v>
      </c>
      <c r="H2578" s="9"/>
      <c r="I2578" s="9"/>
      <c r="J2578" s="44"/>
      <c r="K2578" s="60"/>
      <c r="L2578" s="56"/>
      <c r="M2578" s="14">
        <f>K2578-L2578</f>
        <v>0</v>
      </c>
      <c r="N2578" s="15">
        <f>IFERROR(M2578/K2578,0)</f>
        <v>0</v>
      </c>
      <c r="O2578" s="14">
        <f>IFERROR(L2578/J2578,0)</f>
        <v>0</v>
      </c>
      <c r="P2578" s="14">
        <f>IFERROR(L2578/G2578,0)</f>
        <v>0</v>
      </c>
    </row>
    <row r="2579" spans="1:16" x14ac:dyDescent="0.3">
      <c r="A2579" s="9" t="s">
        <v>5390</v>
      </c>
      <c r="B2579" s="9"/>
      <c r="C2579" s="9"/>
      <c r="D2579" s="52"/>
      <c r="E2579" s="48"/>
      <c r="F2579" s="48"/>
      <c r="G2579" s="43">
        <f>(F2579-E2579)*1440</f>
        <v>0</v>
      </c>
      <c r="H2579" s="9"/>
      <c r="I2579" s="9"/>
      <c r="J2579" s="44"/>
      <c r="K2579" s="60"/>
      <c r="L2579" s="56"/>
      <c r="M2579" s="14">
        <f>K2579-L2579</f>
        <v>0</v>
      </c>
      <c r="N2579" s="15">
        <f>IFERROR(M2579/K2579,0)</f>
        <v>0</v>
      </c>
      <c r="O2579" s="14">
        <f>IFERROR(L2579/J2579,0)</f>
        <v>0</v>
      </c>
      <c r="P2579" s="14">
        <f>IFERROR(L2579/G2579,0)</f>
        <v>0</v>
      </c>
    </row>
    <row r="2580" spans="1:16" x14ac:dyDescent="0.3">
      <c r="A2580" s="9" t="s">
        <v>5391</v>
      </c>
      <c r="B2580" s="9"/>
      <c r="C2580" s="9"/>
      <c r="D2580" s="52"/>
      <c r="E2580" s="48"/>
      <c r="F2580" s="48"/>
      <c r="G2580" s="43">
        <f>(F2580-E2580)*1440</f>
        <v>0</v>
      </c>
      <c r="H2580" s="9"/>
      <c r="I2580" s="9"/>
      <c r="J2580" s="44"/>
      <c r="K2580" s="60"/>
      <c r="L2580" s="56"/>
      <c r="M2580" s="14">
        <f>K2580-L2580</f>
        <v>0</v>
      </c>
      <c r="N2580" s="15">
        <f>IFERROR(M2580/K2580,0)</f>
        <v>0</v>
      </c>
      <c r="O2580" s="14">
        <f>IFERROR(L2580/J2580,0)</f>
        <v>0</v>
      </c>
      <c r="P2580" s="14">
        <f>IFERROR(L2580/G2580,0)</f>
        <v>0</v>
      </c>
    </row>
    <row r="2581" spans="1:16" x14ac:dyDescent="0.3">
      <c r="A2581" s="9" t="s">
        <v>5392</v>
      </c>
      <c r="B2581" s="9"/>
      <c r="C2581" s="9"/>
      <c r="D2581" s="52"/>
      <c r="E2581" s="48"/>
      <c r="F2581" s="48"/>
      <c r="G2581" s="43">
        <f>(F2581-E2581)*1440</f>
        <v>0</v>
      </c>
      <c r="H2581" s="9"/>
      <c r="I2581" s="9"/>
      <c r="J2581" s="44"/>
      <c r="K2581" s="60"/>
      <c r="L2581" s="56"/>
      <c r="M2581" s="14">
        <f>K2581-L2581</f>
        <v>0</v>
      </c>
      <c r="N2581" s="15">
        <f>IFERROR(M2581/K2581,0)</f>
        <v>0</v>
      </c>
      <c r="O2581" s="14">
        <f>IFERROR(L2581/J2581,0)</f>
        <v>0</v>
      </c>
      <c r="P2581" s="14">
        <f>IFERROR(L2581/G2581,0)</f>
        <v>0</v>
      </c>
    </row>
    <row r="2582" spans="1:16" x14ac:dyDescent="0.3">
      <c r="A2582" s="9" t="s">
        <v>5393</v>
      </c>
      <c r="B2582" s="9"/>
      <c r="C2582" s="9"/>
      <c r="D2582" s="52"/>
      <c r="E2582" s="48"/>
      <c r="F2582" s="48"/>
      <c r="G2582" s="43">
        <f>(F2582-E2582)*1440</f>
        <v>0</v>
      </c>
      <c r="H2582" s="9"/>
      <c r="I2582" s="9"/>
      <c r="J2582" s="44"/>
      <c r="K2582" s="60"/>
      <c r="L2582" s="56"/>
      <c r="M2582" s="14">
        <f>K2582-L2582</f>
        <v>0</v>
      </c>
      <c r="N2582" s="15">
        <f>IFERROR(M2582/K2582,0)</f>
        <v>0</v>
      </c>
      <c r="O2582" s="14">
        <f>IFERROR(L2582/J2582,0)</f>
        <v>0</v>
      </c>
      <c r="P2582" s="14">
        <f>IFERROR(L2582/G2582,0)</f>
        <v>0</v>
      </c>
    </row>
    <row r="2583" spans="1:16" x14ac:dyDescent="0.3">
      <c r="A2583" s="9" t="s">
        <v>5394</v>
      </c>
      <c r="B2583" s="9"/>
      <c r="C2583" s="9"/>
      <c r="D2583" s="52"/>
      <c r="E2583" s="48"/>
      <c r="F2583" s="48"/>
      <c r="G2583" s="43">
        <f>(F2583-E2583)*1440</f>
        <v>0</v>
      </c>
      <c r="H2583" s="9"/>
      <c r="I2583" s="9"/>
      <c r="J2583" s="44"/>
      <c r="K2583" s="60"/>
      <c r="L2583" s="56"/>
      <c r="M2583" s="14">
        <f>K2583-L2583</f>
        <v>0</v>
      </c>
      <c r="N2583" s="15">
        <f>IFERROR(M2583/K2583,0)</f>
        <v>0</v>
      </c>
      <c r="O2583" s="14">
        <f>IFERROR(L2583/J2583,0)</f>
        <v>0</v>
      </c>
      <c r="P2583" s="14">
        <f>IFERROR(L2583/G2583,0)</f>
        <v>0</v>
      </c>
    </row>
    <row r="2584" spans="1:16" x14ac:dyDescent="0.3">
      <c r="A2584" s="9" t="s">
        <v>5395</v>
      </c>
      <c r="B2584" s="9"/>
      <c r="C2584" s="9"/>
      <c r="D2584" s="52"/>
      <c r="E2584" s="48"/>
      <c r="F2584" s="48"/>
      <c r="G2584" s="43">
        <f>(F2584-E2584)*1440</f>
        <v>0</v>
      </c>
      <c r="H2584" s="9"/>
      <c r="I2584" s="9"/>
      <c r="J2584" s="44"/>
      <c r="K2584" s="60"/>
      <c r="L2584" s="56"/>
      <c r="M2584" s="14">
        <f>K2584-L2584</f>
        <v>0</v>
      </c>
      <c r="N2584" s="15">
        <f>IFERROR(M2584/K2584,0)</f>
        <v>0</v>
      </c>
      <c r="O2584" s="14">
        <f>IFERROR(L2584/J2584,0)</f>
        <v>0</v>
      </c>
      <c r="P2584" s="14">
        <f>IFERROR(L2584/G2584,0)</f>
        <v>0</v>
      </c>
    </row>
    <row r="2585" spans="1:16" x14ac:dyDescent="0.3">
      <c r="A2585" s="9" t="s">
        <v>5396</v>
      </c>
      <c r="B2585" s="9"/>
      <c r="C2585" s="9"/>
      <c r="D2585" s="52"/>
      <c r="E2585" s="48"/>
      <c r="F2585" s="48"/>
      <c r="G2585" s="43">
        <f>(F2585-E2585)*1440</f>
        <v>0</v>
      </c>
      <c r="H2585" s="9"/>
      <c r="I2585" s="9"/>
      <c r="J2585" s="44"/>
      <c r="K2585" s="60"/>
      <c r="L2585" s="56"/>
      <c r="M2585" s="14">
        <f>K2585-L2585</f>
        <v>0</v>
      </c>
      <c r="N2585" s="15">
        <f>IFERROR(M2585/K2585,0)</f>
        <v>0</v>
      </c>
      <c r="O2585" s="14">
        <f>IFERROR(L2585/J2585,0)</f>
        <v>0</v>
      </c>
      <c r="P2585" s="14">
        <f>IFERROR(L2585/G2585,0)</f>
        <v>0</v>
      </c>
    </row>
    <row r="2586" spans="1:16" x14ac:dyDescent="0.3">
      <c r="A2586" s="9" t="s">
        <v>5397</v>
      </c>
      <c r="B2586" s="9"/>
      <c r="C2586" s="9"/>
      <c r="D2586" s="52"/>
      <c r="E2586" s="48"/>
      <c r="F2586" s="48"/>
      <c r="G2586" s="43">
        <f>(F2586-E2586)*1440</f>
        <v>0</v>
      </c>
      <c r="H2586" s="9"/>
      <c r="I2586" s="9"/>
      <c r="J2586" s="44"/>
      <c r="K2586" s="60"/>
      <c r="L2586" s="56"/>
      <c r="M2586" s="14">
        <f>K2586-L2586</f>
        <v>0</v>
      </c>
      <c r="N2586" s="15">
        <f>IFERROR(M2586/K2586,0)</f>
        <v>0</v>
      </c>
      <c r="O2586" s="14">
        <f>IFERROR(L2586/J2586,0)</f>
        <v>0</v>
      </c>
      <c r="P2586" s="14">
        <f>IFERROR(L2586/G2586,0)</f>
        <v>0</v>
      </c>
    </row>
    <row r="2587" spans="1:16" x14ac:dyDescent="0.3">
      <c r="A2587" s="9" t="s">
        <v>5398</v>
      </c>
      <c r="B2587" s="9"/>
      <c r="C2587" s="9"/>
      <c r="D2587" s="52"/>
      <c r="E2587" s="48"/>
      <c r="F2587" s="48"/>
      <c r="G2587" s="43">
        <f>(F2587-E2587)*1440</f>
        <v>0</v>
      </c>
      <c r="H2587" s="9"/>
      <c r="I2587" s="9"/>
      <c r="J2587" s="44"/>
      <c r="K2587" s="60"/>
      <c r="L2587" s="56"/>
      <c r="M2587" s="14">
        <f>K2587-L2587</f>
        <v>0</v>
      </c>
      <c r="N2587" s="15">
        <f>IFERROR(M2587/K2587,0)</f>
        <v>0</v>
      </c>
      <c r="O2587" s="14">
        <f>IFERROR(L2587/J2587,0)</f>
        <v>0</v>
      </c>
      <c r="P2587" s="14">
        <f>IFERROR(L2587/G2587,0)</f>
        <v>0</v>
      </c>
    </row>
    <row r="2588" spans="1:16" x14ac:dyDescent="0.3">
      <c r="A2588" s="9" t="s">
        <v>5399</v>
      </c>
      <c r="B2588" s="9"/>
      <c r="C2588" s="9"/>
      <c r="D2588" s="52"/>
      <c r="E2588" s="48"/>
      <c r="F2588" s="48"/>
      <c r="G2588" s="43">
        <f>(F2588-E2588)*1440</f>
        <v>0</v>
      </c>
      <c r="H2588" s="9"/>
      <c r="I2588" s="9"/>
      <c r="J2588" s="44"/>
      <c r="K2588" s="60"/>
      <c r="L2588" s="56"/>
      <c r="M2588" s="14">
        <f>K2588-L2588</f>
        <v>0</v>
      </c>
      <c r="N2588" s="15">
        <f>IFERROR(M2588/K2588,0)</f>
        <v>0</v>
      </c>
      <c r="O2588" s="14">
        <f>IFERROR(L2588/J2588,0)</f>
        <v>0</v>
      </c>
      <c r="P2588" s="14">
        <f>IFERROR(L2588/G2588,0)</f>
        <v>0</v>
      </c>
    </row>
    <row r="2589" spans="1:16" x14ac:dyDescent="0.3">
      <c r="A2589" s="9" t="s">
        <v>5400</v>
      </c>
      <c r="B2589" s="9"/>
      <c r="C2589" s="9"/>
      <c r="D2589" s="52"/>
      <c r="E2589" s="48"/>
      <c r="F2589" s="48"/>
      <c r="G2589" s="43">
        <f>(F2589-E2589)*1440</f>
        <v>0</v>
      </c>
      <c r="H2589" s="9"/>
      <c r="I2589" s="9"/>
      <c r="J2589" s="44"/>
      <c r="K2589" s="60"/>
      <c r="L2589" s="56"/>
      <c r="M2589" s="14">
        <f>K2589-L2589</f>
        <v>0</v>
      </c>
      <c r="N2589" s="15">
        <f>IFERROR(M2589/K2589,0)</f>
        <v>0</v>
      </c>
      <c r="O2589" s="14">
        <f>IFERROR(L2589/J2589,0)</f>
        <v>0</v>
      </c>
      <c r="P2589" s="14">
        <f>IFERROR(L2589/G2589,0)</f>
        <v>0</v>
      </c>
    </row>
    <row r="2590" spans="1:16" x14ac:dyDescent="0.3">
      <c r="A2590" s="9" t="s">
        <v>5401</v>
      </c>
      <c r="B2590" s="9"/>
      <c r="C2590" s="9"/>
      <c r="D2590" s="52"/>
      <c r="E2590" s="48"/>
      <c r="F2590" s="48"/>
      <c r="G2590" s="43">
        <f>(F2590-E2590)*1440</f>
        <v>0</v>
      </c>
      <c r="H2590" s="9"/>
      <c r="I2590" s="9"/>
      <c r="J2590" s="44"/>
      <c r="K2590" s="60"/>
      <c r="L2590" s="56"/>
      <c r="M2590" s="14">
        <f>K2590-L2590</f>
        <v>0</v>
      </c>
      <c r="N2590" s="15">
        <f>IFERROR(M2590/K2590,0)</f>
        <v>0</v>
      </c>
      <c r="O2590" s="14">
        <f>IFERROR(L2590/J2590,0)</f>
        <v>0</v>
      </c>
      <c r="P2590" s="14">
        <f>IFERROR(L2590/G2590,0)</f>
        <v>0</v>
      </c>
    </row>
    <row r="2591" spans="1:16" x14ac:dyDescent="0.3">
      <c r="A2591" s="9" t="s">
        <v>5402</v>
      </c>
      <c r="B2591" s="9"/>
      <c r="C2591" s="9"/>
      <c r="D2591" s="52"/>
      <c r="E2591" s="48"/>
      <c r="F2591" s="48"/>
      <c r="G2591" s="43">
        <f>(F2591-E2591)*1440</f>
        <v>0</v>
      </c>
      <c r="H2591" s="9"/>
      <c r="I2591" s="9"/>
      <c r="J2591" s="44"/>
      <c r="K2591" s="60"/>
      <c r="L2591" s="56"/>
      <c r="M2591" s="14">
        <f>K2591-L2591</f>
        <v>0</v>
      </c>
      <c r="N2591" s="15">
        <f>IFERROR(M2591/K2591,0)</f>
        <v>0</v>
      </c>
      <c r="O2591" s="14">
        <f>IFERROR(L2591/J2591,0)</f>
        <v>0</v>
      </c>
      <c r="P2591" s="14">
        <f>IFERROR(L2591/G2591,0)</f>
        <v>0</v>
      </c>
    </row>
    <row r="2592" spans="1:16" x14ac:dyDescent="0.3">
      <c r="A2592" s="9" t="s">
        <v>5403</v>
      </c>
      <c r="B2592" s="9"/>
      <c r="C2592" s="9"/>
      <c r="D2592" s="52"/>
      <c r="E2592" s="48"/>
      <c r="F2592" s="48"/>
      <c r="G2592" s="43">
        <f>(F2592-E2592)*1440</f>
        <v>0</v>
      </c>
      <c r="H2592" s="9"/>
      <c r="I2592" s="9"/>
      <c r="J2592" s="44"/>
      <c r="K2592" s="60"/>
      <c r="L2592" s="56"/>
      <c r="M2592" s="14">
        <f>K2592-L2592</f>
        <v>0</v>
      </c>
      <c r="N2592" s="15">
        <f>IFERROR(M2592/K2592,0)</f>
        <v>0</v>
      </c>
      <c r="O2592" s="14">
        <f>IFERROR(L2592/J2592,0)</f>
        <v>0</v>
      </c>
      <c r="P2592" s="14">
        <f>IFERROR(L2592/G2592,0)</f>
        <v>0</v>
      </c>
    </row>
    <row r="2593" spans="1:16" x14ac:dyDescent="0.3">
      <c r="A2593" s="9" t="s">
        <v>5404</v>
      </c>
      <c r="B2593" s="9"/>
      <c r="C2593" s="9"/>
      <c r="D2593" s="52"/>
      <c r="E2593" s="48"/>
      <c r="F2593" s="48"/>
      <c r="G2593" s="43">
        <f>(F2593-E2593)*1440</f>
        <v>0</v>
      </c>
      <c r="H2593" s="9"/>
      <c r="I2593" s="9"/>
      <c r="J2593" s="44"/>
      <c r="K2593" s="60"/>
      <c r="L2593" s="56"/>
      <c r="M2593" s="14">
        <f>K2593-L2593</f>
        <v>0</v>
      </c>
      <c r="N2593" s="15">
        <f>IFERROR(M2593/K2593,0)</f>
        <v>0</v>
      </c>
      <c r="O2593" s="14">
        <f>IFERROR(L2593/J2593,0)</f>
        <v>0</v>
      </c>
      <c r="P2593" s="14">
        <f>IFERROR(L2593/G2593,0)</f>
        <v>0</v>
      </c>
    </row>
    <row r="2594" spans="1:16" x14ac:dyDescent="0.3">
      <c r="A2594" s="9" t="s">
        <v>5405</v>
      </c>
      <c r="B2594" s="9"/>
      <c r="C2594" s="9"/>
      <c r="D2594" s="52"/>
      <c r="E2594" s="48"/>
      <c r="F2594" s="48"/>
      <c r="G2594" s="43">
        <f>(F2594-E2594)*1440</f>
        <v>0</v>
      </c>
      <c r="H2594" s="9"/>
      <c r="I2594" s="9"/>
      <c r="J2594" s="44"/>
      <c r="K2594" s="60"/>
      <c r="L2594" s="56"/>
      <c r="M2594" s="14">
        <f>K2594-L2594</f>
        <v>0</v>
      </c>
      <c r="N2594" s="15">
        <f>IFERROR(M2594/K2594,0)</f>
        <v>0</v>
      </c>
      <c r="O2594" s="14">
        <f>IFERROR(L2594/J2594,0)</f>
        <v>0</v>
      </c>
      <c r="P2594" s="14">
        <f>IFERROR(L2594/G2594,0)</f>
        <v>0</v>
      </c>
    </row>
    <row r="2595" spans="1:16" x14ac:dyDescent="0.3">
      <c r="A2595" s="9" t="s">
        <v>5406</v>
      </c>
      <c r="B2595" s="9"/>
      <c r="C2595" s="9"/>
      <c r="D2595" s="52"/>
      <c r="E2595" s="48"/>
      <c r="F2595" s="48"/>
      <c r="G2595" s="43">
        <f>(F2595-E2595)*1440</f>
        <v>0</v>
      </c>
      <c r="H2595" s="9"/>
      <c r="I2595" s="9"/>
      <c r="J2595" s="44"/>
      <c r="K2595" s="60"/>
      <c r="L2595" s="56"/>
      <c r="M2595" s="14">
        <f>K2595-L2595</f>
        <v>0</v>
      </c>
      <c r="N2595" s="15">
        <f>IFERROR(M2595/K2595,0)</f>
        <v>0</v>
      </c>
      <c r="O2595" s="14">
        <f>IFERROR(L2595/J2595,0)</f>
        <v>0</v>
      </c>
      <c r="P2595" s="14">
        <f>IFERROR(L2595/G2595,0)</f>
        <v>0</v>
      </c>
    </row>
    <row r="2596" spans="1:16" x14ac:dyDescent="0.3">
      <c r="A2596" s="9" t="s">
        <v>5407</v>
      </c>
      <c r="B2596" s="9"/>
      <c r="C2596" s="9"/>
      <c r="D2596" s="52"/>
      <c r="E2596" s="48"/>
      <c r="F2596" s="48"/>
      <c r="G2596" s="43">
        <f>(F2596-E2596)*1440</f>
        <v>0</v>
      </c>
      <c r="H2596" s="9"/>
      <c r="I2596" s="9"/>
      <c r="J2596" s="44"/>
      <c r="K2596" s="60"/>
      <c r="L2596" s="56"/>
      <c r="M2596" s="14">
        <f>K2596-L2596</f>
        <v>0</v>
      </c>
      <c r="N2596" s="15">
        <f>IFERROR(M2596/K2596,0)</f>
        <v>0</v>
      </c>
      <c r="O2596" s="14">
        <f>IFERROR(L2596/J2596,0)</f>
        <v>0</v>
      </c>
      <c r="P2596" s="14">
        <f>IFERROR(L2596/G2596,0)</f>
        <v>0</v>
      </c>
    </row>
    <row r="2597" spans="1:16" x14ac:dyDescent="0.3">
      <c r="A2597" s="9" t="s">
        <v>5408</v>
      </c>
      <c r="B2597" s="9"/>
      <c r="C2597" s="9"/>
      <c r="D2597" s="52"/>
      <c r="E2597" s="48"/>
      <c r="F2597" s="48"/>
      <c r="G2597" s="43">
        <f>(F2597-E2597)*1440</f>
        <v>0</v>
      </c>
      <c r="H2597" s="9"/>
      <c r="I2597" s="9"/>
      <c r="J2597" s="44"/>
      <c r="K2597" s="60"/>
      <c r="L2597" s="56"/>
      <c r="M2597" s="14">
        <f>K2597-L2597</f>
        <v>0</v>
      </c>
      <c r="N2597" s="15">
        <f>IFERROR(M2597/K2597,0)</f>
        <v>0</v>
      </c>
      <c r="O2597" s="14">
        <f>IFERROR(L2597/J2597,0)</f>
        <v>0</v>
      </c>
      <c r="P2597" s="14">
        <f>IFERROR(L2597/G2597,0)</f>
        <v>0</v>
      </c>
    </row>
    <row r="2598" spans="1:16" x14ac:dyDescent="0.3">
      <c r="A2598" s="9" t="s">
        <v>5409</v>
      </c>
      <c r="B2598" s="9"/>
      <c r="C2598" s="9"/>
      <c r="D2598" s="52"/>
      <c r="E2598" s="48"/>
      <c r="F2598" s="48"/>
      <c r="G2598" s="43">
        <f>(F2598-E2598)*1440</f>
        <v>0</v>
      </c>
      <c r="H2598" s="9"/>
      <c r="I2598" s="9"/>
      <c r="J2598" s="44"/>
      <c r="K2598" s="60"/>
      <c r="L2598" s="56"/>
      <c r="M2598" s="14">
        <f>K2598-L2598</f>
        <v>0</v>
      </c>
      <c r="N2598" s="15">
        <f>IFERROR(M2598/K2598,0)</f>
        <v>0</v>
      </c>
      <c r="O2598" s="14">
        <f>IFERROR(L2598/J2598,0)</f>
        <v>0</v>
      </c>
      <c r="P2598" s="14">
        <f>IFERROR(L2598/G2598,0)</f>
        <v>0</v>
      </c>
    </row>
    <row r="2599" spans="1:16" x14ac:dyDescent="0.3">
      <c r="A2599" s="9" t="s">
        <v>5410</v>
      </c>
      <c r="B2599" s="9"/>
      <c r="C2599" s="9"/>
      <c r="D2599" s="52"/>
      <c r="E2599" s="48"/>
      <c r="F2599" s="48"/>
      <c r="G2599" s="43">
        <f>(F2599-E2599)*1440</f>
        <v>0</v>
      </c>
      <c r="H2599" s="9"/>
      <c r="I2599" s="9"/>
      <c r="J2599" s="44"/>
      <c r="K2599" s="60"/>
      <c r="L2599" s="56"/>
      <c r="M2599" s="14">
        <f>K2599-L2599</f>
        <v>0</v>
      </c>
      <c r="N2599" s="15">
        <f>IFERROR(M2599/K2599,0)</f>
        <v>0</v>
      </c>
      <c r="O2599" s="14">
        <f>IFERROR(L2599/J2599,0)</f>
        <v>0</v>
      </c>
      <c r="P2599" s="14">
        <f>IFERROR(L2599/G2599,0)</f>
        <v>0</v>
      </c>
    </row>
    <row r="2600" spans="1:16" x14ac:dyDescent="0.3">
      <c r="A2600" s="9" t="s">
        <v>5411</v>
      </c>
      <c r="B2600" s="9"/>
      <c r="C2600" s="9"/>
      <c r="D2600" s="52"/>
      <c r="E2600" s="48"/>
      <c r="F2600" s="48"/>
      <c r="G2600" s="43">
        <f>(F2600-E2600)*1440</f>
        <v>0</v>
      </c>
      <c r="H2600" s="9"/>
      <c r="I2600" s="9"/>
      <c r="J2600" s="44"/>
      <c r="K2600" s="60"/>
      <c r="L2600" s="56"/>
      <c r="M2600" s="14">
        <f>K2600-L2600</f>
        <v>0</v>
      </c>
      <c r="N2600" s="15">
        <f>IFERROR(M2600/K2600,0)</f>
        <v>0</v>
      </c>
      <c r="O2600" s="14">
        <f>IFERROR(L2600/J2600,0)</f>
        <v>0</v>
      </c>
      <c r="P2600" s="14">
        <f>IFERROR(L2600/G2600,0)</f>
        <v>0</v>
      </c>
    </row>
    <row r="2601" spans="1:16" x14ac:dyDescent="0.3">
      <c r="A2601" s="9" t="s">
        <v>5412</v>
      </c>
      <c r="B2601" s="9"/>
      <c r="C2601" s="9"/>
      <c r="D2601" s="52"/>
      <c r="E2601" s="48"/>
      <c r="F2601" s="48"/>
      <c r="G2601" s="43">
        <f>(F2601-E2601)*1440</f>
        <v>0</v>
      </c>
      <c r="H2601" s="9"/>
      <c r="I2601" s="9"/>
      <c r="J2601" s="44"/>
      <c r="K2601" s="60"/>
      <c r="L2601" s="56"/>
      <c r="M2601" s="14">
        <f>K2601-L2601</f>
        <v>0</v>
      </c>
      <c r="N2601" s="15">
        <f>IFERROR(M2601/K2601,0)</f>
        <v>0</v>
      </c>
      <c r="O2601" s="14">
        <f>IFERROR(L2601/J2601,0)</f>
        <v>0</v>
      </c>
      <c r="P2601" s="14">
        <f>IFERROR(L2601/G2601,0)</f>
        <v>0</v>
      </c>
    </row>
  </sheetData>
  <autoFilter ref="C1:C2500"/>
  <sortState ref="A2:S2601">
    <sortCondition ref="D1"/>
  </sortState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8" customWidth="1"/>
    <col min="4" max="4" width="12" customWidth="1"/>
    <col min="5" max="6" width="14" customWidth="1"/>
    <col min="7" max="7" width="18" customWidth="1"/>
    <col min="8" max="9" width="19" customWidth="1"/>
    <col min="10" max="10" width="16" customWidth="1"/>
    <col min="11" max="11" width="22" customWidth="1"/>
  </cols>
  <sheetData>
    <row r="1" spans="1:11" ht="36" customHeight="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3">
      <c r="A2" s="2" t="s">
        <v>39</v>
      </c>
      <c r="B2" s="3" t="s">
        <v>40</v>
      </c>
      <c r="C2" s="6">
        <v>55</v>
      </c>
      <c r="D2" s="4">
        <v>42.3</v>
      </c>
      <c r="E2" s="7">
        <f>IFERROR(C2/D2,0)</f>
        <v>1.3002364066193854</v>
      </c>
      <c r="F2" s="16">
        <f>IFERROR(SUMPRODUCT((TEXT(DATEVALUE(Rides!D2:D4999),"YYYY-WW")=TEXT(DATEVALUE(B2),"YYYY-WW"))*Rides!J2:J4999),0)</f>
        <v>0</v>
      </c>
      <c r="G2" s="7">
        <f>IFERROR(C2/F2,0)</f>
        <v>0</v>
      </c>
      <c r="H2" s="17">
        <f>IFERROR(SUMPRODUCT((TEXT(DATEVALUE(Rides!D2:D4999),"YYYY-WW")=TEXT(DATEVALUE(B2),"YYYY-WW"))*Rides!L2:L4999),0)</f>
        <v>0</v>
      </c>
      <c r="I2" s="8">
        <f>IFERROR(C2/H2,0)</f>
        <v>0</v>
      </c>
      <c r="J2" s="7">
        <f>IFERROR(H2-C2,0)</f>
        <v>-55</v>
      </c>
      <c r="K2" s="18"/>
    </row>
    <row r="3" spans="1:11" x14ac:dyDescent="0.3">
      <c r="A3" s="9" t="s">
        <v>41</v>
      </c>
      <c r="B3" s="10" t="s">
        <v>42</v>
      </c>
      <c r="C3" s="13">
        <v>48.5</v>
      </c>
      <c r="D3" s="11">
        <v>37.1</v>
      </c>
      <c r="E3" s="14">
        <f>IFERROR(C3/D3,0)</f>
        <v>1.307277628032345</v>
      </c>
      <c r="F3" s="19">
        <f>IFERROR(SUMPRODUCT((TEXT(DATEVALUE(Rides!D2:D4999),"YYYY-WW")=TEXT(DATEVALUE(B3),"YYYY-WW"))*Rides!J2:J4999),0)</f>
        <v>0</v>
      </c>
      <c r="G3" s="14">
        <f>IFERROR(C3/F3,0)</f>
        <v>0</v>
      </c>
      <c r="H3" s="20">
        <f>IFERROR(SUMPRODUCT((TEXT(DATEVALUE(Rides!D2:D4999),"YYYY-WW")=TEXT(DATEVALUE(B3),"YYYY-WW"))*Rides!L2:L4999),0)</f>
        <v>0</v>
      </c>
      <c r="I3" s="15">
        <f>IFERROR(C3/H3,0)</f>
        <v>0</v>
      </c>
      <c r="J3" s="14">
        <f>IFERROR(H3-C3,0)</f>
        <v>-48.5</v>
      </c>
      <c r="K3" s="21"/>
    </row>
    <row r="4" spans="1:11" x14ac:dyDescent="0.3">
      <c r="A4" s="22" t="s">
        <v>43</v>
      </c>
      <c r="B4" s="23"/>
      <c r="C4" s="24">
        <f>SUM(C2:C3)</f>
        <v>103.5</v>
      </c>
      <c r="D4" s="25">
        <f>SUM(D2:D3)</f>
        <v>79.400000000000006</v>
      </c>
      <c r="E4" s="24">
        <f>IFERROR(C4/D4,0)</f>
        <v>1.3035264483627202</v>
      </c>
      <c r="F4" s="25">
        <f>SUM(F2:F3)</f>
        <v>0</v>
      </c>
      <c r="G4" s="24">
        <f>IFERROR(C4/F4,0)</f>
        <v>0</v>
      </c>
      <c r="H4" s="24">
        <f>SUM(H2:H3)</f>
        <v>0</v>
      </c>
      <c r="I4" s="26">
        <f>IFERROR(C4/H4,0)</f>
        <v>0</v>
      </c>
      <c r="J4" s="24">
        <f>SUM(J2:J3)</f>
        <v>-103.5</v>
      </c>
      <c r="K4" s="2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1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4" customWidth="1"/>
    <col min="2" max="2" width="34" customWidth="1"/>
    <col min="3" max="3" width="22" customWidth="1"/>
  </cols>
  <sheetData>
    <row r="1" spans="2:3" ht="31.5" customHeight="1" x14ac:dyDescent="0.3">
      <c r="B1" s="70" t="s">
        <v>44</v>
      </c>
      <c r="C1" s="70"/>
    </row>
    <row r="3" spans="2:3" x14ac:dyDescent="0.3">
      <c r="B3" s="27" t="s">
        <v>45</v>
      </c>
      <c r="C3" s="28"/>
    </row>
    <row r="4" spans="2:3" x14ac:dyDescent="0.3">
      <c r="B4" s="29" t="s">
        <v>46</v>
      </c>
      <c r="C4" s="30">
        <f>COUNTA(Rides!A2:A4999)</f>
        <v>2600</v>
      </c>
    </row>
    <row r="5" spans="2:3" x14ac:dyDescent="0.3">
      <c r="B5" s="29" t="s">
        <v>47</v>
      </c>
      <c r="C5" s="31">
        <f>SUM(Rides!J2:J4999)</f>
        <v>23951.109999999993</v>
      </c>
    </row>
    <row r="6" spans="2:3" x14ac:dyDescent="0.3">
      <c r="B6" s="29" t="s">
        <v>48</v>
      </c>
      <c r="C6" s="31">
        <f>SUM(Rides!G2:G4999)</f>
        <v>40785</v>
      </c>
    </row>
    <row r="7" spans="2:3" x14ac:dyDescent="0.3">
      <c r="B7" s="29" t="s">
        <v>49</v>
      </c>
      <c r="C7" s="32">
        <f>IFERROR(C6/60,0)</f>
        <v>679.75</v>
      </c>
    </row>
    <row r="8" spans="2:3" x14ac:dyDescent="0.3">
      <c r="B8" s="29" t="s">
        <v>50</v>
      </c>
      <c r="C8" s="32">
        <f>IFERROR(C5/C4,0)</f>
        <v>9.2119653846153824</v>
      </c>
    </row>
    <row r="9" spans="2:3" x14ac:dyDescent="0.3">
      <c r="B9" s="29" t="s">
        <v>51</v>
      </c>
      <c r="C9" s="32">
        <f>IFERROR(C6/C4,0)</f>
        <v>15.686538461538461</v>
      </c>
    </row>
    <row r="11" spans="2:3" x14ac:dyDescent="0.3">
      <c r="B11" s="27" t="s">
        <v>52</v>
      </c>
      <c r="C11" s="28"/>
    </row>
    <row r="12" spans="2:3" x14ac:dyDescent="0.3">
      <c r="B12" s="29" t="s">
        <v>53</v>
      </c>
      <c r="C12" s="33">
        <f>SUM(Rides!K2:K4999)</f>
        <v>20630.36000000003</v>
      </c>
    </row>
    <row r="13" spans="2:3" x14ac:dyDescent="0.3">
      <c r="B13" s="29" t="s">
        <v>54</v>
      </c>
      <c r="C13" s="33">
        <f>SUM(Rides!L2:L4999)</f>
        <v>15986.699999999986</v>
      </c>
    </row>
    <row r="14" spans="2:3" x14ac:dyDescent="0.3">
      <c r="B14" s="29" t="s">
        <v>55</v>
      </c>
      <c r="C14" s="33">
        <f>SUM(Rides!M2:M4999)</f>
        <v>4643.6599999999853</v>
      </c>
    </row>
    <row r="15" spans="2:3" x14ac:dyDescent="0.3">
      <c r="B15" s="29" t="s">
        <v>56</v>
      </c>
      <c r="C15" s="34">
        <f>IFERROR(C14/C12,0)</f>
        <v>0.22508865574812939</v>
      </c>
    </row>
    <row r="16" spans="2:3" x14ac:dyDescent="0.3">
      <c r="B16" s="29" t="s">
        <v>57</v>
      </c>
      <c r="C16" s="35">
        <f>IFERROR(C13/C5,0)</f>
        <v>0.66747219648692657</v>
      </c>
    </row>
    <row r="17" spans="2:3" x14ac:dyDescent="0.3">
      <c r="B17" s="29" t="s">
        <v>58</v>
      </c>
      <c r="C17" s="35">
        <f>IFERROR(C13/C7,0)</f>
        <v>23.518499448326569</v>
      </c>
    </row>
    <row r="18" spans="2:3" x14ac:dyDescent="0.3">
      <c r="B18" s="29" t="s">
        <v>59</v>
      </c>
      <c r="C18" s="35">
        <f>IFERROR(C13/C4,0)</f>
        <v>6.148730769230764</v>
      </c>
    </row>
    <row r="20" spans="2:3" x14ac:dyDescent="0.3">
      <c r="B20" s="27" t="s">
        <v>60</v>
      </c>
      <c r="C20" s="28"/>
    </row>
    <row r="21" spans="2:3" x14ac:dyDescent="0.3">
      <c r="B21" s="29" t="s">
        <v>61</v>
      </c>
      <c r="C21" s="30">
        <f>COUNTIF(Rides!B2:B4999,"Uber")</f>
        <v>1099</v>
      </c>
    </row>
    <row r="22" spans="2:3" x14ac:dyDescent="0.3">
      <c r="B22" s="29" t="s">
        <v>62</v>
      </c>
      <c r="C22" s="33">
        <f>SUMIF(Rides!B2:B4999,"Uber",Rides!L2:L4999)</f>
        <v>6903.5900000000047</v>
      </c>
    </row>
    <row r="23" spans="2:3" x14ac:dyDescent="0.3">
      <c r="B23" s="29" t="s">
        <v>63</v>
      </c>
      <c r="C23" s="30">
        <f>COUNTIF(Rides!B2:B4999,"Bolt")</f>
        <v>1272</v>
      </c>
    </row>
    <row r="24" spans="2:3" x14ac:dyDescent="0.3">
      <c r="B24" s="29" t="s">
        <v>64</v>
      </c>
      <c r="C24" s="33">
        <f>SUMIF(Rides!B2:B4999,"Bolt",Rides!L2:L4999)</f>
        <v>7918.2599999999866</v>
      </c>
    </row>
    <row r="26" spans="2:3" x14ac:dyDescent="0.3">
      <c r="B26" s="27" t="s">
        <v>65</v>
      </c>
      <c r="C26" s="28"/>
    </row>
    <row r="27" spans="2:3" x14ac:dyDescent="0.3">
      <c r="B27" s="29" t="s">
        <v>66</v>
      </c>
      <c r="C27" s="33">
        <f>SUM(Fuel!C2:C5000)</f>
        <v>207</v>
      </c>
    </row>
    <row r="28" spans="2:3" x14ac:dyDescent="0.3">
      <c r="B28" s="29" t="s">
        <v>67</v>
      </c>
      <c r="C28" s="35">
        <f>IFERROR(C27/C5,0)</f>
        <v>8.6426057080444315E-3</v>
      </c>
    </row>
    <row r="29" spans="2:3" x14ac:dyDescent="0.3">
      <c r="B29" s="29" t="s">
        <v>68</v>
      </c>
      <c r="C29" s="34">
        <f>IFERROR(C27/C13,0)</f>
        <v>1.2948263243821439E-2</v>
      </c>
    </row>
    <row r="30" spans="2:3" x14ac:dyDescent="0.3">
      <c r="B30" s="29" t="s">
        <v>69</v>
      </c>
      <c r="C30" s="35">
        <f>IFERROR(C13-C27,0)</f>
        <v>15779.699999999986</v>
      </c>
    </row>
    <row r="31" spans="2:3" x14ac:dyDescent="0.3">
      <c r="B31" s="29" t="s">
        <v>70</v>
      </c>
      <c r="C31" s="35">
        <f>IFERROR(C30/C7,0)</f>
        <v>23.21397572636997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2"/>
  <sheetViews>
    <sheetView topLeftCell="A5" zoomScaleNormal="100" workbookViewId="0"/>
  </sheetViews>
  <sheetFormatPr defaultColWidth="8.6640625" defaultRowHeight="14.4" x14ac:dyDescent="0.3"/>
  <cols>
    <col min="1" max="1" width="4" customWidth="1"/>
    <col min="2" max="2" width="22" customWidth="1"/>
    <col min="3" max="3" width="38" customWidth="1"/>
    <col min="4" max="5" width="22" customWidth="1"/>
  </cols>
  <sheetData>
    <row r="1" spans="2:5" ht="30" customHeight="1" x14ac:dyDescent="0.3">
      <c r="B1" s="71" t="s">
        <v>71</v>
      </c>
      <c r="C1" s="71"/>
      <c r="D1" s="71"/>
      <c r="E1" s="71"/>
    </row>
    <row r="3" spans="2:5" ht="30" customHeight="1" x14ac:dyDescent="0.3">
      <c r="B3" s="1" t="s">
        <v>72</v>
      </c>
      <c r="C3" s="1" t="s">
        <v>73</v>
      </c>
      <c r="D3" s="1" t="s">
        <v>74</v>
      </c>
      <c r="E3" s="1" t="s">
        <v>75</v>
      </c>
    </row>
    <row r="4" spans="2:5" x14ac:dyDescent="0.3">
      <c r="B4" s="36" t="s">
        <v>76</v>
      </c>
      <c r="C4" s="36"/>
      <c r="D4" s="36"/>
      <c r="E4" s="36"/>
    </row>
    <row r="5" spans="2:5" x14ac:dyDescent="0.3">
      <c r="B5" s="37" t="s">
        <v>0</v>
      </c>
      <c r="C5" s="37" t="s">
        <v>77</v>
      </c>
      <c r="D5" s="37" t="s">
        <v>17</v>
      </c>
      <c r="E5" s="37" t="s">
        <v>78</v>
      </c>
    </row>
    <row r="6" spans="2:5" x14ac:dyDescent="0.3">
      <c r="B6" s="38" t="s">
        <v>1</v>
      </c>
      <c r="C6" s="38" t="s">
        <v>79</v>
      </c>
      <c r="D6" s="38" t="s">
        <v>80</v>
      </c>
      <c r="E6" s="38" t="s">
        <v>78</v>
      </c>
    </row>
    <row r="7" spans="2:5" x14ac:dyDescent="0.3">
      <c r="B7" s="37" t="s">
        <v>2</v>
      </c>
      <c r="C7" s="37" t="s">
        <v>81</v>
      </c>
      <c r="D7" s="37" t="s">
        <v>82</v>
      </c>
      <c r="E7" s="37" t="s">
        <v>78</v>
      </c>
    </row>
    <row r="8" spans="2:5" x14ac:dyDescent="0.3">
      <c r="B8" s="38" t="s">
        <v>3</v>
      </c>
      <c r="C8" s="38" t="s">
        <v>83</v>
      </c>
      <c r="D8" s="38" t="s">
        <v>19</v>
      </c>
      <c r="E8" s="38" t="s">
        <v>78</v>
      </c>
    </row>
    <row r="9" spans="2:5" x14ac:dyDescent="0.3">
      <c r="B9" s="37" t="s">
        <v>4</v>
      </c>
      <c r="C9" s="37" t="s">
        <v>84</v>
      </c>
      <c r="D9" s="37" t="s">
        <v>20</v>
      </c>
      <c r="E9" s="37" t="s">
        <v>78</v>
      </c>
    </row>
    <row r="10" spans="2:5" x14ac:dyDescent="0.3">
      <c r="B10" s="38" t="s">
        <v>5</v>
      </c>
      <c r="C10" s="38" t="s">
        <v>85</v>
      </c>
      <c r="D10" s="38" t="s">
        <v>21</v>
      </c>
      <c r="E10" s="38" t="s">
        <v>78</v>
      </c>
    </row>
    <row r="11" spans="2:5" x14ac:dyDescent="0.3">
      <c r="B11" s="37" t="s">
        <v>6</v>
      </c>
      <c r="C11" s="37" t="s">
        <v>86</v>
      </c>
      <c r="D11" s="37" t="s">
        <v>22</v>
      </c>
      <c r="E11" s="37" t="s">
        <v>78</v>
      </c>
    </row>
    <row r="12" spans="2:5" x14ac:dyDescent="0.3">
      <c r="B12" s="38" t="s">
        <v>7</v>
      </c>
      <c r="C12" s="38" t="s">
        <v>87</v>
      </c>
      <c r="D12" s="38" t="s">
        <v>88</v>
      </c>
      <c r="E12" s="38" t="s">
        <v>78</v>
      </c>
    </row>
    <row r="13" spans="2:5" x14ac:dyDescent="0.3">
      <c r="B13" s="37" t="s">
        <v>8</v>
      </c>
      <c r="C13" s="37" t="s">
        <v>89</v>
      </c>
      <c r="D13" s="37" t="s">
        <v>23</v>
      </c>
      <c r="E13" s="37" t="s">
        <v>78</v>
      </c>
    </row>
    <row r="14" spans="2:5" x14ac:dyDescent="0.3">
      <c r="B14" s="38" t="s">
        <v>9</v>
      </c>
      <c r="C14" s="38" t="s">
        <v>90</v>
      </c>
      <c r="D14" s="38" t="s">
        <v>24</v>
      </c>
      <c r="E14" s="38" t="s">
        <v>78</v>
      </c>
    </row>
    <row r="15" spans="2:5" x14ac:dyDescent="0.3">
      <c r="B15" s="37" t="s">
        <v>10</v>
      </c>
      <c r="C15" s="37" t="s">
        <v>91</v>
      </c>
      <c r="D15" s="37" t="s">
        <v>92</v>
      </c>
      <c r="E15" s="37" t="s">
        <v>78</v>
      </c>
    </row>
    <row r="16" spans="2:5" x14ac:dyDescent="0.3">
      <c r="B16" s="38" t="s">
        <v>11</v>
      </c>
      <c r="C16" s="38" t="s">
        <v>93</v>
      </c>
      <c r="D16" s="38" t="s">
        <v>94</v>
      </c>
      <c r="E16" s="38" t="s">
        <v>78</v>
      </c>
    </row>
    <row r="17" spans="2:5" x14ac:dyDescent="0.3">
      <c r="B17" s="37" t="s">
        <v>12</v>
      </c>
      <c r="C17" s="37" t="s">
        <v>95</v>
      </c>
      <c r="D17" s="37" t="s">
        <v>96</v>
      </c>
      <c r="E17" s="37" t="s">
        <v>78</v>
      </c>
    </row>
    <row r="18" spans="2:5" ht="26.4" x14ac:dyDescent="0.3">
      <c r="B18" s="38" t="s">
        <v>13</v>
      </c>
      <c r="C18" s="38" t="s">
        <v>97</v>
      </c>
      <c r="D18" s="38" t="s">
        <v>98</v>
      </c>
      <c r="E18" s="38" t="s">
        <v>99</v>
      </c>
    </row>
    <row r="19" spans="2:5" x14ac:dyDescent="0.3">
      <c r="B19" s="37" t="s">
        <v>14</v>
      </c>
      <c r="C19" s="37" t="s">
        <v>100</v>
      </c>
      <c r="D19" s="37" t="s">
        <v>101</v>
      </c>
      <c r="E19" s="37" t="s">
        <v>99</v>
      </c>
    </row>
    <row r="20" spans="2:5" x14ac:dyDescent="0.3">
      <c r="B20" s="38" t="s">
        <v>15</v>
      </c>
      <c r="C20" s="38" t="s">
        <v>102</v>
      </c>
      <c r="D20" s="38" t="s">
        <v>103</v>
      </c>
      <c r="E20" s="38" t="s">
        <v>99</v>
      </c>
    </row>
    <row r="21" spans="2:5" x14ac:dyDescent="0.3">
      <c r="B21" s="37" t="s">
        <v>16</v>
      </c>
      <c r="C21" s="37" t="s">
        <v>104</v>
      </c>
      <c r="D21" s="37" t="s">
        <v>105</v>
      </c>
      <c r="E21" s="37" t="s">
        <v>99</v>
      </c>
    </row>
    <row r="22" spans="2:5" x14ac:dyDescent="0.3">
      <c r="B22" s="36" t="s">
        <v>106</v>
      </c>
      <c r="C22" s="36"/>
      <c r="D22" s="36"/>
      <c r="E22" s="36"/>
    </row>
    <row r="23" spans="2:5" x14ac:dyDescent="0.3">
      <c r="B23" s="37" t="s">
        <v>28</v>
      </c>
      <c r="C23" s="37" t="s">
        <v>107</v>
      </c>
      <c r="D23" s="37" t="s">
        <v>39</v>
      </c>
      <c r="E23" s="37" t="s">
        <v>78</v>
      </c>
    </row>
    <row r="24" spans="2:5" x14ac:dyDescent="0.3">
      <c r="B24" s="38" t="s">
        <v>29</v>
      </c>
      <c r="C24" s="38" t="s">
        <v>108</v>
      </c>
      <c r="D24" s="38" t="s">
        <v>40</v>
      </c>
      <c r="E24" s="38" t="s">
        <v>78</v>
      </c>
    </row>
    <row r="25" spans="2:5" x14ac:dyDescent="0.3">
      <c r="B25" s="37" t="s">
        <v>30</v>
      </c>
      <c r="C25" s="37" t="s">
        <v>109</v>
      </c>
      <c r="D25" s="37" t="s">
        <v>110</v>
      </c>
      <c r="E25" s="37" t="s">
        <v>78</v>
      </c>
    </row>
    <row r="26" spans="2:5" x14ac:dyDescent="0.3">
      <c r="B26" s="38" t="s">
        <v>31</v>
      </c>
      <c r="C26" s="38" t="s">
        <v>111</v>
      </c>
      <c r="D26" s="38" t="s">
        <v>112</v>
      </c>
      <c r="E26" s="38" t="s">
        <v>78</v>
      </c>
    </row>
    <row r="27" spans="2:5" x14ac:dyDescent="0.3">
      <c r="B27" s="37" t="s">
        <v>32</v>
      </c>
      <c r="C27" s="37" t="s">
        <v>113</v>
      </c>
      <c r="D27" s="37" t="s">
        <v>114</v>
      </c>
      <c r="E27" s="37" t="s">
        <v>99</v>
      </c>
    </row>
    <row r="28" spans="2:5" x14ac:dyDescent="0.3">
      <c r="B28" s="38" t="s">
        <v>33</v>
      </c>
      <c r="C28" s="38" t="s">
        <v>115</v>
      </c>
      <c r="D28" s="38" t="s">
        <v>116</v>
      </c>
      <c r="E28" s="38" t="s">
        <v>117</v>
      </c>
    </row>
    <row r="29" spans="2:5" x14ac:dyDescent="0.3">
      <c r="B29" s="37" t="s">
        <v>34</v>
      </c>
      <c r="C29" s="37" t="s">
        <v>118</v>
      </c>
      <c r="D29" s="37" t="s">
        <v>119</v>
      </c>
      <c r="E29" s="37" t="s">
        <v>99</v>
      </c>
    </row>
    <row r="30" spans="2:5" ht="26.4" x14ac:dyDescent="0.3">
      <c r="B30" s="38" t="s">
        <v>35</v>
      </c>
      <c r="C30" s="38" t="s">
        <v>120</v>
      </c>
      <c r="D30" s="38" t="s">
        <v>121</v>
      </c>
      <c r="E30" s="38" t="s">
        <v>117</v>
      </c>
    </row>
    <row r="31" spans="2:5" x14ac:dyDescent="0.3">
      <c r="B31" s="37" t="s">
        <v>36</v>
      </c>
      <c r="C31" s="37" t="s">
        <v>122</v>
      </c>
      <c r="D31" s="37" t="s">
        <v>123</v>
      </c>
      <c r="E31" s="37" t="s">
        <v>99</v>
      </c>
    </row>
    <row r="32" spans="2:5" x14ac:dyDescent="0.3">
      <c r="B32" s="38" t="s">
        <v>37</v>
      </c>
      <c r="C32" s="38" t="s">
        <v>124</v>
      </c>
      <c r="D32" s="38" t="s">
        <v>125</v>
      </c>
      <c r="E32" s="38" t="s">
        <v>99</v>
      </c>
    </row>
  </sheetData>
  <mergeCells count="1">
    <mergeCell ref="B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Rides</vt:lpstr>
      <vt:lpstr>Fuel</vt:lpstr>
      <vt:lpstr>Monthly_Summary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Souza</cp:lastModifiedBy>
  <cp:revision>0</cp:revision>
  <dcterms:created xsi:type="dcterms:W3CDTF">2026-05-16T06:43:22Z</dcterms:created>
  <dcterms:modified xsi:type="dcterms:W3CDTF">2026-09-01T07:45:18Z</dcterms:modified>
  <dc:language>en-US</dc:language>
</cp:coreProperties>
</file>